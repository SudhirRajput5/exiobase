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F7FA91E0-B43B-4B89-A900-59CBF27DE5C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SVA_cur" sheetId="10" r:id="rId1"/>
    <sheet name="NSVA_cur" sheetId="11" r:id="rId2"/>
  </sheets>
  <externalReferences>
    <externalReference r:id="rId3"/>
  </externalReferences>
  <definedNames>
    <definedName name="_xlnm.Print_Titles" localSheetId="0">GSVA_cur!$A:$B</definedName>
    <definedName name="_xlnm.Print_Titles" localSheetId="1">NSVA_cur!$A:$B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1" l="1"/>
  <c r="D16" i="11"/>
  <c r="D6" i="11"/>
  <c r="D12" i="11" s="1"/>
  <c r="D20" i="11"/>
  <c r="D37" i="11"/>
  <c r="D35" i="11"/>
  <c r="D34" i="11"/>
  <c r="D17" i="10"/>
  <c r="D16" i="10"/>
  <c r="C16" i="10"/>
  <c r="D20" i="10"/>
  <c r="D6" i="10"/>
  <c r="D12" i="10" s="1"/>
  <c r="D32" i="11" l="1"/>
  <c r="D33" i="11"/>
  <c r="D36" i="11" s="1"/>
  <c r="D38" i="11" s="1"/>
  <c r="D33" i="10"/>
  <c r="D36" i="10" s="1"/>
  <c r="D38" i="10" s="1"/>
  <c r="D32" i="10"/>
  <c r="C37" i="11"/>
  <c r="D3" i="10"/>
  <c r="D3" i="11"/>
  <c r="C35" i="11" l="1"/>
  <c r="C34" i="11"/>
  <c r="C20" i="11" l="1"/>
  <c r="C6" i="11"/>
  <c r="C6" i="10"/>
  <c r="C12" i="11" l="1"/>
  <c r="C20" i="10"/>
  <c r="C17" i="11"/>
  <c r="C33" i="11" s="1"/>
  <c r="C17" i="10"/>
  <c r="C16" i="11"/>
  <c r="C36" i="11" l="1"/>
  <c r="C32" i="11"/>
  <c r="C12" i="10"/>
  <c r="C32" i="10"/>
  <c r="C33" i="10"/>
  <c r="C38" i="11" l="1"/>
  <c r="C36" i="10"/>
  <c r="C38" i="10" l="1"/>
</calcChain>
</file>

<file path=xl/sharedStrings.xml><?xml version="1.0" encoding="utf-8"?>
<sst xmlns="http://schemas.openxmlformats.org/spreadsheetml/2006/main" count="117" uniqueCount="73">
  <si>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</si>
  <si>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</si>
  <si>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</si>
  <si>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</si>
  <si>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</si>
  <si>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</si>
  <si>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</si>
  <si>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</si>
  <si>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</si>
  <si>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</si>
  <si>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</si>
  <si>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</si>
  <si>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</si>
  <si>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</si>
  <si>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</si>
  <si>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</si>
  <si>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</si>
  <si>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</si>
  <si>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</si>
  <si>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</si>
  <si>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</si>
  <si>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</si>
  <si>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</si>
  <si>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</si>
  <si>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</si>
  <si>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</si>
  <si>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</si>
  <si>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</si>
  <si>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</si>
  <si>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</si>
  <si>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</si>
  <si>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</si>
  <si>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</si>
  <si>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</si>
  <si>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</si>
  <si>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</si>
  <si>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Net State Value Added by economic activity at current prices</t>
  </si>
  <si>
    <t>TOTAL NSVA at basic prices</t>
  </si>
  <si>
    <t>State :</t>
  </si>
  <si>
    <t>Public administration</t>
  </si>
  <si>
    <t>Gross State Domestic Product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</si>
  <si>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</si>
  <si>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</si>
  <si>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</si>
  <si>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</si>
  <si>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</si>
  <si>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</si>
  <si>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</si>
  <si>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</si>
  <si>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2022-23</t>
  </si>
  <si>
    <t>Ladakh</t>
  </si>
  <si>
    <t>2.       </t>
  </si>
  <si>
    <t>3.       </t>
  </si>
  <si>
    <t>4.       </t>
  </si>
  <si>
    <t>5.       </t>
  </si>
  <si>
    <t>6.       </t>
  </si>
  <si>
    <t>7.       </t>
  </si>
  <si>
    <t>8.       </t>
  </si>
  <si>
    <t>9.       </t>
  </si>
  <si>
    <t>10.   </t>
  </si>
  <si>
    <t>11.   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</si>
  <si>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 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</si>
  <si>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 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</si>
  <si>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 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</si>
  <si>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 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</si>
  <si>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 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</si>
  <si>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> 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</si>
  <si>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 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</si>
  <si>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 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</si>
  <si>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</si>
  <si>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</si>
  <si>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2023-24</t>
  </si>
  <si>
    <t>Source:  Directorate of Economics &amp; Statistics of respective State Governments.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</si>
</sst>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3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name val="Calibri"/>
      <family val="2"/>
      <scheme val="minor"/>
    </font>
    <font>
      <sz val="12"/>
      <color indexed="8"/>
      <name val="Rupee Foradian"/>
      <family val="2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Rupee Foradian"/>
      <family val="2"/>
    </font>
    <font>
      <sz val="7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86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14" fillId="0" borderId="0" xfId="0" applyFont="1" applyProtection="1">
      <protection locked="0"/>
    </xf>
    <xf numFmtId="0" fontId="14" fillId="0" borderId="0" xfId="0" applyFont="1"/>
    <xf numFmtId="1" fontId="14" fillId="3" borderId="0" xfId="0" applyNumberFormat="1" applyFont="1" applyFill="1"/>
    <xf numFmtId="1" fontId="14" fillId="0" borderId="0" xfId="0" applyNumberFormat="1" applyFont="1"/>
    <xf numFmtId="0" fontId="14" fillId="3" borderId="0" xfId="0" applyFont="1" applyFill="1"/>
    <xf numFmtId="0" fontId="14" fillId="3" borderId="0" xfId="0" applyFont="1" applyFill="1" applyProtection="1">
      <protection locked="0"/>
    </xf>
    <xf numFmtId="1" fontId="14" fillId="0" borderId="0" xfId="0" applyNumberFormat="1" applyFont="1" applyProtection="1">
      <protection locked="0"/>
    </xf>
    <xf numFmtId="1" fontId="14" fillId="3" borderId="0" xfId="0" applyNumberFormat="1" applyFont="1" applyFill="1" applyProtection="1">
      <protection locked="0"/>
    </xf>
    <xf numFmtId="1" fontId="0" fillId="0" borderId="0" xfId="0" applyNumberFormat="1"/>
    <xf numFmtId="1" fontId="0" fillId="3" borderId="0" xfId="0" applyNumberFormat="1" applyFill="1"/>
    <xf numFmtId="0" fontId="0" fillId="3" borderId="0" xfId="0" applyFill="1"/>
    <xf numFmtId="0" fontId="0" fillId="3" borderId="0" xfId="0" applyFill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Protection="1">
      <protection locked="0"/>
    </xf>
    <xf numFmtId="1" fontId="0" fillId="3" borderId="0" xfId="0" applyNumberFormat="1" applyFill="1" applyProtection="1">
      <protection locked="0"/>
    </xf>
    <xf numFmtId="0" fontId="14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49" fontId="17" fillId="3" borderId="2" xfId="0" applyNumberFormat="1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1" fontId="18" fillId="3" borderId="2" xfId="0" applyNumberFormat="1" applyFont="1" applyFill="1" applyBorder="1"/>
    <xf numFmtId="49" fontId="17" fillId="0" borderId="2" xfId="0" applyNumberFormat="1" applyFont="1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1" fontId="19" fillId="0" borderId="2" xfId="0" applyNumberFormat="1" applyFont="1" applyBorder="1" applyAlignment="1">
      <alignment vertical="center"/>
    </xf>
    <xf numFmtId="49" fontId="17" fillId="3" borderId="2" xfId="0" applyNumberFormat="1" applyFont="1" applyFill="1" applyBorder="1" applyAlignment="1" applyProtection="1">
      <alignment horizontal="left" vertical="center" wrapText="1"/>
      <protection locked="0"/>
    </xf>
    <xf numFmtId="0" fontId="21" fillId="3" borderId="2" xfId="0" applyFont="1" applyFill="1" applyBorder="1" applyAlignment="1" applyProtection="1">
      <alignment horizontal="left" vertical="center" wrapText="1"/>
      <protection locked="0"/>
    </xf>
    <xf numFmtId="1" fontId="0" fillId="3" borderId="2" xfId="0" applyNumberFormat="1" applyFill="1" applyBorder="1" applyProtection="1">
      <protection locked="0"/>
    </xf>
    <xf numFmtId="49" fontId="17" fillId="0" borderId="2" xfId="0" applyNumberFormat="1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" fontId="0" fillId="0" borderId="2" xfId="0" applyNumberFormat="1" applyBorder="1" applyAlignment="1">
      <alignment vertical="center"/>
    </xf>
    <xf numFmtId="1" fontId="0" fillId="0" borderId="2" xfId="0" applyNumberFormat="1" applyBorder="1" applyAlignment="1" applyProtection="1">
      <alignment vertical="center"/>
      <protection locked="0"/>
    </xf>
    <xf numFmtId="1" fontId="0" fillId="3" borderId="2" xfId="0" applyNumberFormat="1" applyFill="1" applyBorder="1"/>
    <xf numFmtId="49" fontId="22" fillId="3" borderId="2" xfId="0" applyNumberFormat="1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top" wrapText="1"/>
    </xf>
    <xf numFmtId="0" fontId="16" fillId="3" borderId="2" xfId="0" applyFont="1" applyFill="1" applyBorder="1" applyAlignment="1">
      <alignment horizontal="left" vertical="center" wrapText="1"/>
    </xf>
    <xf numFmtId="49" fontId="17" fillId="3" borderId="2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 applyAlignment="1" applyProtection="1">
      <alignment vertical="center" wrapText="1"/>
      <protection locked="0"/>
    </xf>
    <xf numFmtId="0" fontId="0" fillId="3" borderId="2" xfId="0" applyFill="1" applyBorder="1" applyProtection="1">
      <protection locked="0"/>
    </xf>
    <xf numFmtId="49" fontId="11" fillId="3" borderId="2" xfId="0" applyNumberFormat="1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1" fontId="14" fillId="3" borderId="2" xfId="0" applyNumberFormat="1" applyFont="1" applyFill="1" applyBorder="1"/>
    <xf numFmtId="49" fontId="11" fillId="0" borderId="2" xfId="0" applyNumberFormat="1" applyFont="1" applyBorder="1" applyAlignment="1" applyProtection="1">
      <alignment horizontal="left" vertical="center" wrapText="1"/>
      <protection locked="0"/>
    </xf>
    <xf numFmtId="0" fontId="14" fillId="0" borderId="2" xfId="0" applyFont="1" applyBorder="1" applyAlignment="1" applyProtection="1">
      <alignment horizontal="left" vertical="center" wrapText="1"/>
      <protection locked="0"/>
    </xf>
    <xf numFmtId="1" fontId="14" fillId="0" borderId="2" xfId="0" applyNumberFormat="1" applyFont="1" applyBorder="1" applyAlignment="1" applyProtection="1">
      <alignment vertical="center"/>
      <protection locked="0"/>
    </xf>
    <xf numFmtId="49" fontId="11" fillId="3" borderId="2" xfId="0" applyNumberFormat="1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1" fontId="14" fillId="3" borderId="2" xfId="0" applyNumberFormat="1" applyFont="1" applyFill="1" applyBorder="1" applyProtection="1">
      <protection locked="0"/>
    </xf>
    <xf numFmtId="49" fontId="11" fillId="0" borderId="2" xfId="0" applyNumberFormat="1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1" fontId="14" fillId="0" borderId="2" xfId="0" applyNumberFormat="1" applyFont="1" applyBorder="1" applyAlignment="1">
      <alignment vertical="center"/>
    </xf>
    <xf numFmtId="1" fontId="13" fillId="0" borderId="2" xfId="0" applyNumberFormat="1" applyFont="1" applyBorder="1" applyAlignment="1">
      <alignment vertical="center"/>
    </xf>
    <xf numFmtId="0" fontId="14" fillId="3" borderId="2" xfId="0" applyFont="1" applyFill="1" applyBorder="1" applyAlignment="1">
      <alignment horizontal="left" vertical="top" wrapText="1"/>
    </xf>
    <xf numFmtId="0" fontId="12" fillId="3" borderId="2" xfId="0" applyFont="1" applyFill="1" applyBorder="1" applyAlignment="1">
      <alignment horizontal="left" vertical="center" wrapText="1"/>
    </xf>
    <xf numFmtId="49" fontId="11" fillId="0" borderId="2" xfId="0" quotePrefix="1" applyNumberFormat="1" applyFont="1" applyBorder="1" applyAlignment="1">
      <alignment horizontal="left" vertical="center" wrapText="1"/>
    </xf>
    <xf numFmtId="0" fontId="14" fillId="0" borderId="2" xfId="0" applyFont="1" applyBorder="1" applyAlignment="1" applyProtection="1">
      <alignment vertical="center" wrapText="1"/>
      <protection locked="0"/>
    </xf>
    <xf numFmtId="0" fontId="11" fillId="0" borderId="2" xfId="0" quotePrefix="1" applyFont="1" applyBorder="1" applyAlignment="1">
      <alignment horizontal="left" vertical="center" wrapText="1"/>
    </xf>
    <xf numFmtId="49" fontId="11" fillId="3" borderId="2" xfId="0" quotePrefix="1" applyNumberFormat="1" applyFont="1" applyFill="1" applyBorder="1" applyAlignment="1">
      <alignment horizontal="left" vertical="center" wrapText="1"/>
    </xf>
    <xf numFmtId="0" fontId="14" fillId="3" borderId="2" xfId="0" applyFont="1" applyFill="1" applyBorder="1" applyAlignment="1" applyProtection="1">
      <alignment vertical="center" wrapText="1"/>
      <protection locked="0"/>
    </xf>
    <xf numFmtId="0" fontId="14" fillId="0" borderId="2" xfId="0" applyFont="1" applyBorder="1" applyAlignment="1" applyProtection="1">
      <alignment vertical="center"/>
      <protection locked="0"/>
    </xf>
    <xf numFmtId="0" fontId="7" fillId="0" borderId="0" xfId="0" quotePrefix="1" applyFont="1" applyProtection="1">
      <protection locked="0"/>
    </xf>
    <xf numFmtId="0" fontId="7" fillId="0" borderId="2" xfId="0" applyFont="1" applyBorder="1"/>
    <xf numFmtId="49" fontId="10" fillId="0" borderId="2" xfId="0" applyNumberFormat="1" applyFont="1" applyBorder="1" applyAlignment="1" applyProtection="1">
      <alignment vertical="center" wrapText="1"/>
      <protection locked="0"/>
    </xf>
    <xf numFmtId="0" fontId="10" fillId="0" borderId="2" xfId="0" applyFont="1" applyBorder="1" applyAlignment="1" applyProtection="1">
      <alignment vertical="center" wrapText="1"/>
      <protection locked="0"/>
    </xf>
    <xf numFmtId="1" fontId="18" fillId="3" borderId="3" xfId="0" applyNumberFormat="1" applyFont="1" applyFill="1" applyBorder="1"/>
    <xf numFmtId="0" fontId="14" fillId="0" borderId="0" xfId="0" applyFont="1" applyAlignment="1" applyProtection="1">
      <alignment horizontal="right"/>
      <protection locked="0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right"/>
    </xf>
    <xf numFmtId="1" fontId="14" fillId="3" borderId="2" xfId="0" applyNumberFormat="1" applyFont="1" applyFill="1" applyBorder="1" applyAlignment="1">
      <alignment horizontal="right"/>
    </xf>
    <xf numFmtId="1" fontId="14" fillId="0" borderId="2" xfId="0" applyNumberFormat="1" applyFont="1" applyBorder="1" applyAlignment="1" applyProtection="1">
      <alignment horizontal="right"/>
      <protection locked="0"/>
    </xf>
    <xf numFmtId="1" fontId="14" fillId="3" borderId="2" xfId="0" applyNumberFormat="1" applyFont="1" applyFill="1" applyBorder="1" applyAlignment="1" applyProtection="1">
      <alignment horizontal="right"/>
      <protection locked="0"/>
    </xf>
    <xf numFmtId="1" fontId="14" fillId="0" borderId="2" xfId="0" applyNumberFormat="1" applyFont="1" applyBorder="1" applyAlignment="1">
      <alignment horizontal="right"/>
    </xf>
    <xf numFmtId="1" fontId="13" fillId="0" borderId="2" xfId="0" applyNumberFormat="1" applyFont="1" applyBorder="1" applyAlignment="1">
      <alignment horizontal="right" vertical="center"/>
    </xf>
    <xf numFmtId="0" fontId="14" fillId="0" borderId="2" xfId="0" applyFont="1" applyBorder="1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0" fontId="7" fillId="0" borderId="2" xfId="0" applyFont="1" applyBorder="1" applyAlignment="1" applyProtection="1">
      <alignment horizontal="right"/>
      <protection locked="0"/>
    </xf>
    <xf numFmtId="1" fontId="18" fillId="3" borderId="3" xfId="0" applyNumberFormat="1" applyFont="1" applyFill="1" applyBorder="1" applyAlignment="1">
      <alignment horizontal="right"/>
    </xf>
    <xf numFmtId="1" fontId="0" fillId="0" borderId="2" xfId="0" applyNumberFormat="1" applyBorder="1" applyAlignment="1" applyProtection="1">
      <alignment horizontal="right"/>
      <protection locked="0"/>
    </xf>
    <xf numFmtId="1" fontId="0" fillId="3" borderId="2" xfId="0" applyNumberFormat="1" applyFill="1" applyBorder="1" applyAlignment="1" applyProtection="1">
      <alignment horizontal="right"/>
      <protection locked="0"/>
    </xf>
    <xf numFmtId="1" fontId="0" fillId="0" borderId="2" xfId="0" applyNumberFormat="1" applyBorder="1" applyAlignment="1">
      <alignment horizontal="right"/>
    </xf>
    <xf numFmtId="1" fontId="0" fillId="3" borderId="2" xfId="0" applyNumberFormat="1" applyFill="1" applyBorder="1" applyAlignment="1">
      <alignment horizontal="right"/>
    </xf>
    <xf numFmtId="0" fontId="0" fillId="3" borderId="2" xfId="0" applyFill="1" applyBorder="1" applyAlignment="1" applyProtection="1">
      <alignment horizontal="right"/>
      <protection locked="0"/>
    </xf>
    <xf numFmtId="49" fontId="10" fillId="0" borderId="2" xfId="0" applyNumberFormat="1" applyFont="1" applyBorder="1" applyAlignment="1" applyProtection="1">
      <alignment horizontal="left" vertical="center" wrapText="1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Q39"/>
  <sheetViews>
    <sheetView zoomScale="93" zoomScaleNormal="93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8" sqref="G8"/>
    </sheetView>
  </sheetViews>
  <sheetFormatPr defaultColWidth="8.85546875" defaultRowHeight="15.75"/>
  <cols>
    <col min="1" max="1" width="8.28515625" style="20" customWidth="1"/>
    <col min="2" max="2" width="29.85546875" style="5" customWidth="1"/>
    <col min="3" max="3" width="16.5703125" style="6" customWidth="1"/>
    <col min="4" max="4" width="17" style="68" customWidth="1"/>
    <col min="5" max="20" width="9.140625" style="5" customWidth="1"/>
    <col min="21" max="21" width="12.140625" style="5" customWidth="1"/>
    <col min="22" max="25" width="9.140625" style="5" customWidth="1"/>
    <col min="26" max="30" width="9.140625" style="5" hidden="1" customWidth="1"/>
    <col min="31" max="31" width="9.140625" style="5" customWidth="1"/>
    <col min="32" max="36" width="9.140625" style="5" hidden="1" customWidth="1"/>
    <col min="37" max="37" width="9.140625" style="5" customWidth="1"/>
    <col min="38" max="42" width="9.140625" style="5" hidden="1" customWidth="1"/>
    <col min="43" max="43" width="9.140625" style="5" customWidth="1"/>
    <col min="44" max="48" width="9.140625" style="5" hidden="1" customWidth="1"/>
    <col min="49" max="49" width="9.140625" style="5" customWidth="1"/>
    <col min="50" max="54" width="9.140625" style="5" hidden="1" customWidth="1"/>
    <col min="55" max="55" width="9.140625" style="6" customWidth="1"/>
    <col min="56" max="60" width="9.140625" style="6" hidden="1" customWidth="1"/>
    <col min="61" max="61" width="9.140625" style="6" customWidth="1"/>
    <col min="62" max="66" width="9.140625" style="6" hidden="1" customWidth="1"/>
    <col min="67" max="67" width="9.140625" style="6" customWidth="1"/>
    <col min="68" max="72" width="9.140625" style="6" hidden="1" customWidth="1"/>
    <col min="73" max="73" width="9.140625" style="6" customWidth="1"/>
    <col min="74" max="103" width="9.140625" style="5" customWidth="1"/>
    <col min="104" max="104" width="9.140625" style="5" hidden="1" customWidth="1"/>
    <col min="105" max="112" width="9.140625" style="5" customWidth="1"/>
    <col min="113" max="113" width="9.140625" style="5" hidden="1" customWidth="1"/>
    <col min="114" max="118" width="9.140625" style="5" customWidth="1"/>
    <col min="119" max="119" width="9.140625" style="5" hidden="1" customWidth="1"/>
    <col min="120" max="129" width="9.140625" style="5" customWidth="1"/>
    <col min="130" max="133" width="8.85546875" style="5"/>
    <col min="134" max="134" width="12.7109375" style="5" bestFit="1" customWidth="1"/>
    <col min="135" max="16384" width="8.85546875" style="5"/>
  </cols>
  <sheetData>
    <row r="1" spans="1:134">
      <c r="A1" s="20" t="s">
        <v>38</v>
      </c>
      <c r="B1" s="3" t="s">
        <v>50</v>
      </c>
    </row>
    <row r="2" spans="1:134" s="2" customFormat="1">
      <c r="A2" s="4" t="s">
        <v>35</v>
      </c>
      <c r="D2" s="69"/>
      <c r="I2" s="1"/>
      <c r="L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</row>
    <row r="3" spans="1:134" s="2" customFormat="1">
      <c r="A3" s="4"/>
      <c r="C3" s="1"/>
      <c r="D3" s="1" t="str">
        <f>[1]GSVA_cur!$I$3</f>
        <v>01.08.2025</v>
      </c>
      <c r="I3" s="1"/>
      <c r="L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</row>
    <row r="4" spans="1:134" s="2" customFormat="1">
      <c r="A4" s="4"/>
      <c r="C4" s="63" t="s">
        <v>41</v>
      </c>
      <c r="D4" s="69"/>
      <c r="I4" s="1"/>
      <c r="L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</row>
    <row r="5" spans="1:134" s="2" customFormat="1">
      <c r="A5" s="65" t="s">
        <v>0</v>
      </c>
      <c r="B5" s="66" t="s">
        <v>1</v>
      </c>
      <c r="C5" s="64" t="s">
        <v>49</v>
      </c>
      <c r="D5" s="70" t="s">
        <v>71</v>
      </c>
      <c r="I5" s="1"/>
      <c r="L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</row>
    <row r="6" spans="1:134" s="9" customFormat="1" ht="31.5">
      <c r="A6" s="42" t="s">
        <v>23</v>
      </c>
      <c r="B6" s="43" t="s">
        <v>2</v>
      </c>
      <c r="C6" s="44">
        <f t="shared" ref="C6:D6" si="0">SUM(C7:C10)</f>
        <v>77686.141359777612</v>
      </c>
      <c r="D6" s="71">
        <f t="shared" si="0"/>
        <v>134492.8574941587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D6" s="10"/>
    </row>
    <row r="7" spans="1:134">
      <c r="A7" s="45">
        <v>1.1000000000000001</v>
      </c>
      <c r="B7" s="46" t="s">
        <v>43</v>
      </c>
      <c r="C7" s="47">
        <v>13134.966184005603</v>
      </c>
      <c r="D7" s="72">
        <v>29312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6"/>
      <c r="EB7" s="6"/>
      <c r="EC7" s="6"/>
    </row>
    <row r="8" spans="1:134">
      <c r="A8" s="45">
        <v>1.2</v>
      </c>
      <c r="B8" s="46" t="s">
        <v>44</v>
      </c>
      <c r="C8" s="47">
        <v>26382.459992373551</v>
      </c>
      <c r="D8" s="72">
        <v>63748.292616440485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6"/>
      <c r="EB8" s="6"/>
      <c r="EC8" s="6"/>
    </row>
    <row r="9" spans="1:134">
      <c r="A9" s="45">
        <v>1.3</v>
      </c>
      <c r="B9" s="46" t="s">
        <v>45</v>
      </c>
      <c r="C9" s="47">
        <v>37589.742765111565</v>
      </c>
      <c r="D9" s="72">
        <v>40939.385501027005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6"/>
      <c r="EB9" s="6"/>
      <c r="EC9" s="6"/>
    </row>
    <row r="10" spans="1:134">
      <c r="A10" s="45">
        <v>1.4</v>
      </c>
      <c r="B10" s="46" t="s">
        <v>46</v>
      </c>
      <c r="C10" s="47">
        <v>578.97241828687856</v>
      </c>
      <c r="D10" s="72">
        <v>493.17937669119817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6"/>
      <c r="EB10" s="6"/>
      <c r="EC10" s="6"/>
    </row>
    <row r="11" spans="1:134">
      <c r="A11" s="45" t="s">
        <v>51</v>
      </c>
      <c r="B11" s="46" t="s">
        <v>3</v>
      </c>
      <c r="C11" s="47">
        <v>7270</v>
      </c>
      <c r="D11" s="72">
        <v>19972.159020978455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6"/>
      <c r="EB11" s="6"/>
      <c r="EC11" s="6"/>
    </row>
    <row r="12" spans="1:134" s="10" customFormat="1">
      <c r="A12" s="48"/>
      <c r="B12" s="49" t="s">
        <v>25</v>
      </c>
      <c r="C12" s="50">
        <f t="shared" ref="C12:D12" si="1">C6+C11</f>
        <v>84956.141359777612</v>
      </c>
      <c r="D12" s="73">
        <f t="shared" si="1"/>
        <v>154465.01651513716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9"/>
      <c r="EB12" s="9"/>
      <c r="EC12" s="9"/>
    </row>
    <row r="13" spans="1:134" s="6" customFormat="1">
      <c r="A13" s="51" t="s">
        <v>52</v>
      </c>
      <c r="B13" s="52" t="s">
        <v>4</v>
      </c>
      <c r="C13" s="53">
        <v>6197.9533126259585</v>
      </c>
      <c r="D13" s="74">
        <v>11353.262972001827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D13" s="5"/>
    </row>
    <row r="14" spans="1:134" ht="39" customHeight="1">
      <c r="A14" s="45" t="s">
        <v>53</v>
      </c>
      <c r="B14" s="46" t="s">
        <v>5</v>
      </c>
      <c r="C14" s="47">
        <v>29390.994347606087</v>
      </c>
      <c r="D14" s="72">
        <v>28386.880498387156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8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8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8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6"/>
      <c r="EB14" s="6"/>
      <c r="EC14" s="6"/>
    </row>
    <row r="15" spans="1:134">
      <c r="A15" s="45" t="s">
        <v>54</v>
      </c>
      <c r="B15" s="46" t="s">
        <v>6</v>
      </c>
      <c r="C15" s="47">
        <v>38252.828396223631</v>
      </c>
      <c r="D15" s="72">
        <v>63650.354148171551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8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8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8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6"/>
      <c r="EB15" s="6"/>
      <c r="EC15" s="6"/>
    </row>
    <row r="16" spans="1:134" s="10" customFormat="1">
      <c r="A16" s="48"/>
      <c r="B16" s="49" t="s">
        <v>26</v>
      </c>
      <c r="C16" s="50">
        <f>C13+C14+C15</f>
        <v>73841.776056455681</v>
      </c>
      <c r="D16" s="73">
        <f>D13+D14+D15</f>
        <v>103390.49761856053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7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7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7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9"/>
      <c r="EB16" s="9"/>
      <c r="EC16" s="9"/>
    </row>
    <row r="17" spans="1:134" s="9" customFormat="1" ht="31.5">
      <c r="A17" s="42" t="s">
        <v>55</v>
      </c>
      <c r="B17" s="43" t="s">
        <v>7</v>
      </c>
      <c r="C17" s="44">
        <f t="shared" ref="C17:D17" si="2">C18+C19</f>
        <v>43583</v>
      </c>
      <c r="D17" s="71">
        <f t="shared" si="2"/>
        <v>50097.865677719492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D17" s="10"/>
    </row>
    <row r="18" spans="1:134">
      <c r="A18" s="45">
        <v>6.1</v>
      </c>
      <c r="B18" s="46" t="s">
        <v>8</v>
      </c>
      <c r="C18" s="54">
        <v>41669</v>
      </c>
      <c r="D18" s="75">
        <v>47484.386280955288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6"/>
      <c r="EB18" s="6"/>
      <c r="EC18" s="6"/>
    </row>
    <row r="19" spans="1:134">
      <c r="A19" s="45">
        <v>6.2</v>
      </c>
      <c r="B19" s="46" t="s">
        <v>9</v>
      </c>
      <c r="C19" s="54">
        <v>1914</v>
      </c>
      <c r="D19" s="75">
        <v>2613.4793967642031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6"/>
      <c r="EB19" s="6"/>
      <c r="EC19" s="6"/>
    </row>
    <row r="20" spans="1:134" s="9" customFormat="1" ht="45" customHeight="1">
      <c r="A20" s="42" t="s">
        <v>56</v>
      </c>
      <c r="B20" s="55" t="s">
        <v>10</v>
      </c>
      <c r="C20" s="44">
        <f t="shared" ref="C20:D20" si="3">SUM(C21:C27)</f>
        <v>46080.246187098426</v>
      </c>
      <c r="D20" s="71">
        <f t="shared" si="3"/>
        <v>57237.708978949042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D20" s="10"/>
    </row>
    <row r="21" spans="1:134">
      <c r="A21" s="45">
        <v>7.1</v>
      </c>
      <c r="B21" s="46" t="s">
        <v>11</v>
      </c>
      <c r="C21" s="47">
        <v>0</v>
      </c>
      <c r="D21" s="72">
        <v>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6"/>
      <c r="EB21" s="6"/>
      <c r="EC21" s="6"/>
    </row>
    <row r="22" spans="1:134">
      <c r="A22" s="45">
        <v>7.2</v>
      </c>
      <c r="B22" s="46" t="s">
        <v>12</v>
      </c>
      <c r="C22" s="47">
        <v>21217.370710856387</v>
      </c>
      <c r="D22" s="75">
        <v>23775.395332407821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6"/>
      <c r="EB22" s="6"/>
      <c r="EC22" s="6"/>
    </row>
    <row r="23" spans="1:134">
      <c r="A23" s="45">
        <v>7.3</v>
      </c>
      <c r="B23" s="46" t="s">
        <v>13</v>
      </c>
      <c r="C23" s="47">
        <v>0</v>
      </c>
      <c r="D23" s="75">
        <v>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6"/>
      <c r="EB23" s="6"/>
      <c r="EC23" s="6"/>
    </row>
    <row r="24" spans="1:134">
      <c r="A24" s="45">
        <v>7.4</v>
      </c>
      <c r="B24" s="46" t="s">
        <v>14</v>
      </c>
      <c r="C24" s="47">
        <v>6412.6141919173579</v>
      </c>
      <c r="D24" s="75">
        <v>9449.575504914912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6"/>
      <c r="EB24" s="6"/>
      <c r="EC24" s="6"/>
    </row>
    <row r="25" spans="1:134" ht="31.5">
      <c r="A25" s="45">
        <v>7.5</v>
      </c>
      <c r="B25" s="46" t="s">
        <v>15</v>
      </c>
      <c r="C25" s="47">
        <v>4807.6103141803815</v>
      </c>
      <c r="D25" s="75">
        <v>7925.3086843366855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6"/>
      <c r="EB25" s="6"/>
      <c r="EC25" s="6"/>
    </row>
    <row r="26" spans="1:134">
      <c r="A26" s="45">
        <v>7.6</v>
      </c>
      <c r="B26" s="46" t="s">
        <v>16</v>
      </c>
      <c r="C26" s="47">
        <v>0</v>
      </c>
      <c r="D26" s="75">
        <v>529.87977503139984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6"/>
      <c r="EB26" s="6"/>
      <c r="EC26" s="6"/>
    </row>
    <row r="27" spans="1:134" ht="31.5">
      <c r="A27" s="45">
        <v>7.7</v>
      </c>
      <c r="B27" s="46" t="s">
        <v>17</v>
      </c>
      <c r="C27" s="47">
        <v>13642.650970144296</v>
      </c>
      <c r="D27" s="75">
        <v>15557.549682258228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6"/>
      <c r="EB27" s="6"/>
      <c r="EC27" s="6"/>
    </row>
    <row r="28" spans="1:134">
      <c r="A28" s="45" t="s">
        <v>57</v>
      </c>
      <c r="B28" s="46" t="s">
        <v>18</v>
      </c>
      <c r="C28" s="47">
        <v>21234</v>
      </c>
      <c r="D28" s="75">
        <v>23092.46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6"/>
      <c r="EB28" s="6"/>
      <c r="EC28" s="6"/>
    </row>
    <row r="29" spans="1:134" ht="47.25">
      <c r="A29" s="45" t="s">
        <v>58</v>
      </c>
      <c r="B29" s="46" t="s">
        <v>19</v>
      </c>
      <c r="C29" s="47">
        <v>46143.699739774936</v>
      </c>
      <c r="D29" s="75">
        <v>49614.102694537032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6"/>
      <c r="EB29" s="6"/>
      <c r="EC29" s="6"/>
    </row>
    <row r="30" spans="1:134">
      <c r="A30" s="45" t="s">
        <v>59</v>
      </c>
      <c r="B30" s="46" t="s">
        <v>39</v>
      </c>
      <c r="C30" s="47">
        <v>131908.51882628968</v>
      </c>
      <c r="D30" s="75">
        <v>124549.5826240022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6"/>
      <c r="EB30" s="6"/>
      <c r="EC30" s="6"/>
    </row>
    <row r="31" spans="1:134">
      <c r="A31" s="45" t="s">
        <v>60</v>
      </c>
      <c r="B31" s="46" t="s">
        <v>20</v>
      </c>
      <c r="C31" s="47">
        <v>142627.38801209224</v>
      </c>
      <c r="D31" s="75">
        <v>136578.74389913955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6"/>
      <c r="EB31" s="6"/>
      <c r="EC31" s="6"/>
    </row>
    <row r="32" spans="1:134" s="10" customFormat="1">
      <c r="A32" s="48"/>
      <c r="B32" s="49" t="s">
        <v>27</v>
      </c>
      <c r="C32" s="50">
        <f t="shared" ref="C32:D32" si="4">C17+C20+C28+C29+C30+C31</f>
        <v>431576.85276525526</v>
      </c>
      <c r="D32" s="73">
        <f t="shared" si="4"/>
        <v>441170.46387434728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9"/>
      <c r="EB32" s="9"/>
      <c r="EC32" s="9"/>
    </row>
    <row r="33" spans="1:134" s="9" customFormat="1">
      <c r="A33" s="42" t="s">
        <v>24</v>
      </c>
      <c r="B33" s="56" t="s">
        <v>28</v>
      </c>
      <c r="C33" s="44">
        <f t="shared" ref="C33:D33" si="5">C6+C11+C13+C14+C15+C17+C20+C28+C29+C30+C31</f>
        <v>590374.77018148859</v>
      </c>
      <c r="D33" s="71">
        <f t="shared" si="5"/>
        <v>699025.97800804512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D33" s="10"/>
    </row>
    <row r="34" spans="1:134">
      <c r="A34" s="57" t="s">
        <v>30</v>
      </c>
      <c r="B34" s="58" t="s">
        <v>22</v>
      </c>
      <c r="C34" s="47">
        <v>75446.645741267508</v>
      </c>
      <c r="D34" s="72">
        <v>136527.97258690055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</row>
    <row r="35" spans="1:134">
      <c r="A35" s="59">
        <v>14</v>
      </c>
      <c r="B35" s="58" t="s">
        <v>21</v>
      </c>
      <c r="C35" s="47">
        <v>9352.0000000000018</v>
      </c>
      <c r="D35" s="72">
        <v>5137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</row>
    <row r="36" spans="1:134" s="10" customFormat="1">
      <c r="A36" s="60" t="s">
        <v>32</v>
      </c>
      <c r="B36" s="61" t="s">
        <v>40</v>
      </c>
      <c r="C36" s="50">
        <f t="shared" ref="C36:D36" si="6">C33+C34-C35</f>
        <v>656469.41592275607</v>
      </c>
      <c r="D36" s="73">
        <f t="shared" si="6"/>
        <v>830416.95059494569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</row>
    <row r="37" spans="1:134">
      <c r="A37" s="57" t="s">
        <v>33</v>
      </c>
      <c r="B37" s="58" t="s">
        <v>29</v>
      </c>
      <c r="C37" s="62">
        <v>3000</v>
      </c>
      <c r="D37" s="76">
        <v>3010</v>
      </c>
    </row>
    <row r="38" spans="1:134" s="10" customFormat="1">
      <c r="A38" s="60" t="s">
        <v>34</v>
      </c>
      <c r="B38" s="61" t="s">
        <v>42</v>
      </c>
      <c r="C38" s="50">
        <f t="shared" ref="C38:D38" si="7">C36/C37*1000</f>
        <v>218823.13864091871</v>
      </c>
      <c r="D38" s="73">
        <f t="shared" si="7"/>
        <v>275886.03009798861</v>
      </c>
      <c r="V38" s="12"/>
      <c r="W38" s="12"/>
      <c r="X38" s="12"/>
      <c r="Y38" s="12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</row>
    <row r="39" spans="1:134" s="2" customFormat="1" ht="15">
      <c r="A39" s="2" t="s">
        <v>72</v>
      </c>
      <c r="C39" s="1"/>
      <c r="D39" s="69"/>
      <c r="I39" s="1"/>
      <c r="L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</row>
  </sheetData>
  <sheetProtection formatColumns="0" formatRows="0"/>
  <pageMargins left="0.70866141732283472" right="0.70866141732283472" top="0.74803149606299213" bottom="0.74803149606299213" header="0.31496062992125984" footer="0.31496062992125984"/>
  <pageSetup paperSize="9" scale="10" orientation="portrait" r:id="rId1"/>
  <colBreaks count="4" manualBreakCount="4">
    <brk id="61" max="95" man="1"/>
    <brk id="97" max="1048575" man="1"/>
    <brk id="121" max="1048575" man="1"/>
    <brk id="12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Q39"/>
  <sheetViews>
    <sheetView tabSelected="1" zoomScale="106" zoomScaleNormal="106" zoomScaleSheetLayoutView="100" workbookViewId="0">
      <pane xSplit="2" ySplit="5" topLeftCell="C6" activePane="bottomRight" state="frozen"/>
      <selection activeCell="G8" sqref="G8"/>
      <selection pane="topRight" activeCell="G8" sqref="G8"/>
      <selection pane="bottomLeft" activeCell="G8" sqref="G8"/>
      <selection pane="bottomRight" activeCell="H14" sqref="H14"/>
    </sheetView>
  </sheetViews>
  <sheetFormatPr defaultColWidth="8.85546875" defaultRowHeight="15"/>
  <cols>
    <col min="1" max="1" width="11" style="21" customWidth="1"/>
    <col min="2" max="2" width="21.42578125" style="2" customWidth="1"/>
    <col min="3" max="3" width="16.5703125" style="1" customWidth="1"/>
    <col min="4" max="4" width="17" style="77" customWidth="1"/>
    <col min="5" max="20" width="9.140625" style="2" customWidth="1"/>
    <col min="21" max="21" width="12.140625" style="2" customWidth="1"/>
    <col min="22" max="25" width="9.140625" style="2" customWidth="1"/>
    <col min="26" max="30" width="9.140625" style="2" hidden="1" customWidth="1"/>
    <col min="31" max="31" width="9.140625" style="2" customWidth="1"/>
    <col min="32" max="36" width="9.140625" style="2" hidden="1" customWidth="1"/>
    <col min="37" max="37" width="9.140625" style="2" customWidth="1"/>
    <col min="38" max="42" width="9.140625" style="2" hidden="1" customWidth="1"/>
    <col min="43" max="43" width="9.140625" style="2" customWidth="1"/>
    <col min="44" max="48" width="9.140625" style="2" hidden="1" customWidth="1"/>
    <col min="49" max="49" width="9.140625" style="2" customWidth="1"/>
    <col min="50" max="54" width="9.140625" style="2" hidden="1" customWidth="1"/>
    <col min="55" max="55" width="9.140625" style="1" customWidth="1"/>
    <col min="56" max="60" width="9.140625" style="1" hidden="1" customWidth="1"/>
    <col min="61" max="61" width="9.140625" style="1" customWidth="1"/>
    <col min="62" max="66" width="9.140625" style="1" hidden="1" customWidth="1"/>
    <col min="67" max="67" width="9.140625" style="1" customWidth="1"/>
    <col min="68" max="72" width="9.140625" style="1" hidden="1" customWidth="1"/>
    <col min="73" max="73" width="9.140625" style="1" customWidth="1"/>
    <col min="74" max="103" width="9.140625" style="2" customWidth="1"/>
    <col min="104" max="104" width="9.140625" style="2" hidden="1" customWidth="1"/>
    <col min="105" max="112" width="9.140625" style="2" customWidth="1"/>
    <col min="113" max="113" width="9.140625" style="2" hidden="1" customWidth="1"/>
    <col min="114" max="118" width="9.140625" style="2" customWidth="1"/>
    <col min="119" max="119" width="9.140625" style="2" hidden="1" customWidth="1"/>
    <col min="120" max="129" width="9.140625" style="2" customWidth="1"/>
    <col min="130" max="133" width="8.85546875" style="2"/>
    <col min="134" max="134" width="12.7109375" style="2" bestFit="1" customWidth="1"/>
    <col min="135" max="16384" width="8.85546875" style="2"/>
  </cols>
  <sheetData>
    <row r="1" spans="1:134" ht="15.75">
      <c r="A1" s="21" t="s">
        <v>38</v>
      </c>
      <c r="B1" s="3" t="s">
        <v>50</v>
      </c>
    </row>
    <row r="2" spans="1:134" ht="15.75">
      <c r="A2" s="4" t="s">
        <v>36</v>
      </c>
    </row>
    <row r="3" spans="1:134" ht="15.75">
      <c r="A3" s="4"/>
      <c r="D3" s="1" t="str">
        <f>[1]GSVA_cur!$I$3</f>
        <v>01.08.2025</v>
      </c>
    </row>
    <row r="4" spans="1:134" ht="15.75">
      <c r="A4" s="4"/>
      <c r="C4" s="63" t="s">
        <v>41</v>
      </c>
    </row>
    <row r="5" spans="1:134" ht="15.75">
      <c r="A5" s="85" t="s">
        <v>0</v>
      </c>
      <c r="B5" s="66" t="s">
        <v>1</v>
      </c>
      <c r="C5" s="64" t="s">
        <v>49</v>
      </c>
      <c r="D5" s="78" t="s">
        <v>71</v>
      </c>
    </row>
    <row r="6" spans="1:134" s="15" customFormat="1" ht="30">
      <c r="A6" s="22" t="s">
        <v>23</v>
      </c>
      <c r="B6" s="23" t="s">
        <v>2</v>
      </c>
      <c r="C6" s="67">
        <f>SUM(C7:C10)</f>
        <v>76200.628006169951</v>
      </c>
      <c r="D6" s="79">
        <f>SUM(D7:D10)</f>
        <v>133024.16905824962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D6" s="16"/>
    </row>
    <row r="7" spans="1:134" s="18" customFormat="1" ht="15.75">
      <c r="A7" s="25">
        <v>1.1000000000000001</v>
      </c>
      <c r="B7" s="26" t="s">
        <v>43</v>
      </c>
      <c r="C7" s="27">
        <v>12450.751324761817</v>
      </c>
      <c r="D7" s="80">
        <v>28586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/>
      <c r="EB7"/>
      <c r="EC7"/>
    </row>
    <row r="8" spans="1:134" s="18" customFormat="1" ht="15.75">
      <c r="A8" s="25">
        <v>1.2</v>
      </c>
      <c r="B8" s="26" t="s">
        <v>44</v>
      </c>
      <c r="C8" s="27">
        <v>26029.593644030683</v>
      </c>
      <c r="D8" s="80">
        <v>63481.624205508379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/>
      <c r="EB8"/>
      <c r="EC8"/>
    </row>
    <row r="9" spans="1:134" s="18" customFormat="1" ht="15.75">
      <c r="A9" s="25">
        <v>1.3</v>
      </c>
      <c r="B9" s="26" t="s">
        <v>45</v>
      </c>
      <c r="C9" s="27">
        <v>37180.445841407447</v>
      </c>
      <c r="D9" s="80">
        <v>40497.708794476901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/>
      <c r="EB9"/>
      <c r="EC9"/>
    </row>
    <row r="10" spans="1:134" s="18" customFormat="1" ht="30">
      <c r="A10" s="25">
        <v>1.4</v>
      </c>
      <c r="B10" s="26" t="s">
        <v>46</v>
      </c>
      <c r="C10" s="27">
        <v>539.83719597000652</v>
      </c>
      <c r="D10" s="80">
        <v>458.8360582643445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/>
      <c r="EB10"/>
      <c r="EC10"/>
    </row>
    <row r="11" spans="1:134" s="18" customFormat="1" ht="15.75">
      <c r="A11" s="25" t="s">
        <v>61</v>
      </c>
      <c r="B11" s="26" t="s">
        <v>3</v>
      </c>
      <c r="C11" s="27">
        <v>6132</v>
      </c>
      <c r="D11" s="80">
        <v>16769.859660372356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/>
      <c r="EB11"/>
      <c r="EC11"/>
    </row>
    <row r="12" spans="1:134" s="16" customFormat="1" ht="15.75">
      <c r="A12" s="28"/>
      <c r="B12" s="29" t="s">
        <v>25</v>
      </c>
      <c r="C12" s="30">
        <f t="shared" ref="C12:D12" si="0">C6+C11</f>
        <v>82332.628006169951</v>
      </c>
      <c r="D12" s="81">
        <f t="shared" si="0"/>
        <v>149794.02871862199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5"/>
      <c r="EB12" s="15"/>
      <c r="EC12" s="15"/>
    </row>
    <row r="13" spans="1:134" customFormat="1" ht="15.75">
      <c r="A13" s="31" t="s">
        <v>62</v>
      </c>
      <c r="B13" s="32" t="s">
        <v>4</v>
      </c>
      <c r="C13" s="33">
        <v>-404.76036845536782</v>
      </c>
      <c r="D13" s="82">
        <v>4224.221874601295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D13" s="18"/>
    </row>
    <row r="14" spans="1:134" s="18" customFormat="1" ht="45">
      <c r="A14" s="25" t="s">
        <v>63</v>
      </c>
      <c r="B14" s="26" t="s">
        <v>5</v>
      </c>
      <c r="C14" s="34">
        <v>19537.894580135948</v>
      </c>
      <c r="D14" s="80">
        <v>20266.4964424387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3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3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3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/>
      <c r="EB14"/>
      <c r="EC14"/>
    </row>
    <row r="15" spans="1:134" s="18" customFormat="1" ht="15.75">
      <c r="A15" s="25" t="s">
        <v>64</v>
      </c>
      <c r="B15" s="26" t="s">
        <v>6</v>
      </c>
      <c r="C15" s="34">
        <v>34731.587502522205</v>
      </c>
      <c r="D15" s="80">
        <v>57814.673032314728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3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3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3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/>
      <c r="EB15"/>
      <c r="EC15"/>
    </row>
    <row r="16" spans="1:134" s="16" customFormat="1" ht="15.75">
      <c r="A16" s="28"/>
      <c r="B16" s="29" t="s">
        <v>26</v>
      </c>
      <c r="C16" s="30">
        <f t="shared" ref="C16:D16" si="1">+C13+C14+C15</f>
        <v>53864.72171420278</v>
      </c>
      <c r="D16" s="81">
        <f t="shared" si="1"/>
        <v>82305.39134935473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4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4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4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5"/>
      <c r="EB16" s="15"/>
      <c r="EC16" s="15"/>
    </row>
    <row r="17" spans="1:134" s="15" customFormat="1" ht="30">
      <c r="A17" s="22" t="s">
        <v>65</v>
      </c>
      <c r="B17" s="23" t="s">
        <v>7</v>
      </c>
      <c r="C17" s="35">
        <f t="shared" ref="C17:D17" si="2">C18+C19</f>
        <v>34017.111033300149</v>
      </c>
      <c r="D17" s="83">
        <f t="shared" si="2"/>
        <v>39505.524011743386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D17" s="16"/>
    </row>
    <row r="18" spans="1:134" s="18" customFormat="1" ht="30">
      <c r="A18" s="25">
        <v>6.1</v>
      </c>
      <c r="B18" s="26" t="s">
        <v>8</v>
      </c>
      <c r="C18" s="34">
        <v>33499.876688970427</v>
      </c>
      <c r="D18" s="80">
        <v>38727.582696421654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/>
      <c r="EB18"/>
      <c r="EC18"/>
    </row>
    <row r="19" spans="1:134" s="18" customFormat="1" ht="15.75">
      <c r="A19" s="25">
        <v>6.2</v>
      </c>
      <c r="B19" s="26" t="s">
        <v>9</v>
      </c>
      <c r="C19" s="34">
        <v>517.23434432972454</v>
      </c>
      <c r="D19" s="80">
        <v>777.94131532173469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/>
      <c r="EB19"/>
      <c r="EC19"/>
    </row>
    <row r="20" spans="1:134" s="15" customFormat="1" ht="60">
      <c r="A20" s="36" t="s">
        <v>66</v>
      </c>
      <c r="B20" s="37" t="s">
        <v>10</v>
      </c>
      <c r="C20" s="35">
        <f>SUM(C21:C27)</f>
        <v>27274.79916654855</v>
      </c>
      <c r="D20" s="83">
        <f>SUM(D21:D27)</f>
        <v>36751.804305697886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D20" s="16"/>
    </row>
    <row r="21" spans="1:134" s="18" customFormat="1" ht="15.75">
      <c r="A21" s="25">
        <v>7.1</v>
      </c>
      <c r="B21" s="26" t="s">
        <v>11</v>
      </c>
      <c r="C21" s="34">
        <v>0</v>
      </c>
      <c r="D21" s="80">
        <v>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/>
      <c r="EB21"/>
      <c r="EC21"/>
    </row>
    <row r="22" spans="1:134" s="18" customFormat="1" ht="15.75">
      <c r="A22" s="25">
        <v>7.2</v>
      </c>
      <c r="B22" s="26" t="s">
        <v>12</v>
      </c>
      <c r="C22" s="34">
        <v>11955.508596657623</v>
      </c>
      <c r="D22" s="80">
        <v>13247.872526981162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/>
      <c r="EB22"/>
      <c r="EC22"/>
    </row>
    <row r="23" spans="1:134" s="18" customFormat="1" ht="15.75">
      <c r="A23" s="25">
        <v>7.3</v>
      </c>
      <c r="B23" s="26" t="s">
        <v>13</v>
      </c>
      <c r="C23" s="34">
        <v>0</v>
      </c>
      <c r="D23" s="80">
        <v>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/>
      <c r="EB23"/>
      <c r="EC23"/>
    </row>
    <row r="24" spans="1:134" s="18" customFormat="1" ht="15.75">
      <c r="A24" s="25">
        <v>7.4</v>
      </c>
      <c r="B24" s="26" t="s">
        <v>14</v>
      </c>
      <c r="C24" s="34">
        <v>2028.5553637476951</v>
      </c>
      <c r="D24" s="80">
        <v>5770.9018778983764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/>
      <c r="EB24"/>
      <c r="EC24"/>
    </row>
    <row r="25" spans="1:134" s="18" customFormat="1" ht="30">
      <c r="A25" s="25">
        <v>7.5</v>
      </c>
      <c r="B25" s="26" t="s">
        <v>15</v>
      </c>
      <c r="C25" s="34">
        <v>4048.115008971417</v>
      </c>
      <c r="D25" s="80">
        <v>6767.1086684498368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/>
      <c r="EB25"/>
      <c r="EC25"/>
    </row>
    <row r="26" spans="1:134" s="18" customFormat="1" ht="15.75">
      <c r="A26" s="25">
        <v>7.6</v>
      </c>
      <c r="B26" s="26" t="s">
        <v>16</v>
      </c>
      <c r="C26" s="34">
        <v>0</v>
      </c>
      <c r="D26" s="80">
        <v>458.22170050816067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/>
      <c r="EB26"/>
      <c r="EC26"/>
    </row>
    <row r="27" spans="1:134" s="18" customFormat="1" ht="45">
      <c r="A27" s="25">
        <v>7.7</v>
      </c>
      <c r="B27" s="26" t="s">
        <v>17</v>
      </c>
      <c r="C27" s="34">
        <v>9242.6201971718147</v>
      </c>
      <c r="D27" s="80">
        <v>10507.699531860348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/>
      <c r="EB27"/>
      <c r="EC27"/>
    </row>
    <row r="28" spans="1:134" s="18" customFormat="1" ht="15.75">
      <c r="A28" s="25" t="s">
        <v>67</v>
      </c>
      <c r="B28" s="26" t="s">
        <v>18</v>
      </c>
      <c r="C28" s="34">
        <v>20731.81548077027</v>
      </c>
      <c r="D28" s="80">
        <v>22556.721673325661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/>
      <c r="EB28"/>
      <c r="EC28"/>
    </row>
    <row r="29" spans="1:134" s="18" customFormat="1" ht="60">
      <c r="A29" s="25" t="s">
        <v>68</v>
      </c>
      <c r="B29" s="26" t="s">
        <v>19</v>
      </c>
      <c r="C29" s="34">
        <v>31649.259709864178</v>
      </c>
      <c r="D29" s="80">
        <v>33732.281669438977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/>
      <c r="EB29"/>
      <c r="EC29"/>
    </row>
    <row r="30" spans="1:134" s="18" customFormat="1" ht="15.75">
      <c r="A30" s="25" t="s">
        <v>69</v>
      </c>
      <c r="B30" s="26" t="s">
        <v>39</v>
      </c>
      <c r="C30" s="34">
        <v>109195.64</v>
      </c>
      <c r="D30" s="80">
        <v>103585.43687000001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/>
      <c r="EB30"/>
      <c r="EC30"/>
    </row>
    <row r="31" spans="1:134" s="18" customFormat="1" ht="15.75">
      <c r="A31" s="25" t="s">
        <v>70</v>
      </c>
      <c r="B31" s="26" t="s">
        <v>20</v>
      </c>
      <c r="C31" s="34">
        <v>135748.35306033987</v>
      </c>
      <c r="D31" s="80">
        <v>129880.56766240133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/>
      <c r="EB31"/>
      <c r="EC31"/>
    </row>
    <row r="32" spans="1:134" s="16" customFormat="1" ht="15.75">
      <c r="A32" s="28"/>
      <c r="B32" s="29" t="s">
        <v>27</v>
      </c>
      <c r="C32" s="30">
        <f t="shared" ref="C32:D32" si="3">C17+C20+C28+C29+C30+C31</f>
        <v>358616.97845082299</v>
      </c>
      <c r="D32" s="81">
        <f t="shared" si="3"/>
        <v>366012.33619260724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5"/>
      <c r="EB32" s="15"/>
      <c r="EC32" s="15"/>
    </row>
    <row r="33" spans="1:134" s="15" customFormat="1" ht="30">
      <c r="A33" s="22" t="s">
        <v>24</v>
      </c>
      <c r="B33" s="38" t="s">
        <v>37</v>
      </c>
      <c r="C33" s="24">
        <f>C6+C11+C13+C14+C15+C17+C20+C28+C29+C30+C31</f>
        <v>494814.32817119581</v>
      </c>
      <c r="D33" s="81">
        <f>D6+D11+D13+D14+D15+D17+D20+D28+D29+D30+D31</f>
        <v>598111.75626058399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D33" s="16"/>
    </row>
    <row r="34" spans="1:134" s="16" customFormat="1" ht="15.75">
      <c r="A34" s="39" t="s">
        <v>30</v>
      </c>
      <c r="B34" s="40" t="s">
        <v>22</v>
      </c>
      <c r="C34" s="30">
        <f>GSVA_cur!C34</f>
        <v>75446.645741267508</v>
      </c>
      <c r="D34" s="81">
        <f>GSVA_cur!D34</f>
        <v>136527.97258690055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</row>
    <row r="35" spans="1:134" s="16" customFormat="1" ht="15.75">
      <c r="A35" s="39" t="s">
        <v>31</v>
      </c>
      <c r="B35" s="40" t="s">
        <v>21</v>
      </c>
      <c r="C35" s="30">
        <f>GSVA_cur!C35</f>
        <v>9352.0000000000018</v>
      </c>
      <c r="D35" s="81">
        <f>GSVA_cur!D35</f>
        <v>5137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</row>
    <row r="36" spans="1:134" s="16" customFormat="1" ht="30">
      <c r="A36" s="39" t="s">
        <v>32</v>
      </c>
      <c r="B36" s="40" t="s">
        <v>47</v>
      </c>
      <c r="C36" s="30">
        <f>C33+C34-C35</f>
        <v>560908.97391246329</v>
      </c>
      <c r="D36" s="81">
        <f>D33+D34-D35</f>
        <v>729502.72884748457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</row>
    <row r="37" spans="1:134" s="16" customFormat="1" ht="15.75">
      <c r="A37" s="39" t="s">
        <v>33</v>
      </c>
      <c r="B37" s="40" t="s">
        <v>29</v>
      </c>
      <c r="C37" s="41">
        <f>GSVA_cur!C37</f>
        <v>3000</v>
      </c>
      <c r="D37" s="84">
        <f>GSVA_cur!D37</f>
        <v>3010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</row>
    <row r="38" spans="1:134" s="16" customFormat="1" ht="15.75">
      <c r="A38" s="39" t="s">
        <v>34</v>
      </c>
      <c r="B38" s="40" t="s">
        <v>48</v>
      </c>
      <c r="C38" s="30">
        <f>C36/C37*1000</f>
        <v>186969.65797082108</v>
      </c>
      <c r="D38" s="81">
        <f>D36/D37*1000</f>
        <v>242359.71058055965</v>
      </c>
      <c r="V38" s="19"/>
      <c r="W38" s="19"/>
      <c r="X38" s="19"/>
      <c r="Y38" s="19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</row>
    <row r="39" spans="1:134">
      <c r="A39" s="2" t="s">
        <v>72</v>
      </c>
      <c r="D39" s="69"/>
      <c r="I39" s="1"/>
      <c r="L39" s="1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</row>
  </sheetData>
  <sheetProtection formatColumns="0" formatRows="0"/>
  <pageMargins left="0.70866141732283472" right="0.70866141732283472" top="0.74803149606299213" bottom="0.74803149606299213" header="0.31496062992125984" footer="0.31496062992125984"/>
  <pageSetup paperSize="9" scale="10" orientation="portrait" r:id="rId1"/>
  <colBreaks count="4" manualBreakCount="4">
    <brk id="61" max="95" man="1"/>
    <brk id="97" max="1048575" man="1"/>
    <brk id="121" max="1048575" man="1"/>
    <brk id="129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GSVA_cur</vt:lpstr>
      <vt:lpstr>NSVA_cur</vt:lpstr>
      <vt:lpstr>GSVA_cur!Print_Titles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2025-08-04T05:57:35Z</dcterms:modified>
</cp:coreProperties>
</file>