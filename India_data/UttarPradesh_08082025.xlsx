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defaultThemeVersion="124226"/>
  <xr:revisionPtr revIDLastSave="0" documentId="13_ncr:1_{B82B4146-9794-4667-949A-978AF6F7D5D5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</workbook>
</file>

<file path=xl/calcChain.xml><?xml version="1.0" encoding="utf-8"?>
<calcChain xmlns="http://schemas.openxmlformats.org/spreadsheetml/2006/main">
  <c r="P34" i="12" l="1"/>
  <c r="P35" i="12"/>
  <c r="P37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C35" i="12"/>
  <c r="C34" i="12"/>
  <c r="P34" i="11"/>
  <c r="P35" i="11"/>
  <c r="P37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C35" i="11"/>
  <c r="C34" i="11"/>
  <c r="P37" i="1"/>
  <c r="D37" i="11"/>
  <c r="E37" i="11"/>
  <c r="F37" i="11"/>
  <c r="G37" i="11"/>
  <c r="H37" i="11"/>
  <c r="I37" i="11"/>
  <c r="J37" i="11"/>
  <c r="K37" i="11"/>
  <c r="L37" i="11"/>
  <c r="M37" i="11"/>
  <c r="N37" i="11"/>
  <c r="O37" i="11"/>
  <c r="D37" i="12"/>
  <c r="E37" i="12"/>
  <c r="F37" i="12"/>
  <c r="G37" i="12"/>
  <c r="H37" i="12"/>
  <c r="I37" i="12"/>
  <c r="J37" i="12"/>
  <c r="K37" i="12"/>
  <c r="L37" i="12"/>
  <c r="M37" i="12"/>
  <c r="N37" i="12"/>
  <c r="O37" i="12"/>
  <c r="D37" i="1"/>
  <c r="E37" i="1"/>
  <c r="F37" i="1"/>
  <c r="G37" i="1"/>
  <c r="H37" i="1"/>
  <c r="I37" i="1"/>
  <c r="J37" i="1"/>
  <c r="K37" i="1"/>
  <c r="L37" i="1"/>
  <c r="M37" i="1"/>
  <c r="N37" i="1"/>
  <c r="O37" i="1"/>
  <c r="C37" i="11"/>
  <c r="C37" i="12"/>
  <c r="C37" i="1"/>
  <c r="P20" i="1"/>
  <c r="P20" i="11"/>
  <c r="P20" i="12"/>
  <c r="P20" i="10"/>
  <c r="P16" i="1"/>
  <c r="P16" i="11"/>
  <c r="P16" i="12"/>
  <c r="P16" i="10"/>
  <c r="P6" i="1"/>
  <c r="P6" i="11"/>
  <c r="P6" i="12"/>
  <c r="P6" i="10"/>
  <c r="P12" i="11" l="1"/>
  <c r="P12" i="1"/>
  <c r="P32" i="12"/>
  <c r="P32" i="10"/>
  <c r="P32" i="11"/>
  <c r="P12" i="12"/>
  <c r="P12" i="10"/>
  <c r="P32" i="1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O6" i="12"/>
  <c r="N6" i="12"/>
  <c r="M6" i="12"/>
  <c r="L6" i="12"/>
  <c r="L12" i="12" s="1"/>
  <c r="K6" i="12"/>
  <c r="K12" i="12" s="1"/>
  <c r="J6" i="12"/>
  <c r="J12" i="12" s="1"/>
  <c r="I6" i="12"/>
  <c r="I12" i="12" s="1"/>
  <c r="H6" i="12"/>
  <c r="H12" i="12" s="1"/>
  <c r="G6" i="12"/>
  <c r="G12" i="12" s="1"/>
  <c r="F6" i="12"/>
  <c r="F12" i="12" s="1"/>
  <c r="E6" i="12"/>
  <c r="E12" i="12" s="1"/>
  <c r="D6" i="12"/>
  <c r="D12" i="12" s="1"/>
  <c r="C6" i="12"/>
  <c r="C12" i="12" s="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O6" i="1"/>
  <c r="N6" i="1"/>
  <c r="M6" i="1"/>
  <c r="L6" i="1"/>
  <c r="L12" i="1" s="1"/>
  <c r="K6" i="1"/>
  <c r="K12" i="1" s="1"/>
  <c r="J6" i="1"/>
  <c r="J12" i="1" s="1"/>
  <c r="I6" i="1"/>
  <c r="I12" i="1" s="1"/>
  <c r="H6" i="1"/>
  <c r="H12" i="1" s="1"/>
  <c r="G6" i="1"/>
  <c r="G12" i="1" s="1"/>
  <c r="F6" i="1"/>
  <c r="F12" i="1" s="1"/>
  <c r="E6" i="1"/>
  <c r="E12" i="1" s="1"/>
  <c r="D6" i="1"/>
  <c r="D12" i="1" s="1"/>
  <c r="C6" i="1"/>
  <c r="C12" i="1" s="1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O6" i="10"/>
  <c r="N6" i="10"/>
  <c r="M6" i="10"/>
  <c r="L6" i="10"/>
  <c r="L12" i="10" s="1"/>
  <c r="K6" i="10"/>
  <c r="K12" i="10" s="1"/>
  <c r="J6" i="10"/>
  <c r="J12" i="10" s="1"/>
  <c r="I6" i="10"/>
  <c r="I12" i="10" s="1"/>
  <c r="H6" i="10"/>
  <c r="H12" i="10" s="1"/>
  <c r="G6" i="10"/>
  <c r="G12" i="10" s="1"/>
  <c r="F6" i="10"/>
  <c r="F12" i="10" s="1"/>
  <c r="E6" i="10"/>
  <c r="E12" i="10" s="1"/>
  <c r="D6" i="10"/>
  <c r="D12" i="10" s="1"/>
  <c r="C6" i="10"/>
  <c r="C12" i="10" s="1"/>
  <c r="D12" i="11" l="1"/>
  <c r="I12" i="11"/>
  <c r="H12" i="11"/>
  <c r="K12" i="11"/>
  <c r="L12" i="11"/>
  <c r="E12" i="11"/>
  <c r="C12" i="11"/>
  <c r="F12" i="11"/>
  <c r="G12" i="11"/>
  <c r="J12" i="11"/>
  <c r="G32" i="11"/>
  <c r="J32" i="12"/>
  <c r="D32" i="12"/>
  <c r="J32" i="11"/>
  <c r="G32" i="1"/>
  <c r="H32" i="1"/>
  <c r="H33" i="1" s="1"/>
  <c r="H36" i="1" s="1"/>
  <c r="H38" i="1" s="1"/>
  <c r="C32" i="11"/>
  <c r="E32" i="12"/>
  <c r="F32" i="12"/>
  <c r="K32" i="12"/>
  <c r="K33" i="12" s="1"/>
  <c r="K36" i="12" s="1"/>
  <c r="K38" i="12" s="1"/>
  <c r="C32" i="12"/>
  <c r="C33" i="12" s="1"/>
  <c r="C36" i="12" s="1"/>
  <c r="C38" i="12" s="1"/>
  <c r="I32" i="12"/>
  <c r="P33" i="12"/>
  <c r="P36" i="12" s="1"/>
  <c r="E32" i="11"/>
  <c r="L32" i="11"/>
  <c r="P33" i="11"/>
  <c r="J32" i="1"/>
  <c r="J33" i="1" s="1"/>
  <c r="J36" i="1" s="1"/>
  <c r="J38" i="1" s="1"/>
  <c r="C32" i="1"/>
  <c r="C33" i="1" s="1"/>
  <c r="C36" i="1" s="1"/>
  <c r="C38" i="1" s="1"/>
  <c r="L32" i="1"/>
  <c r="L33" i="1" s="1"/>
  <c r="L36" i="1" s="1"/>
  <c r="L38" i="1" s="1"/>
  <c r="D32" i="1"/>
  <c r="D33" i="1" s="1"/>
  <c r="D36" i="1" s="1"/>
  <c r="D38" i="1" s="1"/>
  <c r="E32" i="1"/>
  <c r="E33" i="1" s="1"/>
  <c r="E36" i="1" s="1"/>
  <c r="E38" i="1" s="1"/>
  <c r="N12" i="1"/>
  <c r="E32" i="10"/>
  <c r="D32" i="10"/>
  <c r="D33" i="10" s="1"/>
  <c r="D36" i="10" s="1"/>
  <c r="D38" i="10" s="1"/>
  <c r="G32" i="10"/>
  <c r="I32" i="10"/>
  <c r="I33" i="10" s="1"/>
  <c r="I36" i="10" s="1"/>
  <c r="I38" i="10" s="1"/>
  <c r="L32" i="10"/>
  <c r="L33" i="10" s="1"/>
  <c r="L36" i="10" s="1"/>
  <c r="L38" i="10" s="1"/>
  <c r="L32" i="12"/>
  <c r="L33" i="12" s="1"/>
  <c r="L36" i="12" s="1"/>
  <c r="L38" i="12" s="1"/>
  <c r="H32" i="12"/>
  <c r="H33" i="12" s="1"/>
  <c r="H36" i="12" s="1"/>
  <c r="H38" i="12" s="1"/>
  <c r="I32" i="11"/>
  <c r="D32" i="11"/>
  <c r="F32" i="11"/>
  <c r="K32" i="11"/>
  <c r="F32" i="1"/>
  <c r="F33" i="1" s="1"/>
  <c r="F36" i="1" s="1"/>
  <c r="F38" i="1" s="1"/>
  <c r="J32" i="10"/>
  <c r="J33" i="10" s="1"/>
  <c r="J36" i="10" s="1"/>
  <c r="J38" i="10" s="1"/>
  <c r="C32" i="10"/>
  <c r="C33" i="10" s="1"/>
  <c r="C36" i="10" s="1"/>
  <c r="C38" i="10" s="1"/>
  <c r="N12" i="10"/>
  <c r="M32" i="10"/>
  <c r="M12" i="10"/>
  <c r="H32" i="10"/>
  <c r="H33" i="10" s="1"/>
  <c r="H36" i="10" s="1"/>
  <c r="H38" i="10" s="1"/>
  <c r="G33" i="10"/>
  <c r="G36" i="10" s="1"/>
  <c r="G38" i="10" s="1"/>
  <c r="M12" i="11"/>
  <c r="F33" i="12"/>
  <c r="F36" i="12" s="1"/>
  <c r="F38" i="12" s="1"/>
  <c r="M12" i="12"/>
  <c r="O32" i="1"/>
  <c r="N12" i="12"/>
  <c r="M32" i="12"/>
  <c r="D33" i="12"/>
  <c r="D36" i="12" s="1"/>
  <c r="D38" i="12" s="1"/>
  <c r="H32" i="11"/>
  <c r="N32" i="12"/>
  <c r="P33" i="10"/>
  <c r="J33" i="12"/>
  <c r="J36" i="12" s="1"/>
  <c r="J38" i="12" s="1"/>
  <c r="O32" i="10"/>
  <c r="M12" i="1"/>
  <c r="O12" i="11"/>
  <c r="N32" i="10"/>
  <c r="N12" i="11"/>
  <c r="M32" i="11"/>
  <c r="I33" i="12"/>
  <c r="I36" i="12" s="1"/>
  <c r="I38" i="12" s="1"/>
  <c r="E33" i="12"/>
  <c r="E36" i="12" s="1"/>
  <c r="E38" i="12" s="1"/>
  <c r="F32" i="10"/>
  <c r="F33" i="10" s="1"/>
  <c r="F36" i="10" s="1"/>
  <c r="F38" i="10" s="1"/>
  <c r="O12" i="1"/>
  <c r="I32" i="1"/>
  <c r="I33" i="1" s="1"/>
  <c r="I36" i="1" s="1"/>
  <c r="I38" i="1" s="1"/>
  <c r="N32" i="11"/>
  <c r="O32" i="11"/>
  <c r="K32" i="1"/>
  <c r="K33" i="1" s="1"/>
  <c r="K36" i="1" s="1"/>
  <c r="K38" i="1" s="1"/>
  <c r="O12" i="10"/>
  <c r="M32" i="1"/>
  <c r="G32" i="12"/>
  <c r="G33" i="12" s="1"/>
  <c r="G36" i="12" s="1"/>
  <c r="G38" i="12" s="1"/>
  <c r="K32" i="10"/>
  <c r="K33" i="10" s="1"/>
  <c r="K36" i="10" s="1"/>
  <c r="K38" i="10" s="1"/>
  <c r="N32" i="1"/>
  <c r="O12" i="12"/>
  <c r="O32" i="12"/>
  <c r="P33" i="1"/>
  <c r="G33" i="1"/>
  <c r="G36" i="1" s="1"/>
  <c r="G38" i="1" s="1"/>
  <c r="E33" i="10"/>
  <c r="E36" i="10" s="1"/>
  <c r="E38" i="10" s="1"/>
  <c r="I33" i="11" l="1"/>
  <c r="D33" i="11"/>
  <c r="G33" i="11"/>
  <c r="H33" i="11"/>
  <c r="E33" i="11"/>
  <c r="J33" i="11"/>
  <c r="F33" i="11"/>
  <c r="L33" i="11"/>
  <c r="K33" i="11"/>
  <c r="C33" i="11"/>
  <c r="P36" i="11"/>
  <c r="P38" i="12"/>
  <c r="O33" i="10"/>
  <c r="M33" i="10"/>
  <c r="N33" i="11"/>
  <c r="M33" i="11"/>
  <c r="P36" i="1"/>
  <c r="P36" i="10"/>
  <c r="M33" i="1"/>
  <c r="N33" i="12"/>
  <c r="M33" i="12"/>
  <c r="O33" i="12"/>
  <c r="N33" i="1"/>
  <c r="O33" i="1"/>
  <c r="O33" i="11"/>
  <c r="N33" i="10"/>
  <c r="G36" i="11" l="1"/>
  <c r="D36" i="11"/>
  <c r="K36" i="11"/>
  <c r="I36" i="11"/>
  <c r="L36" i="11"/>
  <c r="F36" i="11"/>
  <c r="J36" i="11"/>
  <c r="E36" i="11"/>
  <c r="H36" i="11"/>
  <c r="C36" i="11"/>
  <c r="P38" i="11"/>
  <c r="O36" i="10"/>
  <c r="N36" i="11"/>
  <c r="M36" i="10"/>
  <c r="O36" i="1"/>
  <c r="N36" i="10"/>
  <c r="M36" i="1"/>
  <c r="O36" i="11"/>
  <c r="N36" i="1"/>
  <c r="P38" i="10"/>
  <c r="O36" i="12"/>
  <c r="P38" i="1"/>
  <c r="M36" i="12"/>
  <c r="N36" i="12"/>
  <c r="M36" i="11"/>
  <c r="K38" i="11" l="1"/>
  <c r="H38" i="11"/>
  <c r="L38" i="11"/>
  <c r="D38" i="11"/>
  <c r="E38" i="11"/>
  <c r="G38" i="11"/>
  <c r="J38" i="11"/>
  <c r="F38" i="11"/>
  <c r="I38" i="11"/>
  <c r="C38" i="11"/>
  <c r="O38" i="10"/>
  <c r="M38" i="10"/>
  <c r="O38" i="11"/>
  <c r="N38" i="12"/>
  <c r="N38" i="10"/>
  <c r="O38" i="12"/>
  <c r="N38" i="11"/>
  <c r="M38" i="1"/>
  <c r="M38" i="11"/>
  <c r="M38" i="12"/>
  <c r="O38" i="1"/>
  <c r="N38" i="1"/>
  <c r="H2" i="1"/>
  <c r="H2" i="11"/>
  <c r="H2" i="12"/>
  <c r="H2" i="10"/>
  <c r="I43" i="10" l="1"/>
</calcChain>
</file>

<file path=xl/sharedStrings.xml><?xml version="1.0" encoding="utf-8"?>
<sst xmlns="http://schemas.openxmlformats.org/spreadsheetml/2006/main" count="296" uniqueCount="83">
  <si>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</si>
  <si>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</si>
  <si>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</si>
  <si>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</si>
  <si>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</si>
  <si>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</si>
  <si>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</si>
  <si>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</si>
  <si>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</si>
  <si>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</si>
  <si>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</si>
  <si>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</si>
  <si>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</si>
  <si>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</si>
  <si>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</si>
  <si>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</si>
  <si>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</si>
  <si>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</si>
  <si>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</si>
  <si>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</si>
  <si>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</si>
  <si>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</si>
  <si>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</si>
  <si>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</si>
  <si>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</si>
  <si>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Taxes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</si>
  <si>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</si>
  <si>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</si>
  <si>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</si>
  <si>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</si>
  <si>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</si>
  <si>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</si>
  <si>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</si>
  <si>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</si>
  <si>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</si>
  <si>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</si>
  <si>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</si>
  <si>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</si>
  <si>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</si>
  <si>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</si>
  <si>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</si>
  <si>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</si>
  <si>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</si>
  <si>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</si>
  <si>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</si>
  <si>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</si>
  <si>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</si>
  <si>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</si>
  <si>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</si>
  <si>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</si>
  <si>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</si>
  <si>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</si>
  <si>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</si>
  <si>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</si>
  <si>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</si>
  <si>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</si>
  <si>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</si>
  <si>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</si>
  <si>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</si>
  <si>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</si>
  <si>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</si>
  <si>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</si>
  <si>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</si>
  <si>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</si>
  <si>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</si>
  <si>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</si>
  <si>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Uttar Pradesh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</si>
  <si>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</si>
  <si>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</si>
  <si>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</si>
  <si>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</si>
  <si>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</si>
  <si>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</si>
  <si>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</si>
  <si>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</si>
  <si>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Trade &amp; repair services#</t>
  </si>
  <si>
    <t>Road transport#</t>
  </si>
  <si>
    <t>2024-25</t>
  </si>
  <si>
    <t>-</t>
  </si>
  <si>
    <t xml:space="preserve">Source:  Directorate of Economics &amp; Statistics of respective State Governments.      </t>
  </si>
  <si>
    <t xml:space="preserve">  Note:-In 2024-25,total figure of Trade &amp; Repair services and Hotel &amp; Resturants  has been provided. Item 7.2 includes 7.3, 7.4, 7.5</t>
  </si>
  <si>
    <t xml:space="preserve">Source:  Directorate of Economics &amp; Statistics of respective State Governments.        </t>
  </si>
  <si>
    <t xml:space="preserve">  Note:-In 2024-25, total figure of Trade &amp; Repair services and Hotel &amp; Resturants  has been provided. Item 7.2 includes 7.3, 7.4,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</si>
</sst>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sz val="14"/>
      <name val="Calibri"/>
      <family val="2"/>
      <scheme val="minor"/>
    </font>
    <font>
      <sz val="12"/>
      <color theme="1"/>
      <name val="Times New Roman"/>
      <family val="1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  <xf numFmtId="0" fontId="4" fillId="0" borderId="0"/>
    <xf numFmtId="0" fontId="5" fillId="0" borderId="0"/>
    <xf numFmtId="0" fontId="4" fillId="2" borderId="1" applyNumberFormat="0" applyFon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7" fillId="2" borderId="1" applyNumberFormat="0" applyFont="0" applyAlignment="0" applyProtection="0"/>
    <xf numFmtId="0" fontId="8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3" fillId="0" borderId="0"/>
  </cellStyleXfs>
  <cellXfs count="39">
    <xf numFmtId="0" fontId="0" fillId="0" borderId="0" xfId="0"/>
    <xf numFmtId="0" fontId="6" fillId="0" borderId="0" xfId="0" applyFont="1"/>
    <xf numFmtId="0" fontId="6" fillId="0" borderId="0" xfId="0" applyFont="1" applyProtection="1">
      <protection locked="0"/>
    </xf>
    <xf numFmtId="1" fontId="6" fillId="0" borderId="0" xfId="0" applyNumberFormat="1" applyFont="1"/>
    <xf numFmtId="1" fontId="6" fillId="0" borderId="0" xfId="0" applyNumberFormat="1" applyFont="1" applyProtection="1">
      <protection locked="0"/>
    </xf>
    <xf numFmtId="0" fontId="6" fillId="0" borderId="0" xfId="0" quotePrefix="1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>
      <alignment horizontal="left" vertical="center"/>
    </xf>
    <xf numFmtId="0" fontId="6" fillId="3" borderId="0" xfId="0" applyFont="1" applyFill="1" applyProtection="1">
      <protection locked="0"/>
    </xf>
    <xf numFmtId="1" fontId="6" fillId="3" borderId="0" xfId="0" applyNumberFormat="1" applyFont="1" applyFill="1"/>
    <xf numFmtId="0" fontId="6" fillId="3" borderId="0" xfId="0" applyFont="1" applyFill="1"/>
    <xf numFmtId="1" fontId="6" fillId="3" borderId="0" xfId="0" applyNumberFormat="1" applyFont="1" applyFill="1" applyProtection="1">
      <protection locked="0"/>
    </xf>
    <xf numFmtId="49" fontId="9" fillId="0" borderId="2" xfId="0" applyNumberFormat="1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Protection="1">
      <protection locked="0"/>
    </xf>
    <xf numFmtId="0" fontId="6" fillId="0" borderId="2" xfId="0" applyFont="1" applyBorder="1"/>
    <xf numFmtId="49" fontId="9" fillId="3" borderId="2" xfId="0" applyNumberFormat="1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1" fontId="6" fillId="3" borderId="2" xfId="0" applyNumberFormat="1" applyFont="1" applyFill="1" applyBorder="1" applyAlignment="1">
      <alignment horizontal="center"/>
    </xf>
    <xf numFmtId="49" fontId="9" fillId="0" borderId="2" xfId="0" applyNumberFormat="1" applyFont="1" applyBorder="1" applyAlignment="1" applyProtection="1">
      <alignment horizontal="right" vertical="center" wrapText="1"/>
      <protection locked="0"/>
    </xf>
    <xf numFmtId="0" fontId="6" fillId="0" borderId="2" xfId="0" applyFont="1" applyBorder="1" applyAlignment="1" applyProtection="1">
      <alignment horizontal="left" vertical="center" wrapText="1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49" fontId="9" fillId="3" borderId="2" xfId="0" applyNumberFormat="1" applyFont="1" applyFill="1" applyBorder="1" applyAlignment="1" applyProtection="1">
      <alignment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1" fontId="6" fillId="3" borderId="2" xfId="0" applyNumberFormat="1" applyFont="1" applyFill="1" applyBorder="1" applyAlignment="1" applyProtection="1">
      <alignment horizontal="center"/>
      <protection locked="0"/>
    </xf>
    <xf numFmtId="49" fontId="9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/>
    </xf>
    <xf numFmtId="49" fontId="11" fillId="3" borderId="2" xfId="0" applyNumberFormat="1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top" wrapText="1"/>
    </xf>
    <xf numFmtId="49" fontId="9" fillId="0" borderId="2" xfId="0" quotePrefix="1" applyNumberFormat="1" applyFont="1" applyBorder="1" applyAlignment="1">
      <alignment vertical="center" wrapText="1"/>
    </xf>
    <xf numFmtId="0" fontId="6" fillId="0" borderId="2" xfId="0" applyFont="1" applyBorder="1" applyAlignment="1" applyProtection="1">
      <alignment vertical="center" wrapText="1"/>
      <protection locked="0"/>
    </xf>
    <xf numFmtId="49" fontId="9" fillId="3" borderId="2" xfId="0" quotePrefix="1" applyNumberFormat="1" applyFont="1" applyFill="1" applyBorder="1" applyAlignment="1">
      <alignment vertical="center" wrapText="1"/>
    </xf>
    <xf numFmtId="0" fontId="6" fillId="3" borderId="2" xfId="0" applyFont="1" applyFill="1" applyBorder="1" applyAlignment="1" applyProtection="1">
      <alignment vertical="center" wrapText="1"/>
      <protection locked="0"/>
    </xf>
    <xf numFmtId="1" fontId="6" fillId="0" borderId="2" xfId="0" applyNumberFormat="1" applyFont="1" applyBorder="1"/>
    <xf numFmtId="1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center"/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L43"/>
  <sheetViews>
    <sheetView zoomScale="95" zoomScaleNormal="95" zoomScaleSheetLayoutView="100" workbookViewId="0">
      <pane xSplit="2" ySplit="5" topLeftCell="C6" activePane="bottomRight" state="frozen"/>
      <selection activeCell="A40" sqref="A40"/>
      <selection pane="topRight" activeCell="A40" sqref="A40"/>
      <selection pane="bottomLeft" activeCell="A40" sqref="A40"/>
      <selection pane="bottomRight" activeCell="A40" sqref="A40:H40"/>
    </sheetView>
  </sheetViews>
  <sheetFormatPr defaultColWidth="8.85546875" defaultRowHeight="15" x14ac:dyDescent="0.25"/>
  <cols>
    <col min="1" max="1" width="11" style="2" customWidth="1"/>
    <col min="2" max="2" width="29.140625" style="2" customWidth="1"/>
    <col min="3" max="6" width="16.42578125" style="2" customWidth="1"/>
    <col min="7" max="16" width="16.4257812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48</v>
      </c>
      <c r="H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5"/>
      <c r="F4" s="5" t="s">
        <v>57</v>
      </c>
    </row>
    <row r="5" spans="1:194" ht="15.75" x14ac:dyDescent="0.25">
      <c r="A5" s="12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  <c r="P5" s="15" t="s">
        <v>77</v>
      </c>
    </row>
    <row r="6" spans="1:194" s="10" customFormat="1" ht="30" x14ac:dyDescent="0.25">
      <c r="A6" s="16" t="s">
        <v>26</v>
      </c>
      <c r="B6" s="17" t="s">
        <v>2</v>
      </c>
      <c r="C6" s="18">
        <f>C7+C8+C9+C10</f>
        <v>18325197</v>
      </c>
      <c r="D6" s="18">
        <f t="shared" ref="D6:O6" si="0">D7+D8+D9+D10</f>
        <v>21307587</v>
      </c>
      <c r="E6" s="18">
        <f t="shared" si="0"/>
        <v>23803497</v>
      </c>
      <c r="F6" s="18">
        <f t="shared" si="0"/>
        <v>24523034</v>
      </c>
      <c r="G6" s="18">
        <f t="shared" si="0"/>
        <v>27250612</v>
      </c>
      <c r="H6" s="18">
        <f t="shared" si="0"/>
        <v>29638352</v>
      </c>
      <c r="I6" s="18">
        <f t="shared" si="0"/>
        <v>32617362</v>
      </c>
      <c r="J6" s="18">
        <f t="shared" si="0"/>
        <v>35181399</v>
      </c>
      <c r="K6" s="18">
        <f t="shared" si="0"/>
        <v>38107458</v>
      </c>
      <c r="L6" s="18">
        <f t="shared" si="0"/>
        <v>40462768.78497871</v>
      </c>
      <c r="M6" s="18">
        <f t="shared" si="0"/>
        <v>47894596.11824546</v>
      </c>
      <c r="N6" s="18">
        <f t="shared" si="0"/>
        <v>52663278.416016996</v>
      </c>
      <c r="O6" s="18">
        <f t="shared" si="0"/>
        <v>61581003.283496641</v>
      </c>
      <c r="P6" s="18">
        <f t="shared" ref="P6" si="1">P7+P8+P9+P10</f>
        <v>71260479.460579038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L6" s="8"/>
    </row>
    <row r="7" spans="1:194" ht="15.75" x14ac:dyDescent="0.25">
      <c r="A7" s="19">
        <v>1.1000000000000001</v>
      </c>
      <c r="B7" s="20" t="s">
        <v>59</v>
      </c>
      <c r="C7" s="21">
        <v>12415418</v>
      </c>
      <c r="D7" s="21">
        <v>14951864.000000002</v>
      </c>
      <c r="E7" s="21">
        <v>16250096</v>
      </c>
      <c r="F7" s="21">
        <v>15633360.999999998</v>
      </c>
      <c r="G7" s="21">
        <v>17638489</v>
      </c>
      <c r="H7" s="21">
        <v>19152008</v>
      </c>
      <c r="I7" s="21">
        <v>20579451</v>
      </c>
      <c r="J7" s="21">
        <v>22277846</v>
      </c>
      <c r="K7" s="21">
        <v>24450146</v>
      </c>
      <c r="L7" s="21">
        <v>26175365</v>
      </c>
      <c r="M7" s="21">
        <v>32640768</v>
      </c>
      <c r="N7" s="21">
        <v>34460810</v>
      </c>
      <c r="O7" s="21">
        <v>39626871</v>
      </c>
      <c r="P7" s="21">
        <v>46639051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19">
        <v>1.2</v>
      </c>
      <c r="B8" s="20" t="s">
        <v>60</v>
      </c>
      <c r="C8" s="21">
        <v>4383166</v>
      </c>
      <c r="D8" s="21">
        <v>4688682</v>
      </c>
      <c r="E8" s="21">
        <v>5898671</v>
      </c>
      <c r="F8" s="21">
        <v>7071078</v>
      </c>
      <c r="G8" s="21">
        <v>7905475</v>
      </c>
      <c r="H8" s="21">
        <v>8374981</v>
      </c>
      <c r="I8" s="21">
        <v>9855821</v>
      </c>
      <c r="J8" s="21">
        <v>10251955</v>
      </c>
      <c r="K8" s="21">
        <v>10626308</v>
      </c>
      <c r="L8" s="21">
        <v>10723373.106268803</v>
      </c>
      <c r="M8" s="21">
        <v>11815621.049213588</v>
      </c>
      <c r="N8" s="21">
        <v>14293434.416016998</v>
      </c>
      <c r="O8" s="21">
        <v>16965643.283496641</v>
      </c>
      <c r="P8" s="21">
        <v>19002288.460579034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19">
        <v>1.3</v>
      </c>
      <c r="B9" s="20" t="s">
        <v>61</v>
      </c>
      <c r="C9" s="21">
        <v>1249516</v>
      </c>
      <c r="D9" s="21">
        <v>1358583</v>
      </c>
      <c r="E9" s="21">
        <v>1312393</v>
      </c>
      <c r="F9" s="21">
        <v>1437865</v>
      </c>
      <c r="G9" s="21">
        <v>1324371</v>
      </c>
      <c r="H9" s="21">
        <v>1632917</v>
      </c>
      <c r="I9" s="21">
        <v>1694872</v>
      </c>
      <c r="J9" s="21">
        <v>1837966.9999999998</v>
      </c>
      <c r="K9" s="21">
        <v>1993803</v>
      </c>
      <c r="L9" s="21">
        <v>2487853.6787099079</v>
      </c>
      <c r="M9" s="21">
        <v>2270774.0690318691</v>
      </c>
      <c r="N9" s="21">
        <v>2486929</v>
      </c>
      <c r="O9" s="21">
        <v>3071374</v>
      </c>
      <c r="P9" s="21">
        <v>3313915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19">
        <v>1.4</v>
      </c>
      <c r="B10" s="20" t="s">
        <v>62</v>
      </c>
      <c r="C10" s="21">
        <v>277097</v>
      </c>
      <c r="D10" s="21">
        <v>308458</v>
      </c>
      <c r="E10" s="21">
        <v>342337</v>
      </c>
      <c r="F10" s="21">
        <v>380730</v>
      </c>
      <c r="G10" s="21">
        <v>382277</v>
      </c>
      <c r="H10" s="21">
        <v>478446</v>
      </c>
      <c r="I10" s="21">
        <v>487218</v>
      </c>
      <c r="J10" s="21">
        <v>813631</v>
      </c>
      <c r="K10" s="21">
        <v>1037201</v>
      </c>
      <c r="L10" s="21">
        <v>1076177</v>
      </c>
      <c r="M10" s="21">
        <v>1167433</v>
      </c>
      <c r="N10" s="21">
        <v>1422105</v>
      </c>
      <c r="O10" s="21">
        <v>1917115.0000000002</v>
      </c>
      <c r="P10" s="21">
        <v>2305225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12" t="s">
        <v>31</v>
      </c>
      <c r="B11" s="20" t="s">
        <v>3</v>
      </c>
      <c r="C11" s="21">
        <v>653517</v>
      </c>
      <c r="D11" s="21">
        <v>688795</v>
      </c>
      <c r="E11" s="21">
        <v>868920.00000000012</v>
      </c>
      <c r="F11" s="21">
        <v>961501</v>
      </c>
      <c r="G11" s="21">
        <v>1126263</v>
      </c>
      <c r="H11" s="21">
        <v>1246237</v>
      </c>
      <c r="I11" s="21">
        <v>2552481</v>
      </c>
      <c r="J11" s="21">
        <v>2475576</v>
      </c>
      <c r="K11" s="21">
        <v>1781018.9999999998</v>
      </c>
      <c r="L11" s="21">
        <v>1800565.0000000002</v>
      </c>
      <c r="M11" s="21">
        <v>1436161.8593058286</v>
      </c>
      <c r="N11" s="21">
        <v>2036075.8356182098</v>
      </c>
      <c r="O11" s="21">
        <v>2355882.3995856219</v>
      </c>
      <c r="P11" s="21">
        <v>2374313.5666232551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8" customFormat="1" ht="15.75" x14ac:dyDescent="0.25">
      <c r="A12" s="22"/>
      <c r="B12" s="23" t="s">
        <v>28</v>
      </c>
      <c r="C12" s="24">
        <f>C6+C11</f>
        <v>18978714</v>
      </c>
      <c r="D12" s="24">
        <f t="shared" ref="D12:P12" si="2">D6+D11</f>
        <v>21996382</v>
      </c>
      <c r="E12" s="24">
        <f t="shared" si="2"/>
        <v>24672417</v>
      </c>
      <c r="F12" s="24">
        <f t="shared" si="2"/>
        <v>25484535</v>
      </c>
      <c r="G12" s="24">
        <f t="shared" si="2"/>
        <v>28376875</v>
      </c>
      <c r="H12" s="24">
        <f t="shared" si="2"/>
        <v>30884589</v>
      </c>
      <c r="I12" s="24">
        <f t="shared" si="2"/>
        <v>35169843</v>
      </c>
      <c r="J12" s="24">
        <f t="shared" si="2"/>
        <v>37656975</v>
      </c>
      <c r="K12" s="24">
        <f t="shared" si="2"/>
        <v>39888477</v>
      </c>
      <c r="L12" s="24">
        <f t="shared" si="2"/>
        <v>42263333.78497871</v>
      </c>
      <c r="M12" s="24">
        <f t="shared" si="2"/>
        <v>49330757.977551289</v>
      </c>
      <c r="N12" s="24">
        <f t="shared" si="2"/>
        <v>54699354.251635209</v>
      </c>
      <c r="O12" s="24">
        <f t="shared" si="2"/>
        <v>63936885.68308226</v>
      </c>
      <c r="P12" s="24">
        <f t="shared" si="2"/>
        <v>73634793.027202293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0"/>
      <c r="GJ12" s="10"/>
      <c r="GK12" s="10"/>
    </row>
    <row r="13" spans="1:194" s="1" customFormat="1" ht="15.75" x14ac:dyDescent="0.25">
      <c r="A13" s="25" t="s">
        <v>32</v>
      </c>
      <c r="B13" s="26" t="s">
        <v>4</v>
      </c>
      <c r="C13" s="27">
        <v>8763582</v>
      </c>
      <c r="D13" s="27">
        <v>9522404</v>
      </c>
      <c r="E13" s="27">
        <v>11377466</v>
      </c>
      <c r="F13" s="27">
        <v>10512538</v>
      </c>
      <c r="G13" s="27">
        <v>13134491</v>
      </c>
      <c r="H13" s="27">
        <v>18103770</v>
      </c>
      <c r="I13" s="27">
        <v>17731090</v>
      </c>
      <c r="J13" s="27">
        <v>17342739</v>
      </c>
      <c r="K13" s="27">
        <v>18011175</v>
      </c>
      <c r="L13" s="27">
        <v>18456803</v>
      </c>
      <c r="M13" s="27">
        <v>22630757</v>
      </c>
      <c r="N13" s="27">
        <v>23768605</v>
      </c>
      <c r="O13" s="27">
        <v>26158673</v>
      </c>
      <c r="P13" s="27">
        <v>28338233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12" t="s">
        <v>33</v>
      </c>
      <c r="B14" s="20" t="s">
        <v>5</v>
      </c>
      <c r="C14" s="21">
        <v>926845.99999999988</v>
      </c>
      <c r="D14" s="21">
        <v>1228906</v>
      </c>
      <c r="E14" s="21">
        <v>1663539</v>
      </c>
      <c r="F14" s="21">
        <v>2001775.9999999998</v>
      </c>
      <c r="G14" s="21">
        <v>2261370</v>
      </c>
      <c r="H14" s="21">
        <v>2778157</v>
      </c>
      <c r="I14" s="21">
        <v>3073717</v>
      </c>
      <c r="J14" s="21">
        <v>3150667</v>
      </c>
      <c r="K14" s="21">
        <v>4032019.9999999995</v>
      </c>
      <c r="L14" s="21">
        <v>3786778</v>
      </c>
      <c r="M14" s="21">
        <v>5539579</v>
      </c>
      <c r="N14" s="21">
        <v>5864123</v>
      </c>
      <c r="O14" s="21">
        <v>6791116</v>
      </c>
      <c r="P14" s="21">
        <v>7170364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12" t="s">
        <v>34</v>
      </c>
      <c r="B15" s="20" t="s">
        <v>6</v>
      </c>
      <c r="C15" s="21">
        <v>8487701</v>
      </c>
      <c r="D15" s="21">
        <v>9320623</v>
      </c>
      <c r="E15" s="21">
        <v>10113422</v>
      </c>
      <c r="F15" s="21">
        <v>11285665</v>
      </c>
      <c r="G15" s="21">
        <v>11527519</v>
      </c>
      <c r="H15" s="21">
        <v>12518605</v>
      </c>
      <c r="I15" s="21">
        <v>13728724</v>
      </c>
      <c r="J15" s="21">
        <v>16145124</v>
      </c>
      <c r="K15" s="21">
        <v>16880350</v>
      </c>
      <c r="L15" s="21">
        <v>16164491</v>
      </c>
      <c r="M15" s="21">
        <v>22052046</v>
      </c>
      <c r="N15" s="21">
        <v>25923137</v>
      </c>
      <c r="O15" s="21">
        <v>29486580</v>
      </c>
      <c r="P15" s="21">
        <v>35606953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8" customFormat="1" ht="15.75" x14ac:dyDescent="0.25">
      <c r="A16" s="22"/>
      <c r="B16" s="23" t="s">
        <v>29</v>
      </c>
      <c r="C16" s="24">
        <f>C13+C14+C15</f>
        <v>18178129</v>
      </c>
      <c r="D16" s="24">
        <f t="shared" ref="D16:O16" si="3">D13+D14+D15</f>
        <v>20071933</v>
      </c>
      <c r="E16" s="24">
        <f t="shared" si="3"/>
        <v>23154427</v>
      </c>
      <c r="F16" s="24">
        <f t="shared" si="3"/>
        <v>23799979</v>
      </c>
      <c r="G16" s="24">
        <f t="shared" si="3"/>
        <v>26923380</v>
      </c>
      <c r="H16" s="24">
        <f t="shared" si="3"/>
        <v>33400532</v>
      </c>
      <c r="I16" s="24">
        <f t="shared" si="3"/>
        <v>34533531</v>
      </c>
      <c r="J16" s="24">
        <f t="shared" si="3"/>
        <v>36638530</v>
      </c>
      <c r="K16" s="24">
        <f t="shared" si="3"/>
        <v>38923545</v>
      </c>
      <c r="L16" s="24">
        <f t="shared" si="3"/>
        <v>38408072</v>
      </c>
      <c r="M16" s="24">
        <f t="shared" si="3"/>
        <v>50222382</v>
      </c>
      <c r="N16" s="24">
        <f t="shared" si="3"/>
        <v>55555865</v>
      </c>
      <c r="O16" s="24">
        <f t="shared" si="3"/>
        <v>62436369</v>
      </c>
      <c r="P16" s="24">
        <f t="shared" ref="P16" si="4">P13+P14+P15</f>
        <v>71115550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9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9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0"/>
      <c r="GJ16" s="10"/>
      <c r="GK16" s="10"/>
    </row>
    <row r="17" spans="1:194" s="10" customFormat="1" ht="30" x14ac:dyDescent="0.25">
      <c r="A17" s="16" t="s">
        <v>35</v>
      </c>
      <c r="B17" s="17" t="s">
        <v>7</v>
      </c>
      <c r="C17" s="18">
        <f>C18+C19</f>
        <v>6946588.3179423101</v>
      </c>
      <c r="D17" s="18">
        <f t="shared" ref="D17:O17" si="5">D18+D19</f>
        <v>7472500.2446572389</v>
      </c>
      <c r="E17" s="18">
        <f t="shared" si="5"/>
        <v>8669015.0133567955</v>
      </c>
      <c r="F17" s="18">
        <f t="shared" si="5"/>
        <v>9325621.8739527501</v>
      </c>
      <c r="G17" s="18">
        <f t="shared" si="5"/>
        <v>10507009.479263745</v>
      </c>
      <c r="H17" s="18">
        <f t="shared" si="5"/>
        <v>11590254.755563442</v>
      </c>
      <c r="I17" s="18">
        <f t="shared" si="5"/>
        <v>13049251.694951775</v>
      </c>
      <c r="J17" s="18">
        <f t="shared" si="5"/>
        <v>14949884.922002751</v>
      </c>
      <c r="K17" s="18">
        <f t="shared" si="5"/>
        <v>16293217</v>
      </c>
      <c r="L17" s="18">
        <f t="shared" si="5"/>
        <v>12239254</v>
      </c>
      <c r="M17" s="18">
        <f t="shared" si="5"/>
        <v>15108776.187822949</v>
      </c>
      <c r="N17" s="18">
        <f t="shared" si="5"/>
        <v>18797144</v>
      </c>
      <c r="O17" s="18">
        <f t="shared" si="5"/>
        <v>20177774</v>
      </c>
      <c r="P17" s="18">
        <v>23105439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L17" s="8"/>
    </row>
    <row r="18" spans="1:194" ht="15.75" x14ac:dyDescent="0.25">
      <c r="A18" s="19">
        <v>6.1</v>
      </c>
      <c r="B18" s="20" t="s">
        <v>75</v>
      </c>
      <c r="C18" s="27">
        <v>6162195.3556000004</v>
      </c>
      <c r="D18" s="27">
        <v>6641138.0700621912</v>
      </c>
      <c r="E18" s="27">
        <v>7679624.2219331982</v>
      </c>
      <c r="F18" s="27">
        <v>8409934.6542000007</v>
      </c>
      <c r="G18" s="27">
        <v>9487706.2028437555</v>
      </c>
      <c r="H18" s="27">
        <v>10486587.2035363</v>
      </c>
      <c r="I18" s="27">
        <v>11819320.974539647</v>
      </c>
      <c r="J18" s="27">
        <v>13403963.87220845</v>
      </c>
      <c r="K18" s="27">
        <v>14303739</v>
      </c>
      <c r="L18" s="27">
        <v>11506235</v>
      </c>
      <c r="M18" s="27">
        <v>13921151.744652506</v>
      </c>
      <c r="N18" s="27">
        <v>16397406</v>
      </c>
      <c r="O18" s="27">
        <v>17255477</v>
      </c>
      <c r="P18" s="27" t="s">
        <v>78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19">
        <v>6.2</v>
      </c>
      <c r="B19" s="20" t="s">
        <v>9</v>
      </c>
      <c r="C19" s="27">
        <v>784392.96234231</v>
      </c>
      <c r="D19" s="27">
        <v>831362.17459504725</v>
      </c>
      <c r="E19" s="27">
        <v>989390.79142359807</v>
      </c>
      <c r="F19" s="27">
        <v>915687.21975275001</v>
      </c>
      <c r="G19" s="27">
        <v>1019303.2764199898</v>
      </c>
      <c r="H19" s="27">
        <v>1103667.5520271414</v>
      </c>
      <c r="I19" s="27">
        <v>1229930.720412127</v>
      </c>
      <c r="J19" s="27">
        <v>1545921.0497943023</v>
      </c>
      <c r="K19" s="27">
        <v>1989478</v>
      </c>
      <c r="L19" s="27">
        <v>733019</v>
      </c>
      <c r="M19" s="27">
        <v>1187624.4431704434</v>
      </c>
      <c r="N19" s="27">
        <v>2399738</v>
      </c>
      <c r="O19" s="27">
        <v>2922297</v>
      </c>
      <c r="P19" s="27" t="s">
        <v>78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45" x14ac:dyDescent="0.25">
      <c r="A20" s="28" t="s">
        <v>36</v>
      </c>
      <c r="B20" s="29" t="s">
        <v>10</v>
      </c>
      <c r="C20" s="18">
        <f>C21+C22+C23+C24+C25+C26+C27</f>
        <v>4047468.0037999996</v>
      </c>
      <c r="D20" s="18">
        <f t="shared" ref="D20:P20" si="6">D21+D22+D23+D24+D25+D26+D27</f>
        <v>4918356.6460446119</v>
      </c>
      <c r="E20" s="18">
        <f t="shared" si="6"/>
        <v>6101010.4849552065</v>
      </c>
      <c r="F20" s="18">
        <f t="shared" si="6"/>
        <v>7243854.5919641564</v>
      </c>
      <c r="G20" s="18">
        <f t="shared" si="6"/>
        <v>8182395.6014354685</v>
      </c>
      <c r="H20" s="18">
        <f t="shared" si="6"/>
        <v>8793898.7600564547</v>
      </c>
      <c r="I20" s="18">
        <f t="shared" si="6"/>
        <v>9591114.8681757748</v>
      </c>
      <c r="J20" s="18">
        <f t="shared" si="6"/>
        <v>10809427</v>
      </c>
      <c r="K20" s="18">
        <f t="shared" si="6"/>
        <v>11854635.242999999</v>
      </c>
      <c r="L20" s="18">
        <f t="shared" si="6"/>
        <v>9781374</v>
      </c>
      <c r="M20" s="18">
        <f t="shared" si="6"/>
        <v>13706871.516541179</v>
      </c>
      <c r="N20" s="18">
        <f t="shared" si="6"/>
        <v>15508967</v>
      </c>
      <c r="O20" s="18">
        <f t="shared" si="6"/>
        <v>17412271</v>
      </c>
      <c r="P20" s="18">
        <f t="shared" si="6"/>
        <v>20304797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L20" s="8"/>
    </row>
    <row r="21" spans="1:194" ht="15.75" x14ac:dyDescent="0.25">
      <c r="A21" s="19">
        <v>7.1</v>
      </c>
      <c r="B21" s="20" t="s">
        <v>11</v>
      </c>
      <c r="C21" s="27">
        <v>1065434</v>
      </c>
      <c r="D21" s="27">
        <v>1226394</v>
      </c>
      <c r="E21" s="27">
        <v>1397228</v>
      </c>
      <c r="F21" s="27">
        <v>1539115</v>
      </c>
      <c r="G21" s="27">
        <v>1553983</v>
      </c>
      <c r="H21" s="27">
        <v>1722212</v>
      </c>
      <c r="I21" s="27">
        <v>2037270</v>
      </c>
      <c r="J21" s="27">
        <v>2149221</v>
      </c>
      <c r="K21" s="27">
        <v>2131849</v>
      </c>
      <c r="L21" s="27">
        <v>1824632</v>
      </c>
      <c r="M21" s="27">
        <v>2264420</v>
      </c>
      <c r="N21" s="27">
        <v>2831104</v>
      </c>
      <c r="O21" s="27">
        <v>3124059</v>
      </c>
      <c r="P21" s="27">
        <v>3874151.9999999995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19">
        <v>7.2</v>
      </c>
      <c r="B22" s="20" t="s">
        <v>76</v>
      </c>
      <c r="C22" s="27">
        <v>1976900.9935000001</v>
      </c>
      <c r="D22" s="27">
        <v>2477769.8039268204</v>
      </c>
      <c r="E22" s="27">
        <v>2885934.221479719</v>
      </c>
      <c r="F22" s="27">
        <v>3624607.4924134766</v>
      </c>
      <c r="G22" s="27">
        <v>4066588.4459920065</v>
      </c>
      <c r="H22" s="27">
        <v>4447678.7402910711</v>
      </c>
      <c r="I22" s="27">
        <v>4951907.3762746938</v>
      </c>
      <c r="J22" s="27">
        <v>5764736</v>
      </c>
      <c r="K22" s="27">
        <v>6549485.79</v>
      </c>
      <c r="L22" s="27">
        <v>4672081</v>
      </c>
      <c r="M22" s="27">
        <v>7594509.6783341197</v>
      </c>
      <c r="N22" s="27">
        <v>8204106</v>
      </c>
      <c r="O22" s="27">
        <v>9252081</v>
      </c>
      <c r="P22" s="27">
        <v>11015096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19">
        <v>7.3</v>
      </c>
      <c r="B23" s="20" t="s">
        <v>13</v>
      </c>
      <c r="C23" s="27">
        <v>1495.6854000000001</v>
      </c>
      <c r="D23" s="27">
        <v>782.80460000000005</v>
      </c>
      <c r="E23" s="27">
        <v>528.28160000000003</v>
      </c>
      <c r="F23" s="27">
        <v>646.2885</v>
      </c>
      <c r="G23" s="27">
        <v>687.66020000000003</v>
      </c>
      <c r="H23" s="27">
        <v>1105.328</v>
      </c>
      <c r="I23" s="27">
        <v>910.69017166197284</v>
      </c>
      <c r="J23" s="27">
        <v>1552</v>
      </c>
      <c r="K23" s="27">
        <v>1549.6179999999999</v>
      </c>
      <c r="L23" s="27">
        <v>2071</v>
      </c>
      <c r="M23" s="27">
        <v>3413.8985760255482</v>
      </c>
      <c r="N23" s="27">
        <v>1394</v>
      </c>
      <c r="O23" s="27">
        <v>8074</v>
      </c>
      <c r="P23" s="27"/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19">
        <v>7.4</v>
      </c>
      <c r="B24" s="20" t="s">
        <v>14</v>
      </c>
      <c r="C24" s="27">
        <v>7630.1632</v>
      </c>
      <c r="D24" s="27">
        <v>14732.3037</v>
      </c>
      <c r="E24" s="27">
        <v>15691.7376</v>
      </c>
      <c r="F24" s="27">
        <v>21881.0592</v>
      </c>
      <c r="G24" s="27">
        <v>42777.989399999999</v>
      </c>
      <c r="H24" s="27">
        <v>50337.821400000001</v>
      </c>
      <c r="I24" s="27">
        <v>51283.486690570819</v>
      </c>
      <c r="J24" s="27">
        <v>32901</v>
      </c>
      <c r="K24" s="27">
        <v>64419.417999999998</v>
      </c>
      <c r="L24" s="27">
        <v>45316</v>
      </c>
      <c r="M24" s="27">
        <v>38099.029242754652</v>
      </c>
      <c r="N24" s="27">
        <v>53236</v>
      </c>
      <c r="O24" s="27">
        <v>99405</v>
      </c>
      <c r="P24" s="27"/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19">
        <v>7.5</v>
      </c>
      <c r="B25" s="20" t="s">
        <v>15</v>
      </c>
      <c r="C25" s="27">
        <v>9842.1617000000006</v>
      </c>
      <c r="D25" s="27">
        <v>12018.733817791084</v>
      </c>
      <c r="E25" s="27">
        <v>14738.244275487108</v>
      </c>
      <c r="F25" s="27">
        <v>17905.75185068067</v>
      </c>
      <c r="G25" s="27">
        <v>19652.505843462226</v>
      </c>
      <c r="H25" s="27">
        <v>57601.870365384937</v>
      </c>
      <c r="I25" s="27">
        <v>67920.315038849876</v>
      </c>
      <c r="J25" s="27">
        <v>124763</v>
      </c>
      <c r="K25" s="27">
        <v>72789.417000000001</v>
      </c>
      <c r="L25" s="27">
        <v>23281</v>
      </c>
      <c r="M25" s="27">
        <v>55601.910388279306</v>
      </c>
      <c r="N25" s="27">
        <v>81252</v>
      </c>
      <c r="O25" s="27">
        <v>93257</v>
      </c>
      <c r="P25" s="27"/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19">
        <v>7.6</v>
      </c>
      <c r="B26" s="20" t="s">
        <v>16</v>
      </c>
      <c r="C26" s="21">
        <v>111006</v>
      </c>
      <c r="D26" s="21">
        <v>122608</v>
      </c>
      <c r="E26" s="21">
        <v>137454</v>
      </c>
      <c r="F26" s="21">
        <v>141867</v>
      </c>
      <c r="G26" s="21">
        <v>151842</v>
      </c>
      <c r="H26" s="21">
        <v>160060</v>
      </c>
      <c r="I26" s="21">
        <v>176755</v>
      </c>
      <c r="J26" s="21">
        <v>247842.99999999997</v>
      </c>
      <c r="K26" s="21">
        <v>267826</v>
      </c>
      <c r="L26" s="21">
        <v>281181</v>
      </c>
      <c r="M26" s="21">
        <v>297671</v>
      </c>
      <c r="N26" s="21">
        <v>337302</v>
      </c>
      <c r="O26" s="21">
        <v>391518</v>
      </c>
      <c r="P26" s="21">
        <v>440851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19">
        <v>7.7</v>
      </c>
      <c r="B27" s="20" t="s">
        <v>17</v>
      </c>
      <c r="C27" s="21">
        <v>875159</v>
      </c>
      <c r="D27" s="21">
        <v>1064051</v>
      </c>
      <c r="E27" s="21">
        <v>1649436</v>
      </c>
      <c r="F27" s="21">
        <v>1897832</v>
      </c>
      <c r="G27" s="21">
        <v>2346864</v>
      </c>
      <c r="H27" s="21">
        <v>2354903</v>
      </c>
      <c r="I27" s="21">
        <v>2305068</v>
      </c>
      <c r="J27" s="21">
        <v>2488411</v>
      </c>
      <c r="K27" s="21">
        <v>2766716</v>
      </c>
      <c r="L27" s="21">
        <v>2932812</v>
      </c>
      <c r="M27" s="21">
        <v>3453156</v>
      </c>
      <c r="N27" s="21">
        <v>4000573.0000000005</v>
      </c>
      <c r="O27" s="21">
        <v>4443877</v>
      </c>
      <c r="P27" s="21">
        <v>4974698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12" t="s">
        <v>37</v>
      </c>
      <c r="B28" s="20" t="s">
        <v>18</v>
      </c>
      <c r="C28" s="21">
        <v>2518198</v>
      </c>
      <c r="D28" s="21">
        <v>2812002</v>
      </c>
      <c r="E28" s="21">
        <v>3139689</v>
      </c>
      <c r="F28" s="21">
        <v>3520922</v>
      </c>
      <c r="G28" s="21">
        <v>3937660</v>
      </c>
      <c r="H28" s="21">
        <v>3888479</v>
      </c>
      <c r="I28" s="21">
        <v>4759968</v>
      </c>
      <c r="J28" s="21">
        <v>5213097</v>
      </c>
      <c r="K28" s="21">
        <v>5728944</v>
      </c>
      <c r="L28" s="21">
        <v>5894639</v>
      </c>
      <c r="M28" s="21">
        <v>6433145</v>
      </c>
      <c r="N28" s="21">
        <v>7882739.9999999991</v>
      </c>
      <c r="O28" s="21">
        <v>9309923</v>
      </c>
      <c r="P28" s="21">
        <v>10425799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45" x14ac:dyDescent="0.25">
      <c r="A29" s="12" t="s">
        <v>38</v>
      </c>
      <c r="B29" s="20" t="s">
        <v>19</v>
      </c>
      <c r="C29" s="21">
        <v>9745417</v>
      </c>
      <c r="D29" s="21">
        <v>11527819</v>
      </c>
      <c r="E29" s="21">
        <v>13018473</v>
      </c>
      <c r="F29" s="21">
        <v>14515638</v>
      </c>
      <c r="G29" s="21">
        <v>15767496</v>
      </c>
      <c r="H29" s="21">
        <v>17347668</v>
      </c>
      <c r="I29" s="21">
        <v>18910067</v>
      </c>
      <c r="J29" s="21">
        <v>20640405</v>
      </c>
      <c r="K29" s="21">
        <v>21976731</v>
      </c>
      <c r="L29" s="21">
        <v>22706888.896207727</v>
      </c>
      <c r="M29" s="21">
        <v>26359744.001922417</v>
      </c>
      <c r="N29" s="21">
        <v>30733604.624911178</v>
      </c>
      <c r="O29" s="21">
        <v>33717347.159434177</v>
      </c>
      <c r="P29" s="21">
        <v>37701077.276306167</v>
      </c>
      <c r="Q29" s="3"/>
      <c r="R29" s="4"/>
      <c r="S29" s="4"/>
      <c r="T29" s="4"/>
      <c r="U29" s="4"/>
      <c r="V29" s="3"/>
      <c r="W29" s="4"/>
      <c r="X29" s="4"/>
      <c r="Y29" s="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12" t="s">
        <v>39</v>
      </c>
      <c r="B30" s="20" t="s">
        <v>54</v>
      </c>
      <c r="C30" s="21">
        <v>4234830</v>
      </c>
      <c r="D30" s="21">
        <v>5058674</v>
      </c>
      <c r="E30" s="21">
        <v>5483464</v>
      </c>
      <c r="F30" s="21">
        <v>5973724</v>
      </c>
      <c r="G30" s="21">
        <v>6317700</v>
      </c>
      <c r="H30" s="21">
        <v>7249403.9999999991</v>
      </c>
      <c r="I30" s="21">
        <v>8748596</v>
      </c>
      <c r="J30" s="21">
        <v>9699168</v>
      </c>
      <c r="K30" s="21">
        <v>10868897</v>
      </c>
      <c r="L30" s="21">
        <v>10904266</v>
      </c>
      <c r="M30" s="21">
        <v>11926864</v>
      </c>
      <c r="N30" s="21">
        <v>13395839.000000002</v>
      </c>
      <c r="O30" s="21">
        <v>14911666</v>
      </c>
      <c r="P30" s="21">
        <v>16434600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12" t="s">
        <v>40</v>
      </c>
      <c r="B31" s="20" t="s">
        <v>20</v>
      </c>
      <c r="C31" s="21">
        <v>4842103.5186956553</v>
      </c>
      <c r="D31" s="21">
        <v>5416837.7365266439</v>
      </c>
      <c r="E31" s="21">
        <v>6423573.3451507837</v>
      </c>
      <c r="F31" s="21">
        <v>7549625.3094154</v>
      </c>
      <c r="G31" s="21">
        <v>9194841.9449727032</v>
      </c>
      <c r="H31" s="21">
        <v>10651542.139349932</v>
      </c>
      <c r="I31" s="21">
        <v>11250134.173695548</v>
      </c>
      <c r="J31" s="21">
        <v>12632506.090593537</v>
      </c>
      <c r="K31" s="21">
        <v>14493801.999999998</v>
      </c>
      <c r="L31" s="21">
        <v>12944134</v>
      </c>
      <c r="M31" s="21">
        <v>14587860.552996095</v>
      </c>
      <c r="N31" s="21">
        <v>17026109.887460988</v>
      </c>
      <c r="O31" s="21">
        <v>19344203.352436412</v>
      </c>
      <c r="P31" s="21">
        <v>21733049.598475151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8" customFormat="1" ht="15.75" x14ac:dyDescent="0.25">
      <c r="A32" s="22"/>
      <c r="B32" s="23" t="s">
        <v>30</v>
      </c>
      <c r="C32" s="24">
        <f>C17+C20+C28+C29+C30+C31</f>
        <v>32334604.840437967</v>
      </c>
      <c r="D32" s="24">
        <f t="shared" ref="D32:O32" si="7">D17+D20+D28+D29+D30+D31</f>
        <v>37206189.627228498</v>
      </c>
      <c r="E32" s="24">
        <f t="shared" si="7"/>
        <v>42835224.843462788</v>
      </c>
      <c r="F32" s="24">
        <f t="shared" si="7"/>
        <v>48129385.775332302</v>
      </c>
      <c r="G32" s="24">
        <f t="shared" si="7"/>
        <v>53907103.025671914</v>
      </c>
      <c r="H32" s="24">
        <f t="shared" si="7"/>
        <v>59521246.654969826</v>
      </c>
      <c r="I32" s="24">
        <f t="shared" si="7"/>
        <v>66309131.736823097</v>
      </c>
      <c r="J32" s="24">
        <f t="shared" si="7"/>
        <v>73944488.012596279</v>
      </c>
      <c r="K32" s="24">
        <f t="shared" si="7"/>
        <v>81216226.243000001</v>
      </c>
      <c r="L32" s="24">
        <f t="shared" si="7"/>
        <v>74470555.89620772</v>
      </c>
      <c r="M32" s="24">
        <f t="shared" si="7"/>
        <v>88123261.259282649</v>
      </c>
      <c r="N32" s="24">
        <f t="shared" si="7"/>
        <v>103344404.51237217</v>
      </c>
      <c r="O32" s="24">
        <f t="shared" si="7"/>
        <v>114873184.51187058</v>
      </c>
      <c r="P32" s="24">
        <f t="shared" ref="P32" si="8">P17+P20+P28+P29+P30+P31</f>
        <v>129704761.87478131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0"/>
      <c r="GJ32" s="10"/>
      <c r="GK32" s="10"/>
    </row>
    <row r="33" spans="1:194" s="10" customFormat="1" ht="20.25" customHeight="1" x14ac:dyDescent="0.25">
      <c r="A33" s="16" t="s">
        <v>27</v>
      </c>
      <c r="B33" s="17" t="s">
        <v>41</v>
      </c>
      <c r="C33" s="18">
        <f>C12+C16+C32</f>
        <v>69491447.840437964</v>
      </c>
      <c r="D33" s="18">
        <f t="shared" ref="D33:O33" si="9">D12+D16+D32</f>
        <v>79274504.627228498</v>
      </c>
      <c r="E33" s="18">
        <f t="shared" si="9"/>
        <v>90662068.843462795</v>
      </c>
      <c r="F33" s="18">
        <f t="shared" si="9"/>
        <v>97413899.775332302</v>
      </c>
      <c r="G33" s="18">
        <f t="shared" si="9"/>
        <v>109207358.02567191</v>
      </c>
      <c r="H33" s="18">
        <f t="shared" si="9"/>
        <v>123806367.65496983</v>
      </c>
      <c r="I33" s="18">
        <f t="shared" si="9"/>
        <v>136012505.73682308</v>
      </c>
      <c r="J33" s="18">
        <f t="shared" si="9"/>
        <v>148239993.01259628</v>
      </c>
      <c r="K33" s="18">
        <f t="shared" si="9"/>
        <v>160028248.243</v>
      </c>
      <c r="L33" s="18">
        <f t="shared" si="9"/>
        <v>155141961.68118644</v>
      </c>
      <c r="M33" s="18">
        <f t="shared" si="9"/>
        <v>187676401.23683393</v>
      </c>
      <c r="N33" s="18">
        <f t="shared" si="9"/>
        <v>213599623.76400739</v>
      </c>
      <c r="O33" s="18">
        <f t="shared" si="9"/>
        <v>241246439.19495285</v>
      </c>
      <c r="P33" s="18">
        <f t="shared" ref="P33" si="10">P12+P16+P32</f>
        <v>274455104.90198362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L33" s="8"/>
    </row>
    <row r="34" spans="1:194" ht="15.75" x14ac:dyDescent="0.25">
      <c r="A34" s="30" t="s">
        <v>43</v>
      </c>
      <c r="B34" s="31" t="s">
        <v>25</v>
      </c>
      <c r="C34" s="21">
        <v>7063428</v>
      </c>
      <c r="D34" s="21">
        <v>7797299.8699999992</v>
      </c>
      <c r="E34" s="21">
        <v>8585161</v>
      </c>
      <c r="F34" s="21">
        <v>9524544</v>
      </c>
      <c r="G34" s="21">
        <v>11172960</v>
      </c>
      <c r="H34" s="21">
        <v>12639646</v>
      </c>
      <c r="I34" s="21">
        <v>14229984</v>
      </c>
      <c r="J34" s="21">
        <v>16649312</v>
      </c>
      <c r="K34" s="21">
        <v>17377300</v>
      </c>
      <c r="L34" s="21">
        <v>18297886</v>
      </c>
      <c r="M34" s="21">
        <v>21992190.544482466</v>
      </c>
      <c r="N34" s="21">
        <v>24642939.066740241</v>
      </c>
      <c r="O34" s="21">
        <v>29187142.845279306</v>
      </c>
      <c r="P34" s="21">
        <v>29515643.903884593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30" t="s">
        <v>44</v>
      </c>
      <c r="B35" s="31" t="s">
        <v>24</v>
      </c>
      <c r="C35" s="21">
        <v>2847843</v>
      </c>
      <c r="D35" s="21">
        <v>3278565</v>
      </c>
      <c r="E35" s="21">
        <v>3106020</v>
      </c>
      <c r="F35" s="21">
        <v>3244923</v>
      </c>
      <c r="G35" s="21">
        <v>3157313</v>
      </c>
      <c r="H35" s="21">
        <v>3459619</v>
      </c>
      <c r="I35" s="21">
        <v>2605040</v>
      </c>
      <c r="J35" s="21">
        <v>2716680</v>
      </c>
      <c r="K35" s="21">
        <v>2892429</v>
      </c>
      <c r="L35" s="21">
        <v>5145593</v>
      </c>
      <c r="M35" s="21">
        <v>6865563</v>
      </c>
      <c r="N35" s="21">
        <v>8666245</v>
      </c>
      <c r="O35" s="21">
        <v>6145880</v>
      </c>
      <c r="P35" s="21">
        <v>6148397.568128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8" customFormat="1" ht="15.75" x14ac:dyDescent="0.25">
      <c r="A36" s="32" t="s">
        <v>45</v>
      </c>
      <c r="B36" s="33" t="s">
        <v>55</v>
      </c>
      <c r="C36" s="24">
        <f>C33+C34-C35</f>
        <v>73707032.840437964</v>
      </c>
      <c r="D36" s="24">
        <f t="shared" ref="D36:L36" si="11">D33+D34-D35</f>
        <v>83793239.497228503</v>
      </c>
      <c r="E36" s="24">
        <f t="shared" si="11"/>
        <v>96141209.843462795</v>
      </c>
      <c r="F36" s="24">
        <f t="shared" si="11"/>
        <v>103693520.7753323</v>
      </c>
      <c r="G36" s="24">
        <f t="shared" si="11"/>
        <v>117223005.02567191</v>
      </c>
      <c r="H36" s="24">
        <f t="shared" si="11"/>
        <v>132986394.65496981</v>
      </c>
      <c r="I36" s="24">
        <f t="shared" si="11"/>
        <v>147637449.73682308</v>
      </c>
      <c r="J36" s="24">
        <f t="shared" si="11"/>
        <v>162172625.01259628</v>
      </c>
      <c r="K36" s="24">
        <f t="shared" si="11"/>
        <v>174513119.243</v>
      </c>
      <c r="L36" s="24">
        <f t="shared" si="11"/>
        <v>168294254.68118644</v>
      </c>
      <c r="M36" s="24">
        <f>M33+M34-M35</f>
        <v>202803028.7813164</v>
      </c>
      <c r="N36" s="24">
        <f>N33+N34-N35</f>
        <v>229576317.83074763</v>
      </c>
      <c r="O36" s="24">
        <f>O33+O34-O35</f>
        <v>264287702.04023218</v>
      </c>
      <c r="P36" s="24">
        <f>P33+P34-P35</f>
        <v>297822351.23774022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</row>
    <row r="37" spans="1:194" ht="15.75" x14ac:dyDescent="0.25">
      <c r="A37" s="30" t="s">
        <v>46</v>
      </c>
      <c r="B37" s="31" t="s">
        <v>42</v>
      </c>
      <c r="C37" s="21">
        <v>2015910</v>
      </c>
      <c r="D37" s="21">
        <v>2046780</v>
      </c>
      <c r="E37" s="21">
        <v>2078120</v>
      </c>
      <c r="F37" s="21">
        <v>2109940</v>
      </c>
      <c r="G37" s="21">
        <v>2142250</v>
      </c>
      <c r="H37" s="21">
        <v>2175050</v>
      </c>
      <c r="I37" s="21">
        <v>2208360</v>
      </c>
      <c r="J37" s="21">
        <v>2242170</v>
      </c>
      <c r="K37" s="21">
        <v>2276500</v>
      </c>
      <c r="L37" s="21">
        <v>2296720</v>
      </c>
      <c r="M37" s="21">
        <v>2323010</v>
      </c>
      <c r="N37" s="21">
        <v>2346920</v>
      </c>
      <c r="O37" s="21">
        <v>2370820</v>
      </c>
      <c r="P37" s="21">
        <v>2394720</v>
      </c>
      <c r="Z37" s="1"/>
      <c r="AA37" s="1"/>
      <c r="AB37" s="1"/>
      <c r="AC37" s="1"/>
    </row>
    <row r="38" spans="1:194" s="8" customFormat="1" ht="15.75" x14ac:dyDescent="0.25">
      <c r="A38" s="32" t="s">
        <v>47</v>
      </c>
      <c r="B38" s="33" t="s">
        <v>58</v>
      </c>
      <c r="C38" s="24">
        <f>C36/C37*1000</f>
        <v>36562.660456289203</v>
      </c>
      <c r="D38" s="24">
        <f t="shared" ref="D38:P38" si="12">D36/D37*1000</f>
        <v>40939.055246400931</v>
      </c>
      <c r="E38" s="24">
        <f t="shared" si="12"/>
        <v>46263.550633968582</v>
      </c>
      <c r="F38" s="24">
        <f t="shared" si="12"/>
        <v>49145.246203841009</v>
      </c>
      <c r="G38" s="24">
        <f t="shared" si="12"/>
        <v>54719.572890965996</v>
      </c>
      <c r="H38" s="24">
        <f t="shared" si="12"/>
        <v>61141.764398505693</v>
      </c>
      <c r="I38" s="24">
        <f t="shared" si="12"/>
        <v>66853.886928228676</v>
      </c>
      <c r="J38" s="24">
        <f t="shared" si="12"/>
        <v>72328.425147333299</v>
      </c>
      <c r="K38" s="24">
        <f t="shared" si="12"/>
        <v>76658.519324840774</v>
      </c>
      <c r="L38" s="24">
        <f t="shared" si="12"/>
        <v>73275.912902394033</v>
      </c>
      <c r="M38" s="24">
        <f t="shared" si="12"/>
        <v>87301.8320116213</v>
      </c>
      <c r="N38" s="24">
        <f t="shared" si="12"/>
        <v>97820.257116027657</v>
      </c>
      <c r="O38" s="24">
        <f t="shared" si="12"/>
        <v>111475.22884075223</v>
      </c>
      <c r="P38" s="24">
        <f t="shared" si="12"/>
        <v>124366.25210368654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CD38" s="11"/>
      <c r="CE38" s="11"/>
      <c r="CF38" s="11"/>
      <c r="CG38" s="11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ht="20.25" customHeight="1" x14ac:dyDescent="0.25">
      <c r="A39" s="37" t="s">
        <v>81</v>
      </c>
      <c r="B39" s="37"/>
      <c r="C39" s="37"/>
      <c r="D39" s="37"/>
      <c r="E39" s="37"/>
    </row>
    <row r="40" spans="1:194" x14ac:dyDescent="0.25">
      <c r="A40" s="2" t="s">
        <v>82</v>
      </c>
    </row>
    <row r="43" spans="1:194" x14ac:dyDescent="0.25">
      <c r="I43" s="3" t="e">
        <f>I36-#REF!</f>
        <v>#REF!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H40"/>
  <sheetViews>
    <sheetView tabSelected="1" zoomScale="84" zoomScaleNormal="84" zoomScaleSheetLayoutView="100" workbookViewId="0">
      <pane xSplit="2" ySplit="5" topLeftCell="C6" activePane="bottomRight" state="frozen"/>
      <selection activeCell="C28" sqref="C28"/>
      <selection pane="topRight" activeCell="C28" sqref="C28"/>
      <selection pane="bottomLeft" activeCell="C28" sqref="C28"/>
      <selection pane="bottomRight" activeCell="F46" sqref="F46"/>
    </sheetView>
  </sheetViews>
  <sheetFormatPr defaultColWidth="8.85546875" defaultRowHeight="15" x14ac:dyDescent="0.25"/>
  <cols>
    <col min="1" max="1" width="11" style="2" customWidth="1"/>
    <col min="2" max="2" width="21.140625" style="2" customWidth="1"/>
    <col min="3" max="6" width="16.42578125" style="2" customWidth="1"/>
    <col min="7" max="16" width="16.4257812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49</v>
      </c>
      <c r="H2" s="1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5"/>
      <c r="F4" s="5" t="s">
        <v>57</v>
      </c>
    </row>
    <row r="5" spans="1:190" ht="15.75" x14ac:dyDescent="0.25">
      <c r="A5" s="12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  <c r="P5" s="15" t="s">
        <v>77</v>
      </c>
    </row>
    <row r="6" spans="1:190" s="10" customFormat="1" ht="30" x14ac:dyDescent="0.25">
      <c r="A6" s="16" t="s">
        <v>26</v>
      </c>
      <c r="B6" s="17" t="s">
        <v>2</v>
      </c>
      <c r="C6" s="18">
        <f>C7+C8+C9+C10</f>
        <v>18325197</v>
      </c>
      <c r="D6" s="18">
        <f t="shared" ref="D6:O6" si="0">D7+D8+D9+D10</f>
        <v>19161813</v>
      </c>
      <c r="E6" s="18">
        <f t="shared" si="0"/>
        <v>19071717</v>
      </c>
      <c r="F6" s="18">
        <f t="shared" si="0"/>
        <v>18685675</v>
      </c>
      <c r="G6" s="18">
        <f t="shared" si="0"/>
        <v>19479107</v>
      </c>
      <c r="H6" s="18">
        <f t="shared" si="0"/>
        <v>20695953</v>
      </c>
      <c r="I6" s="18">
        <f t="shared" si="0"/>
        <v>21466259</v>
      </c>
      <c r="J6" s="18">
        <f t="shared" si="0"/>
        <v>22446325</v>
      </c>
      <c r="K6" s="18">
        <f t="shared" si="0"/>
        <v>22687674</v>
      </c>
      <c r="L6" s="18">
        <f t="shared" si="0"/>
        <v>23080106.082632102</v>
      </c>
      <c r="M6" s="18">
        <f t="shared" si="0"/>
        <v>27020886.809634726</v>
      </c>
      <c r="N6" s="18">
        <f t="shared" si="0"/>
        <v>28343357.845814429</v>
      </c>
      <c r="O6" s="18">
        <f t="shared" si="0"/>
        <v>30211106.119888864</v>
      </c>
      <c r="P6" s="18">
        <f t="shared" ref="P6" si="1">P7+P8+P9+P10</f>
        <v>32866793.223437086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8"/>
    </row>
    <row r="7" spans="1:190" ht="15.75" x14ac:dyDescent="0.25">
      <c r="A7" s="19">
        <v>1.1000000000000001</v>
      </c>
      <c r="B7" s="20" t="s">
        <v>59</v>
      </c>
      <c r="C7" s="21">
        <v>12415418</v>
      </c>
      <c r="D7" s="21">
        <v>13040500</v>
      </c>
      <c r="E7" s="21">
        <v>12747030</v>
      </c>
      <c r="F7" s="21">
        <v>12055193</v>
      </c>
      <c r="G7" s="21">
        <v>12645300</v>
      </c>
      <c r="H7" s="21">
        <v>13474756</v>
      </c>
      <c r="I7" s="21">
        <v>13956557.999999998</v>
      </c>
      <c r="J7" s="21">
        <v>14616794</v>
      </c>
      <c r="K7" s="21">
        <v>14390449</v>
      </c>
      <c r="L7" s="21">
        <v>14887445.000000002</v>
      </c>
      <c r="M7" s="21">
        <v>18114310</v>
      </c>
      <c r="N7" s="21">
        <v>18513917</v>
      </c>
      <c r="O7" s="21">
        <v>19487295</v>
      </c>
      <c r="P7" s="21">
        <v>21407082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9">
        <v>1.2</v>
      </c>
      <c r="B8" s="20" t="s">
        <v>60</v>
      </c>
      <c r="C8" s="21">
        <v>4383166</v>
      </c>
      <c r="D8" s="21">
        <v>4597236</v>
      </c>
      <c r="E8" s="21">
        <v>4814463</v>
      </c>
      <c r="F8" s="21">
        <v>5086211</v>
      </c>
      <c r="G8" s="21">
        <v>5275807</v>
      </c>
      <c r="H8" s="21">
        <v>5456389</v>
      </c>
      <c r="I8" s="21">
        <v>5736052</v>
      </c>
      <c r="J8" s="21">
        <v>5975825</v>
      </c>
      <c r="K8" s="21">
        <v>6284918</v>
      </c>
      <c r="L8" s="21">
        <v>6031142.3872088101</v>
      </c>
      <c r="M8" s="21">
        <v>6743632.0673619648</v>
      </c>
      <c r="N8" s="21">
        <v>7514030.4242525231</v>
      </c>
      <c r="O8" s="21">
        <v>8275644.9251646828</v>
      </c>
      <c r="P8" s="21">
        <v>8890820.2234370876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9">
        <v>1.3</v>
      </c>
      <c r="B9" s="20" t="s">
        <v>61</v>
      </c>
      <c r="C9" s="21">
        <v>1249516</v>
      </c>
      <c r="D9" s="21">
        <v>1234036</v>
      </c>
      <c r="E9" s="21">
        <v>1210684</v>
      </c>
      <c r="F9" s="21">
        <v>1225528</v>
      </c>
      <c r="G9" s="21">
        <v>1232579</v>
      </c>
      <c r="H9" s="21">
        <v>1366520</v>
      </c>
      <c r="I9" s="21">
        <v>1368184</v>
      </c>
      <c r="J9" s="21">
        <v>1426602</v>
      </c>
      <c r="K9" s="21">
        <v>1561702</v>
      </c>
      <c r="L9" s="21">
        <v>1680661.6954232904</v>
      </c>
      <c r="M9" s="21">
        <v>1641461.7422727591</v>
      </c>
      <c r="N9" s="21">
        <v>1725318.421561904</v>
      </c>
      <c r="O9" s="21">
        <v>1700226.1947241798</v>
      </c>
      <c r="P9" s="21">
        <v>1710646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30" x14ac:dyDescent="0.25">
      <c r="A10" s="19">
        <v>1.4</v>
      </c>
      <c r="B10" s="20" t="s">
        <v>62</v>
      </c>
      <c r="C10" s="21">
        <v>277097</v>
      </c>
      <c r="D10" s="21">
        <v>290041</v>
      </c>
      <c r="E10" s="21">
        <v>299540</v>
      </c>
      <c r="F10" s="21">
        <v>318743</v>
      </c>
      <c r="G10" s="21">
        <v>325421</v>
      </c>
      <c r="H10" s="21">
        <v>398288</v>
      </c>
      <c r="I10" s="21">
        <v>405465</v>
      </c>
      <c r="J10" s="21">
        <v>427104</v>
      </c>
      <c r="K10" s="21">
        <v>450605</v>
      </c>
      <c r="L10" s="21">
        <v>480857</v>
      </c>
      <c r="M10" s="21">
        <v>521483</v>
      </c>
      <c r="N10" s="21">
        <v>590092</v>
      </c>
      <c r="O10" s="21">
        <v>747940</v>
      </c>
      <c r="P10" s="21">
        <v>858245.00000000012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12" t="s">
        <v>31</v>
      </c>
      <c r="B11" s="20" t="s">
        <v>3</v>
      </c>
      <c r="C11" s="21">
        <v>653517</v>
      </c>
      <c r="D11" s="21">
        <v>649503</v>
      </c>
      <c r="E11" s="21">
        <v>715213</v>
      </c>
      <c r="F11" s="21">
        <v>916712.99999999988</v>
      </c>
      <c r="G11" s="21">
        <v>1213638</v>
      </c>
      <c r="H11" s="21">
        <v>1329085</v>
      </c>
      <c r="I11" s="21">
        <v>2735837</v>
      </c>
      <c r="J11" s="21">
        <v>2628885</v>
      </c>
      <c r="K11" s="21">
        <v>1853966</v>
      </c>
      <c r="L11" s="21">
        <v>1892225.3217164963</v>
      </c>
      <c r="M11" s="21">
        <v>1459327.409962897</v>
      </c>
      <c r="N11" s="21">
        <v>2070356.1674206615</v>
      </c>
      <c r="O11" s="21">
        <v>2390194.0830379627</v>
      </c>
      <c r="P11" s="21">
        <v>2317774.9870384862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8" customFormat="1" ht="15.75" x14ac:dyDescent="0.25">
      <c r="A12" s="22"/>
      <c r="B12" s="23" t="s">
        <v>28</v>
      </c>
      <c r="C12" s="24">
        <f>C6+C11</f>
        <v>18978714</v>
      </c>
      <c r="D12" s="24">
        <f t="shared" ref="D12:P12" si="2">D6+D11</f>
        <v>19811316</v>
      </c>
      <c r="E12" s="24">
        <f t="shared" si="2"/>
        <v>19786930</v>
      </c>
      <c r="F12" s="24">
        <f t="shared" si="2"/>
        <v>19602388</v>
      </c>
      <c r="G12" s="24">
        <f t="shared" si="2"/>
        <v>20692745</v>
      </c>
      <c r="H12" s="24">
        <f t="shared" si="2"/>
        <v>22025038</v>
      </c>
      <c r="I12" s="24">
        <f t="shared" si="2"/>
        <v>24202096</v>
      </c>
      <c r="J12" s="24">
        <f t="shared" si="2"/>
        <v>25075210</v>
      </c>
      <c r="K12" s="24">
        <f t="shared" si="2"/>
        <v>24541640</v>
      </c>
      <c r="L12" s="24">
        <f t="shared" si="2"/>
        <v>24972331.404348597</v>
      </c>
      <c r="M12" s="24">
        <f t="shared" si="2"/>
        <v>28480214.219597623</v>
      </c>
      <c r="N12" s="24">
        <f t="shared" si="2"/>
        <v>30413714.013235092</v>
      </c>
      <c r="O12" s="24">
        <f t="shared" si="2"/>
        <v>32601300.202926826</v>
      </c>
      <c r="P12" s="24">
        <f t="shared" si="2"/>
        <v>35184568.210475571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0"/>
      <c r="GF12" s="10"/>
      <c r="GG12" s="10"/>
    </row>
    <row r="13" spans="1:190" s="1" customFormat="1" ht="15.75" x14ac:dyDescent="0.25">
      <c r="A13" s="25" t="s">
        <v>32</v>
      </c>
      <c r="B13" s="26" t="s">
        <v>4</v>
      </c>
      <c r="C13" s="27">
        <v>8763582</v>
      </c>
      <c r="D13" s="27">
        <v>9127051</v>
      </c>
      <c r="E13" s="27">
        <v>10381954</v>
      </c>
      <c r="F13" s="27">
        <v>9341794</v>
      </c>
      <c r="G13" s="27">
        <v>11805778</v>
      </c>
      <c r="H13" s="27">
        <v>17352921</v>
      </c>
      <c r="I13" s="27">
        <v>15454385</v>
      </c>
      <c r="J13" s="27">
        <v>14555129</v>
      </c>
      <c r="K13" s="27">
        <v>14947238</v>
      </c>
      <c r="L13" s="27">
        <v>15283535</v>
      </c>
      <c r="M13" s="27">
        <v>17101511</v>
      </c>
      <c r="N13" s="27">
        <v>16970929</v>
      </c>
      <c r="O13" s="27">
        <v>18646267</v>
      </c>
      <c r="P13" s="27">
        <v>19282387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45" x14ac:dyDescent="0.25">
      <c r="A14" s="12" t="s">
        <v>33</v>
      </c>
      <c r="B14" s="20" t="s">
        <v>5</v>
      </c>
      <c r="C14" s="21">
        <v>926845.99999999988</v>
      </c>
      <c r="D14" s="21">
        <v>980598</v>
      </c>
      <c r="E14" s="21">
        <v>1108408</v>
      </c>
      <c r="F14" s="21">
        <v>1175008</v>
      </c>
      <c r="G14" s="21">
        <v>1248527</v>
      </c>
      <c r="H14" s="21">
        <v>1427075</v>
      </c>
      <c r="I14" s="21">
        <v>1592281</v>
      </c>
      <c r="J14" s="21">
        <v>1602122</v>
      </c>
      <c r="K14" s="21">
        <v>1701424.0000000002</v>
      </c>
      <c r="L14" s="21">
        <v>1659939</v>
      </c>
      <c r="M14" s="21">
        <v>1754266</v>
      </c>
      <c r="N14" s="21">
        <v>1931812</v>
      </c>
      <c r="O14" s="21">
        <v>2081171</v>
      </c>
      <c r="P14" s="21">
        <v>2231906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12" t="s">
        <v>34</v>
      </c>
      <c r="B15" s="20" t="s">
        <v>6</v>
      </c>
      <c r="C15" s="21">
        <v>8487701</v>
      </c>
      <c r="D15" s="21">
        <v>8573758</v>
      </c>
      <c r="E15" s="21">
        <v>8671279</v>
      </c>
      <c r="F15" s="21">
        <v>9232528</v>
      </c>
      <c r="G15" s="21">
        <v>9716501</v>
      </c>
      <c r="H15" s="21">
        <v>10356801</v>
      </c>
      <c r="I15" s="21">
        <v>10725360</v>
      </c>
      <c r="J15" s="21">
        <v>11898340</v>
      </c>
      <c r="K15" s="21">
        <v>12382214</v>
      </c>
      <c r="L15" s="21">
        <v>11503838</v>
      </c>
      <c r="M15" s="21">
        <v>13980207</v>
      </c>
      <c r="N15" s="21">
        <v>15132498.000000002</v>
      </c>
      <c r="O15" s="21">
        <v>17179524</v>
      </c>
      <c r="P15" s="21">
        <v>19994796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8" customFormat="1" ht="15.75" x14ac:dyDescent="0.25">
      <c r="A16" s="22"/>
      <c r="B16" s="23" t="s">
        <v>29</v>
      </c>
      <c r="C16" s="24">
        <f>C13+C14+C15</f>
        <v>18178129</v>
      </c>
      <c r="D16" s="24">
        <f t="shared" ref="D16:O16" si="3">D13+D14+D15</f>
        <v>18681407</v>
      </c>
      <c r="E16" s="24">
        <f t="shared" si="3"/>
        <v>20161641</v>
      </c>
      <c r="F16" s="24">
        <f t="shared" si="3"/>
        <v>19749330</v>
      </c>
      <c r="G16" s="24">
        <f t="shared" si="3"/>
        <v>22770806</v>
      </c>
      <c r="H16" s="24">
        <f t="shared" si="3"/>
        <v>29136797</v>
      </c>
      <c r="I16" s="24">
        <f t="shared" si="3"/>
        <v>27772026</v>
      </c>
      <c r="J16" s="24">
        <f t="shared" si="3"/>
        <v>28055591</v>
      </c>
      <c r="K16" s="24">
        <f t="shared" si="3"/>
        <v>29030876</v>
      </c>
      <c r="L16" s="24">
        <f t="shared" si="3"/>
        <v>28447312</v>
      </c>
      <c r="M16" s="24">
        <f t="shared" si="3"/>
        <v>32835984</v>
      </c>
      <c r="N16" s="24">
        <f t="shared" si="3"/>
        <v>34035239</v>
      </c>
      <c r="O16" s="24">
        <f t="shared" si="3"/>
        <v>37906962</v>
      </c>
      <c r="P16" s="24">
        <f t="shared" ref="P16" si="4">P13+P14+P15</f>
        <v>41509089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9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9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9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0"/>
      <c r="GF16" s="10"/>
      <c r="GG16" s="10"/>
    </row>
    <row r="17" spans="1:190" s="10" customFormat="1" ht="30" x14ac:dyDescent="0.25">
      <c r="A17" s="16" t="s">
        <v>35</v>
      </c>
      <c r="B17" s="17" t="s">
        <v>7</v>
      </c>
      <c r="C17" s="18">
        <f>C18+C19</f>
        <v>6946588.3179423101</v>
      </c>
      <c r="D17" s="18">
        <f t="shared" ref="D17:O17" si="5">D18+D19</f>
        <v>6976021.1448365413</v>
      </c>
      <c r="E17" s="18">
        <f t="shared" si="5"/>
        <v>7679666.3531770352</v>
      </c>
      <c r="F17" s="18">
        <f t="shared" si="5"/>
        <v>8162572.3418055885</v>
      </c>
      <c r="G17" s="18">
        <f t="shared" si="5"/>
        <v>8944798.5404688269</v>
      </c>
      <c r="H17" s="18">
        <f t="shared" si="5"/>
        <v>9537001.3337526731</v>
      </c>
      <c r="I17" s="18">
        <f t="shared" si="5"/>
        <v>10242555.178651022</v>
      </c>
      <c r="J17" s="18">
        <f t="shared" si="5"/>
        <v>10929187.181375124</v>
      </c>
      <c r="K17" s="18">
        <f t="shared" si="5"/>
        <v>12036089</v>
      </c>
      <c r="L17" s="18">
        <f t="shared" si="5"/>
        <v>9943130</v>
      </c>
      <c r="M17" s="18">
        <f t="shared" si="5"/>
        <v>10843412.358473234</v>
      </c>
      <c r="N17" s="18">
        <f t="shared" si="5"/>
        <v>12339047</v>
      </c>
      <c r="O17" s="18">
        <f t="shared" si="5"/>
        <v>13357207</v>
      </c>
      <c r="P17" s="18">
        <v>14741853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8"/>
    </row>
    <row r="18" spans="1:190" ht="30" x14ac:dyDescent="0.25">
      <c r="A18" s="19">
        <v>6.1</v>
      </c>
      <c r="B18" s="20" t="s">
        <v>8</v>
      </c>
      <c r="C18" s="27">
        <v>6162195.3556000004</v>
      </c>
      <c r="D18" s="27">
        <v>6199824.0605142172</v>
      </c>
      <c r="E18" s="27">
        <v>6803942.591169931</v>
      </c>
      <c r="F18" s="27">
        <v>7362068.9419458378</v>
      </c>
      <c r="G18" s="27">
        <v>8020948.3667319734</v>
      </c>
      <c r="H18" s="27">
        <v>8550275.2253178041</v>
      </c>
      <c r="I18" s="27">
        <v>9172984.2952674609</v>
      </c>
      <c r="J18" s="27">
        <v>9637893.0990995113</v>
      </c>
      <c r="K18" s="27">
        <v>10398565</v>
      </c>
      <c r="L18" s="27">
        <v>9346552</v>
      </c>
      <c r="M18" s="27">
        <v>9990823.0268654451</v>
      </c>
      <c r="N18" s="35">
        <v>10763240</v>
      </c>
      <c r="O18" s="35">
        <v>11421471</v>
      </c>
      <c r="P18" s="35" t="s">
        <v>78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9">
        <v>6.2</v>
      </c>
      <c r="B19" s="20" t="s">
        <v>9</v>
      </c>
      <c r="C19" s="27">
        <v>784392.96234231</v>
      </c>
      <c r="D19" s="27">
        <v>776197.08432232437</v>
      </c>
      <c r="E19" s="27">
        <v>875723.762007104</v>
      </c>
      <c r="F19" s="27">
        <v>800503.39985975099</v>
      </c>
      <c r="G19" s="27">
        <v>923850.17373685399</v>
      </c>
      <c r="H19" s="27">
        <v>986726.10843486967</v>
      </c>
      <c r="I19" s="27">
        <v>1069570.8833835612</v>
      </c>
      <c r="J19" s="27">
        <v>1291294.0822756123</v>
      </c>
      <c r="K19" s="27">
        <v>1637524</v>
      </c>
      <c r="L19" s="27">
        <v>596578</v>
      </c>
      <c r="M19" s="27">
        <v>852589.3316077888</v>
      </c>
      <c r="N19" s="27">
        <v>1575807</v>
      </c>
      <c r="O19" s="27">
        <v>1935736</v>
      </c>
      <c r="P19" s="27" t="s">
        <v>78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60" x14ac:dyDescent="0.25">
      <c r="A20" s="28" t="s">
        <v>36</v>
      </c>
      <c r="B20" s="29" t="s">
        <v>10</v>
      </c>
      <c r="C20" s="18">
        <f>C21+C22+C23+C24+C25+C26+C27</f>
        <v>4047468.0037999996</v>
      </c>
      <c r="D20" s="18">
        <f t="shared" ref="D20:P20" si="6">D21+D22+D23+D24+D25+D26+D27</f>
        <v>4639767.7898445763</v>
      </c>
      <c r="E20" s="18">
        <f t="shared" si="6"/>
        <v>5232524.058936731</v>
      </c>
      <c r="F20" s="18">
        <f t="shared" si="6"/>
        <v>6387880.4382334203</v>
      </c>
      <c r="G20" s="18">
        <f t="shared" si="6"/>
        <v>7170302.3955682945</v>
      </c>
      <c r="H20" s="18">
        <f t="shared" si="6"/>
        <v>7439546.4903146699</v>
      </c>
      <c r="I20" s="18">
        <f t="shared" si="6"/>
        <v>7929080.0420355154</v>
      </c>
      <c r="J20" s="18">
        <f t="shared" si="6"/>
        <v>8756519.4558880795</v>
      </c>
      <c r="K20" s="18">
        <f t="shared" si="6"/>
        <v>9571027</v>
      </c>
      <c r="L20" s="18">
        <f t="shared" si="6"/>
        <v>8879111</v>
      </c>
      <c r="M20" s="18">
        <f t="shared" si="6"/>
        <v>9909268.0914374273</v>
      </c>
      <c r="N20" s="18">
        <f t="shared" si="6"/>
        <v>10945840</v>
      </c>
      <c r="O20" s="18">
        <f t="shared" si="6"/>
        <v>12338878</v>
      </c>
      <c r="P20" s="18">
        <f t="shared" si="6"/>
        <v>14103839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8"/>
    </row>
    <row r="21" spans="1:190" ht="15.75" x14ac:dyDescent="0.25">
      <c r="A21" s="19">
        <v>7.1</v>
      </c>
      <c r="B21" s="20" t="s">
        <v>11</v>
      </c>
      <c r="C21" s="27">
        <v>1065434</v>
      </c>
      <c r="D21" s="27">
        <v>1173230</v>
      </c>
      <c r="E21" s="27">
        <v>1307793</v>
      </c>
      <c r="F21" s="27">
        <v>1349979</v>
      </c>
      <c r="G21" s="27">
        <v>1321373</v>
      </c>
      <c r="H21" s="27">
        <v>1325077</v>
      </c>
      <c r="I21" s="27">
        <v>1519269</v>
      </c>
      <c r="J21" s="27">
        <v>1588481</v>
      </c>
      <c r="K21" s="27">
        <v>1296062</v>
      </c>
      <c r="L21" s="27">
        <v>924970.00000000012</v>
      </c>
      <c r="M21" s="27">
        <v>1242365</v>
      </c>
      <c r="N21" s="27">
        <v>1631773</v>
      </c>
      <c r="O21" s="27">
        <v>1771639</v>
      </c>
      <c r="P21" s="27">
        <v>2125967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9">
        <v>7.2</v>
      </c>
      <c r="B22" s="20" t="s">
        <v>12</v>
      </c>
      <c r="C22" s="27">
        <v>1976900.9935000001</v>
      </c>
      <c r="D22" s="27">
        <v>2322135.657493588</v>
      </c>
      <c r="E22" s="27">
        <v>2580096.0015598335</v>
      </c>
      <c r="F22" s="27">
        <v>3254164.8810442109</v>
      </c>
      <c r="G22" s="27">
        <v>3664375.7438180852</v>
      </c>
      <c r="H22" s="27">
        <v>3961457.5351266754</v>
      </c>
      <c r="I22" s="27">
        <v>4335563.2712890673</v>
      </c>
      <c r="J22" s="27">
        <v>4928507.0820481507</v>
      </c>
      <c r="K22" s="27">
        <v>5833297</v>
      </c>
      <c r="L22" s="27">
        <v>5615302</v>
      </c>
      <c r="M22" s="27">
        <v>6210834.7997863516</v>
      </c>
      <c r="N22" s="27">
        <v>6624647</v>
      </c>
      <c r="O22" s="27">
        <v>7564835</v>
      </c>
      <c r="P22" s="27">
        <v>8770662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9">
        <v>7.3</v>
      </c>
      <c r="B23" s="20" t="s">
        <v>13</v>
      </c>
      <c r="C23" s="27">
        <v>1495.6854000000001</v>
      </c>
      <c r="D23" s="27">
        <v>738.74785097247343</v>
      </c>
      <c r="E23" s="27">
        <v>462.55885703998337</v>
      </c>
      <c r="F23" s="27">
        <v>555.13313241390551</v>
      </c>
      <c r="G23" s="27">
        <v>588.23520158710323</v>
      </c>
      <c r="H23" s="27">
        <v>924.46120661272107</v>
      </c>
      <c r="I23" s="27">
        <v>744.01694933583792</v>
      </c>
      <c r="J23" s="27">
        <v>1216.4221590536567</v>
      </c>
      <c r="K23" s="27">
        <v>1187</v>
      </c>
      <c r="L23" s="27">
        <v>1469</v>
      </c>
      <c r="M23" s="27">
        <v>2217.3646134403571</v>
      </c>
      <c r="N23" s="27">
        <v>857</v>
      </c>
      <c r="O23" s="27">
        <v>4853</v>
      </c>
      <c r="P23" s="27"/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9">
        <v>7.4</v>
      </c>
      <c r="B24" s="20" t="s">
        <v>14</v>
      </c>
      <c r="C24" s="27">
        <v>7630.1632</v>
      </c>
      <c r="D24" s="27">
        <v>13903.160122269106</v>
      </c>
      <c r="E24" s="27">
        <v>13739.551423383537</v>
      </c>
      <c r="F24" s="27">
        <v>18794.858541085145</v>
      </c>
      <c r="G24" s="27">
        <v>36592.955675201149</v>
      </c>
      <c r="H24" s="27">
        <v>42100.95384329326</v>
      </c>
      <c r="I24" s="27">
        <v>41897.655762761533</v>
      </c>
      <c r="J24" s="27">
        <v>25787.841231123555</v>
      </c>
      <c r="K24" s="27">
        <v>49338</v>
      </c>
      <c r="L24" s="27">
        <v>32140</v>
      </c>
      <c r="M24" s="27">
        <v>24745.737861862395</v>
      </c>
      <c r="N24" s="27">
        <v>32736</v>
      </c>
      <c r="O24" s="27">
        <v>59750</v>
      </c>
      <c r="P24" s="27"/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19">
        <v>7.5</v>
      </c>
      <c r="B25" s="20" t="s">
        <v>15</v>
      </c>
      <c r="C25" s="27">
        <v>9842.1617000000006</v>
      </c>
      <c r="D25" s="27">
        <v>11157.224377746265</v>
      </c>
      <c r="E25" s="27">
        <v>11892.94709647387</v>
      </c>
      <c r="F25" s="27">
        <v>14128.565515710463</v>
      </c>
      <c r="G25" s="27">
        <v>15682.460873420068</v>
      </c>
      <c r="H25" s="27">
        <v>16726.540138088461</v>
      </c>
      <c r="I25" s="27">
        <v>18070.098034350387</v>
      </c>
      <c r="J25" s="27">
        <v>19888.110449751563</v>
      </c>
      <c r="K25" s="27">
        <v>21834</v>
      </c>
      <c r="L25" s="27">
        <v>14572</v>
      </c>
      <c r="M25" s="27">
        <v>21528.189175772455</v>
      </c>
      <c r="N25" s="27">
        <v>22887</v>
      </c>
      <c r="O25" s="27">
        <v>25490</v>
      </c>
      <c r="P25" s="27"/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9">
        <v>7.6</v>
      </c>
      <c r="B26" s="20" t="s">
        <v>16</v>
      </c>
      <c r="C26" s="21">
        <v>111006</v>
      </c>
      <c r="D26" s="21">
        <v>113549</v>
      </c>
      <c r="E26" s="21">
        <v>119473</v>
      </c>
      <c r="F26" s="21">
        <v>118416.00000000001</v>
      </c>
      <c r="G26" s="21">
        <v>122748</v>
      </c>
      <c r="H26" s="21">
        <v>124101</v>
      </c>
      <c r="I26" s="21">
        <v>132175</v>
      </c>
      <c r="J26" s="21">
        <v>176380</v>
      </c>
      <c r="K26" s="21">
        <v>182007</v>
      </c>
      <c r="L26" s="21">
        <v>179461</v>
      </c>
      <c r="M26" s="21">
        <v>177980</v>
      </c>
      <c r="N26" s="21">
        <v>190295</v>
      </c>
      <c r="O26" s="21">
        <v>210928.00000000003</v>
      </c>
      <c r="P26" s="21">
        <v>233798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45" x14ac:dyDescent="0.25">
      <c r="A27" s="19">
        <v>7.7</v>
      </c>
      <c r="B27" s="20" t="s">
        <v>17</v>
      </c>
      <c r="C27" s="21">
        <v>875159</v>
      </c>
      <c r="D27" s="21">
        <v>1005054.0000000001</v>
      </c>
      <c r="E27" s="21">
        <v>1199067</v>
      </c>
      <c r="F27" s="21">
        <v>1631842</v>
      </c>
      <c r="G27" s="21">
        <v>2008941.9999999998</v>
      </c>
      <c r="H27" s="21">
        <v>1969159</v>
      </c>
      <c r="I27" s="21">
        <v>1881361</v>
      </c>
      <c r="J27" s="21">
        <v>2016259</v>
      </c>
      <c r="K27" s="21">
        <v>2187302</v>
      </c>
      <c r="L27" s="21">
        <v>2111197</v>
      </c>
      <c r="M27" s="21">
        <v>2229597</v>
      </c>
      <c r="N27" s="21">
        <v>2442645</v>
      </c>
      <c r="O27" s="21">
        <v>2701383</v>
      </c>
      <c r="P27" s="21">
        <v>2973412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12" t="s">
        <v>37</v>
      </c>
      <c r="B28" s="20" t="s">
        <v>18</v>
      </c>
      <c r="C28" s="21">
        <v>2518198</v>
      </c>
      <c r="D28" s="21">
        <v>2775193</v>
      </c>
      <c r="E28" s="21">
        <v>3027442</v>
      </c>
      <c r="F28" s="21">
        <v>3366247</v>
      </c>
      <c r="G28" s="21">
        <v>3653412.0000000005</v>
      </c>
      <c r="H28" s="21">
        <v>3607454</v>
      </c>
      <c r="I28" s="21">
        <v>4098875</v>
      </c>
      <c r="J28" s="21">
        <v>4196760</v>
      </c>
      <c r="K28" s="21">
        <v>4373690</v>
      </c>
      <c r="L28" s="21">
        <v>4472612</v>
      </c>
      <c r="M28" s="21">
        <v>4558240</v>
      </c>
      <c r="N28" s="21">
        <v>4901989</v>
      </c>
      <c r="O28" s="21">
        <v>5667293</v>
      </c>
      <c r="P28" s="21">
        <v>6140850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60" x14ac:dyDescent="0.25">
      <c r="A29" s="12" t="s">
        <v>38</v>
      </c>
      <c r="B29" s="20" t="s">
        <v>19</v>
      </c>
      <c r="C29" s="21">
        <v>9745417</v>
      </c>
      <c r="D29" s="21">
        <v>10455686</v>
      </c>
      <c r="E29" s="21">
        <v>10955219</v>
      </c>
      <c r="F29" s="21">
        <v>11609688</v>
      </c>
      <c r="G29" s="21">
        <v>12173911</v>
      </c>
      <c r="H29" s="21">
        <v>12818189</v>
      </c>
      <c r="I29" s="21">
        <v>13421594</v>
      </c>
      <c r="J29" s="21">
        <v>13860106</v>
      </c>
      <c r="K29" s="21">
        <v>14310057.999999998</v>
      </c>
      <c r="L29" s="21">
        <v>14068795.021478273</v>
      </c>
      <c r="M29" s="21">
        <v>15465117.17071186</v>
      </c>
      <c r="N29" s="21">
        <v>17005492.646312401</v>
      </c>
      <c r="O29" s="21">
        <v>17782566.27123167</v>
      </c>
      <c r="P29" s="21">
        <v>19238731.596513953</v>
      </c>
      <c r="Q29" s="4"/>
      <c r="R29" s="3"/>
      <c r="S29" s="4"/>
      <c r="T29" s="4"/>
      <c r="U29" s="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12" t="s">
        <v>39</v>
      </c>
      <c r="B30" s="20" t="s">
        <v>54</v>
      </c>
      <c r="C30" s="21">
        <v>4234830</v>
      </c>
      <c r="D30" s="21">
        <v>4726108</v>
      </c>
      <c r="E30" s="21">
        <v>4846772</v>
      </c>
      <c r="F30" s="21">
        <v>5080604</v>
      </c>
      <c r="G30" s="21">
        <v>5242176</v>
      </c>
      <c r="H30" s="21">
        <v>5806893</v>
      </c>
      <c r="I30" s="21">
        <v>6755547</v>
      </c>
      <c r="J30" s="21">
        <v>7265410.0000000009</v>
      </c>
      <c r="K30" s="21">
        <v>7743150</v>
      </c>
      <c r="L30" s="21">
        <v>7416214.9999999991</v>
      </c>
      <c r="M30" s="21">
        <v>7641606</v>
      </c>
      <c r="N30" s="21">
        <v>8023632.0000000009</v>
      </c>
      <c r="O30" s="21">
        <v>8504137</v>
      </c>
      <c r="P30" s="21">
        <v>8901765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12" t="s">
        <v>40</v>
      </c>
      <c r="B31" s="20" t="s">
        <v>20</v>
      </c>
      <c r="C31" s="21">
        <v>4842103.5186956553</v>
      </c>
      <c r="D31" s="21">
        <v>4976948.7666088436</v>
      </c>
      <c r="E31" s="21">
        <v>5524746.8345455546</v>
      </c>
      <c r="F31" s="21">
        <v>6147840.4702265933</v>
      </c>
      <c r="G31" s="21">
        <v>7103295.2843018621</v>
      </c>
      <c r="H31" s="21">
        <v>7759114.3275241759</v>
      </c>
      <c r="I31" s="21">
        <v>7858957.0725682043</v>
      </c>
      <c r="J31" s="21">
        <v>8329597.5233741282</v>
      </c>
      <c r="K31" s="21">
        <v>9095945.6421355307</v>
      </c>
      <c r="L31" s="21">
        <v>7880285.0084408857</v>
      </c>
      <c r="M31" s="21">
        <v>8371062.0094991261</v>
      </c>
      <c r="N31" s="21">
        <v>9328658.966080321</v>
      </c>
      <c r="O31" s="21">
        <v>10124918.460706769</v>
      </c>
      <c r="P31" s="21">
        <v>11006541.503756199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8" customFormat="1" ht="15.75" x14ac:dyDescent="0.25">
      <c r="A32" s="22"/>
      <c r="B32" s="23" t="s">
        <v>30</v>
      </c>
      <c r="C32" s="24">
        <f>C17+C20+C28+C29+C30+C31</f>
        <v>32334604.840437967</v>
      </c>
      <c r="D32" s="24">
        <f t="shared" ref="D32:O32" si="7">D17+D20+D28+D29+D30+D31</f>
        <v>34549724.701289959</v>
      </c>
      <c r="E32" s="24">
        <f t="shared" si="7"/>
        <v>37266370.246659324</v>
      </c>
      <c r="F32" s="24">
        <f t="shared" si="7"/>
        <v>40754832.250265606</v>
      </c>
      <c r="G32" s="24">
        <f t="shared" si="7"/>
        <v>44287895.220338985</v>
      </c>
      <c r="H32" s="24">
        <f t="shared" si="7"/>
        <v>46968198.151591517</v>
      </c>
      <c r="I32" s="24">
        <f t="shared" si="7"/>
        <v>50306608.293254748</v>
      </c>
      <c r="J32" s="24">
        <f t="shared" si="7"/>
        <v>53337580.160637327</v>
      </c>
      <c r="K32" s="24">
        <f t="shared" si="7"/>
        <v>57129959.642135531</v>
      </c>
      <c r="L32" s="24">
        <f t="shared" si="7"/>
        <v>52660148.029919162</v>
      </c>
      <c r="M32" s="24">
        <f t="shared" si="7"/>
        <v>56788705.630121648</v>
      </c>
      <c r="N32" s="24">
        <f t="shared" si="7"/>
        <v>62544659.612392724</v>
      </c>
      <c r="O32" s="24">
        <f t="shared" si="7"/>
        <v>67774999.731938437</v>
      </c>
      <c r="P32" s="24">
        <f t="shared" ref="P32" si="8">P17+P20+P28+P29+P30+P31</f>
        <v>74133580.100270152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0"/>
      <c r="GF32" s="10"/>
      <c r="GG32" s="10"/>
    </row>
    <row r="33" spans="1:190" s="10" customFormat="1" ht="30" x14ac:dyDescent="0.25">
      <c r="A33" s="16" t="s">
        <v>27</v>
      </c>
      <c r="B33" s="17" t="s">
        <v>41</v>
      </c>
      <c r="C33" s="18">
        <f>C12+C16+C32</f>
        <v>69491447.840437964</v>
      </c>
      <c r="D33" s="18">
        <f t="shared" ref="D33:O33" si="9">D12+D16+D32</f>
        <v>73042447.701289952</v>
      </c>
      <c r="E33" s="18">
        <f t="shared" si="9"/>
        <v>77214941.246659324</v>
      </c>
      <c r="F33" s="18">
        <f t="shared" si="9"/>
        <v>80106550.250265598</v>
      </c>
      <c r="G33" s="18">
        <f t="shared" si="9"/>
        <v>87751446.220338985</v>
      </c>
      <c r="H33" s="18">
        <f t="shared" si="9"/>
        <v>98130033.15159151</v>
      </c>
      <c r="I33" s="18">
        <f t="shared" si="9"/>
        <v>102280730.29325475</v>
      </c>
      <c r="J33" s="18">
        <f t="shared" si="9"/>
        <v>106468381.16063732</v>
      </c>
      <c r="K33" s="18">
        <f t="shared" si="9"/>
        <v>110702475.64213553</v>
      </c>
      <c r="L33" s="18">
        <f t="shared" si="9"/>
        <v>106079791.43426776</v>
      </c>
      <c r="M33" s="18">
        <f t="shared" si="9"/>
        <v>118104903.84971927</v>
      </c>
      <c r="N33" s="18">
        <f t="shared" si="9"/>
        <v>126993612.62562782</v>
      </c>
      <c r="O33" s="18">
        <f t="shared" si="9"/>
        <v>138283261.93486527</v>
      </c>
      <c r="P33" s="18">
        <f t="shared" ref="P33" si="10">P12+P16+P32</f>
        <v>150827237.31074572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8"/>
    </row>
    <row r="34" spans="1:190" ht="15.75" x14ac:dyDescent="0.25">
      <c r="A34" s="30" t="s">
        <v>43</v>
      </c>
      <c r="B34" s="31" t="s">
        <v>25</v>
      </c>
      <c r="C34" s="21">
        <v>7063428</v>
      </c>
      <c r="D34" s="21">
        <v>7224060.0000000009</v>
      </c>
      <c r="E34" s="21">
        <v>7480173</v>
      </c>
      <c r="F34" s="21">
        <v>8113839.9999999991</v>
      </c>
      <c r="G34" s="21">
        <v>8679100</v>
      </c>
      <c r="H34" s="21">
        <v>9289589.7729224507</v>
      </c>
      <c r="I34" s="21">
        <v>9333431.1043856367</v>
      </c>
      <c r="J34" s="21">
        <v>9458888.7814891227</v>
      </c>
      <c r="K34" s="21">
        <v>10022626.778018575</v>
      </c>
      <c r="L34" s="21">
        <v>9133011.4593422059</v>
      </c>
      <c r="M34" s="21">
        <v>10062511.914481891</v>
      </c>
      <c r="N34" s="21">
        <v>10808069.015163839</v>
      </c>
      <c r="O34" s="21">
        <v>11814962.052074211</v>
      </c>
      <c r="P34" s="21">
        <v>12774783.761531645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30" t="s">
        <v>44</v>
      </c>
      <c r="B35" s="31" t="s">
        <v>24</v>
      </c>
      <c r="C35" s="21">
        <v>2847843</v>
      </c>
      <c r="D35" s="21">
        <v>3037500</v>
      </c>
      <c r="E35" s="21">
        <v>2706300</v>
      </c>
      <c r="F35" s="21">
        <v>2764300</v>
      </c>
      <c r="G35" s="21">
        <v>3012400</v>
      </c>
      <c r="H35" s="21">
        <v>3371000</v>
      </c>
      <c r="I35" s="21">
        <v>3534155.637145326</v>
      </c>
      <c r="J35" s="21">
        <v>3679800</v>
      </c>
      <c r="K35" s="21">
        <v>3821637.2139867754</v>
      </c>
      <c r="L35" s="21">
        <v>3666203.2090767841</v>
      </c>
      <c r="M35" s="21">
        <v>4087525.1177744833</v>
      </c>
      <c r="N35" s="21">
        <v>4495316.7372273086</v>
      </c>
      <c r="O35" s="21">
        <v>4894949.3030266883</v>
      </c>
      <c r="P35" s="21">
        <v>5338412.0687261671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8" customFormat="1" ht="30" x14ac:dyDescent="0.25">
      <c r="A36" s="32" t="s">
        <v>45</v>
      </c>
      <c r="B36" s="33" t="s">
        <v>55</v>
      </c>
      <c r="C36" s="24">
        <f>C33+C34-C35</f>
        <v>73707032.840437964</v>
      </c>
      <c r="D36" s="24">
        <f t="shared" ref="D36:O36" si="11">D33+D34-D35</f>
        <v>77229007.701289952</v>
      </c>
      <c r="E36" s="24">
        <f t="shared" si="11"/>
        <v>81988814.246659324</v>
      </c>
      <c r="F36" s="24">
        <f t="shared" si="11"/>
        <v>85456090.250265598</v>
      </c>
      <c r="G36" s="24">
        <f t="shared" si="11"/>
        <v>93418146.220338985</v>
      </c>
      <c r="H36" s="24">
        <f t="shared" si="11"/>
        <v>104048622.92451397</v>
      </c>
      <c r="I36" s="24">
        <f t="shared" si="11"/>
        <v>108080005.76049505</v>
      </c>
      <c r="J36" s="24">
        <f t="shared" si="11"/>
        <v>112247469.94212644</v>
      </c>
      <c r="K36" s="24">
        <f t="shared" si="11"/>
        <v>116903465.20616734</v>
      </c>
      <c r="L36" s="24">
        <f t="shared" si="11"/>
        <v>111546599.68453319</v>
      </c>
      <c r="M36" s="24">
        <f t="shared" si="11"/>
        <v>124079890.64642668</v>
      </c>
      <c r="N36" s="24">
        <f t="shared" si="11"/>
        <v>133306364.90356435</v>
      </c>
      <c r="O36" s="24">
        <f t="shared" si="11"/>
        <v>145203274.68391281</v>
      </c>
      <c r="P36" s="24">
        <f t="shared" ref="P36" si="12">P33+P34-P35</f>
        <v>158263609.00355119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</row>
    <row r="37" spans="1:190" s="8" customFormat="1" ht="15.75" x14ac:dyDescent="0.25">
      <c r="A37" s="32" t="s">
        <v>46</v>
      </c>
      <c r="B37" s="33" t="s">
        <v>42</v>
      </c>
      <c r="C37" s="24">
        <f>GSVA_cur!C37</f>
        <v>2015910</v>
      </c>
      <c r="D37" s="24">
        <f>GSVA_cur!D37</f>
        <v>2046780</v>
      </c>
      <c r="E37" s="24">
        <f>GSVA_cur!E37</f>
        <v>2078120</v>
      </c>
      <c r="F37" s="24">
        <f>GSVA_cur!F37</f>
        <v>2109940</v>
      </c>
      <c r="G37" s="24">
        <f>GSVA_cur!G37</f>
        <v>2142250</v>
      </c>
      <c r="H37" s="24">
        <f>GSVA_cur!H37</f>
        <v>2175050</v>
      </c>
      <c r="I37" s="24">
        <f>GSVA_cur!I37</f>
        <v>2208360</v>
      </c>
      <c r="J37" s="24">
        <f>GSVA_cur!J37</f>
        <v>2242170</v>
      </c>
      <c r="K37" s="24">
        <f>GSVA_cur!K37</f>
        <v>2276500</v>
      </c>
      <c r="L37" s="24">
        <f>GSVA_cur!L37</f>
        <v>2296720</v>
      </c>
      <c r="M37" s="24">
        <f>GSVA_cur!M37</f>
        <v>2323010</v>
      </c>
      <c r="N37" s="24">
        <f>GSVA_cur!N37</f>
        <v>2346920</v>
      </c>
      <c r="O37" s="24">
        <f>GSVA_cur!O37</f>
        <v>2370820</v>
      </c>
      <c r="P37" s="24">
        <f>GSVA_cur!P37</f>
        <v>2394720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8" customFormat="1" ht="15.75" x14ac:dyDescent="0.25">
      <c r="A38" s="32" t="s">
        <v>47</v>
      </c>
      <c r="B38" s="33" t="s">
        <v>58</v>
      </c>
      <c r="C38" s="24">
        <f t="shared" ref="C38:P38" si="13">C36/C37*1000</f>
        <v>36562.660456289203</v>
      </c>
      <c r="D38" s="24">
        <f t="shared" si="13"/>
        <v>37731.953459233504</v>
      </c>
      <c r="E38" s="24">
        <f t="shared" si="13"/>
        <v>39453.358923767308</v>
      </c>
      <c r="F38" s="24">
        <f t="shared" si="13"/>
        <v>40501.668412497791</v>
      </c>
      <c r="G38" s="24">
        <f t="shared" si="13"/>
        <v>43607.49035842641</v>
      </c>
      <c r="H38" s="24">
        <f t="shared" si="13"/>
        <v>47837.347612475096</v>
      </c>
      <c r="I38" s="24">
        <f t="shared" si="13"/>
        <v>48941.298411715055</v>
      </c>
      <c r="J38" s="24">
        <f t="shared" si="13"/>
        <v>50061.980109503937</v>
      </c>
      <c r="K38" s="24">
        <f t="shared" si="13"/>
        <v>51352.279906069554</v>
      </c>
      <c r="L38" s="24">
        <f t="shared" si="13"/>
        <v>48567.783484505373</v>
      </c>
      <c r="M38" s="24">
        <f t="shared" si="13"/>
        <v>53413.412187819544</v>
      </c>
      <c r="N38" s="24">
        <f t="shared" si="13"/>
        <v>56800.557711197805</v>
      </c>
      <c r="O38" s="24">
        <f t="shared" si="13"/>
        <v>61246.0139040133</v>
      </c>
      <c r="P38" s="24">
        <f t="shared" si="13"/>
        <v>66088.565261722106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Z38" s="11"/>
      <c r="CA38" s="11"/>
      <c r="CB38" s="11"/>
      <c r="CC38" s="11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ht="18.75" customHeight="1" x14ac:dyDescent="0.25">
      <c r="A39" s="37" t="s">
        <v>79</v>
      </c>
      <c r="B39" s="37"/>
      <c r="C39" s="37"/>
      <c r="D39" s="37"/>
      <c r="E39" s="37"/>
    </row>
    <row r="40" spans="1:190" x14ac:dyDescent="0.25">
      <c r="A40" s="38" t="s">
        <v>82</v>
      </c>
      <c r="B40" s="38"/>
      <c r="C40" s="38"/>
      <c r="D40" s="38"/>
      <c r="E40" s="38"/>
      <c r="F40" s="38"/>
      <c r="G40" s="38"/>
      <c r="H40" s="38"/>
    </row>
  </sheetData>
  <sheetProtection formatColumns="0" formatRows="0"/>
  <mergeCells count="2">
    <mergeCell ref="A39:E39"/>
    <mergeCell ref="A40:H40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L41"/>
  <sheetViews>
    <sheetView zoomScale="96" zoomScaleNormal="96" zoomScaleSheetLayoutView="100" workbookViewId="0">
      <pane xSplit="2" ySplit="5" topLeftCell="C36" activePane="bottomRight" state="frozen"/>
      <selection activeCell="C28" sqref="C28"/>
      <selection pane="topRight" activeCell="C28" sqref="C28"/>
      <selection pane="bottomLeft" activeCell="C28" sqref="C28"/>
      <selection pane="bottomRight" activeCell="C48" sqref="C48"/>
    </sheetView>
  </sheetViews>
  <sheetFormatPr defaultColWidth="8.85546875" defaultRowHeight="15" x14ac:dyDescent="0.25"/>
  <cols>
    <col min="1" max="1" width="11" style="2" customWidth="1"/>
    <col min="2" max="2" width="19.85546875" style="2" customWidth="1"/>
    <col min="3" max="6" width="16.42578125" style="2" customWidth="1"/>
    <col min="7" max="16" width="16.4257812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53</v>
      </c>
      <c r="B1" s="6" t="s">
        <v>66</v>
      </c>
      <c r="X1" s="3"/>
    </row>
    <row r="2" spans="1:194" ht="15.75" x14ac:dyDescent="0.25">
      <c r="A2" s="7" t="s">
        <v>50</v>
      </c>
      <c r="H2" s="1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5"/>
      <c r="F4" s="5" t="s">
        <v>57</v>
      </c>
    </row>
    <row r="5" spans="1:194" ht="15.75" x14ac:dyDescent="0.25">
      <c r="A5" s="12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  <c r="P5" s="15" t="s">
        <v>77</v>
      </c>
    </row>
    <row r="6" spans="1:194" s="10" customFormat="1" ht="30" x14ac:dyDescent="0.25">
      <c r="A6" s="16" t="s">
        <v>26</v>
      </c>
      <c r="B6" s="17" t="s">
        <v>2</v>
      </c>
      <c r="C6" s="24">
        <f t="shared" ref="C6:N6" si="0">SUM(C7:C10)</f>
        <v>16930163</v>
      </c>
      <c r="D6" s="24">
        <f t="shared" si="0"/>
        <v>19701012</v>
      </c>
      <c r="E6" s="24">
        <f t="shared" si="0"/>
        <v>21894262</v>
      </c>
      <c r="F6" s="24">
        <f t="shared" si="0"/>
        <v>22370286</v>
      </c>
      <c r="G6" s="24">
        <f t="shared" si="0"/>
        <v>24927478.000000004</v>
      </c>
      <c r="H6" s="24">
        <f t="shared" si="0"/>
        <v>27114581.600000001</v>
      </c>
      <c r="I6" s="24">
        <f t="shared" si="0"/>
        <v>29914320.600000001</v>
      </c>
      <c r="J6" s="24">
        <f t="shared" si="0"/>
        <v>32247620.199999999</v>
      </c>
      <c r="K6" s="24">
        <f t="shared" si="0"/>
        <v>34888977</v>
      </c>
      <c r="L6" s="24">
        <f t="shared" si="0"/>
        <v>36908013.617478803</v>
      </c>
      <c r="M6" s="24">
        <f t="shared" si="0"/>
        <v>43893978.843376234</v>
      </c>
      <c r="N6" s="24">
        <f t="shared" si="0"/>
        <v>48410786.735365897</v>
      </c>
      <c r="O6" s="24">
        <f t="shared" ref="O6:P6" si="1">SUM(O7:O10)</f>
        <v>56900505.278443307</v>
      </c>
      <c r="P6" s="24">
        <f t="shared" si="1"/>
        <v>65764673.608546063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L6" s="8"/>
    </row>
    <row r="7" spans="1:194" ht="15.75" x14ac:dyDescent="0.25">
      <c r="A7" s="19">
        <v>1.1000000000000001</v>
      </c>
      <c r="B7" s="20" t="s">
        <v>59</v>
      </c>
      <c r="C7" s="21">
        <v>11143150</v>
      </c>
      <c r="D7" s="21">
        <v>13480767.000000002</v>
      </c>
      <c r="E7" s="21">
        <v>14497145.000000002</v>
      </c>
      <c r="F7" s="21">
        <v>13648776</v>
      </c>
      <c r="G7" s="21">
        <v>15479073.000000002</v>
      </c>
      <c r="H7" s="21">
        <v>16798535.600000001</v>
      </c>
      <c r="I7" s="21">
        <v>18053244.600000001</v>
      </c>
      <c r="J7" s="21">
        <v>19540117.199999999</v>
      </c>
      <c r="K7" s="21">
        <v>21456498</v>
      </c>
      <c r="L7" s="21">
        <v>22859223</v>
      </c>
      <c r="M7" s="21">
        <v>28913526</v>
      </c>
      <c r="N7" s="21">
        <v>30543213</v>
      </c>
      <c r="O7" s="21">
        <v>35341817</v>
      </c>
      <c r="P7" s="21">
        <v>41595735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19">
        <v>1.2</v>
      </c>
      <c r="B8" s="20" t="s">
        <v>60</v>
      </c>
      <c r="C8" s="21">
        <v>4306675</v>
      </c>
      <c r="D8" s="21">
        <v>4603068</v>
      </c>
      <c r="E8" s="21">
        <v>5793275</v>
      </c>
      <c r="F8" s="21">
        <v>6952948</v>
      </c>
      <c r="G8" s="21">
        <v>7790174.0000000009</v>
      </c>
      <c r="H8" s="21">
        <v>8257778</v>
      </c>
      <c r="I8" s="21">
        <v>9730670</v>
      </c>
      <c r="J8" s="21">
        <v>10118757</v>
      </c>
      <c r="K8" s="21">
        <v>10492999</v>
      </c>
      <c r="L8" s="21">
        <v>10589751.136205973</v>
      </c>
      <c r="M8" s="21">
        <v>11652965.635676209</v>
      </c>
      <c r="N8" s="21">
        <v>14091036.735365901</v>
      </c>
      <c r="O8" s="21">
        <v>16738405.278443309</v>
      </c>
      <c r="P8" s="21">
        <v>18747771.60854606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19">
        <v>1.3</v>
      </c>
      <c r="B9" s="20" t="s">
        <v>61</v>
      </c>
      <c r="C9" s="21">
        <v>1235813</v>
      </c>
      <c r="D9" s="21">
        <v>1343337</v>
      </c>
      <c r="E9" s="21">
        <v>1297582</v>
      </c>
      <c r="F9" s="21">
        <v>1423678</v>
      </c>
      <c r="G9" s="21">
        <v>1310183</v>
      </c>
      <c r="H9" s="21">
        <v>1618821</v>
      </c>
      <c r="I9" s="21">
        <v>1678752</v>
      </c>
      <c r="J9" s="21">
        <v>1821141.9999999998</v>
      </c>
      <c r="K9" s="21">
        <v>1976224.0000000002</v>
      </c>
      <c r="L9" s="21">
        <v>2464633.4812728348</v>
      </c>
      <c r="M9" s="21">
        <v>2246430.2077000281</v>
      </c>
      <c r="N9" s="21">
        <v>2458829</v>
      </c>
      <c r="O9" s="21">
        <v>3036670</v>
      </c>
      <c r="P9" s="21">
        <v>3276471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30" x14ac:dyDescent="0.25">
      <c r="A10" s="19">
        <v>1.4</v>
      </c>
      <c r="B10" s="20" t="s">
        <v>62</v>
      </c>
      <c r="C10" s="21">
        <v>244525</v>
      </c>
      <c r="D10" s="21">
        <v>273840</v>
      </c>
      <c r="E10" s="21">
        <v>306260</v>
      </c>
      <c r="F10" s="21">
        <v>344884</v>
      </c>
      <c r="G10" s="21">
        <v>348048</v>
      </c>
      <c r="H10" s="21">
        <v>439447</v>
      </c>
      <c r="I10" s="21">
        <v>451654</v>
      </c>
      <c r="J10" s="21">
        <v>767604</v>
      </c>
      <c r="K10" s="21">
        <v>963256</v>
      </c>
      <c r="L10" s="21">
        <v>994406</v>
      </c>
      <c r="M10" s="21">
        <v>1081057</v>
      </c>
      <c r="N10" s="21">
        <v>1317708</v>
      </c>
      <c r="O10" s="21">
        <v>1783613</v>
      </c>
      <c r="P10" s="21">
        <v>2144696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30" x14ac:dyDescent="0.25">
      <c r="A11" s="12" t="s">
        <v>31</v>
      </c>
      <c r="B11" s="20" t="s">
        <v>3</v>
      </c>
      <c r="C11" s="21">
        <v>574633</v>
      </c>
      <c r="D11" s="21">
        <v>605231</v>
      </c>
      <c r="E11" s="21">
        <v>744087</v>
      </c>
      <c r="F11" s="21">
        <v>816230</v>
      </c>
      <c r="G11" s="21">
        <v>942327</v>
      </c>
      <c r="H11" s="21">
        <v>1064626</v>
      </c>
      <c r="I11" s="21">
        <v>2157404</v>
      </c>
      <c r="J11" s="21">
        <v>2087778</v>
      </c>
      <c r="K11" s="21">
        <v>1465544</v>
      </c>
      <c r="L11" s="21">
        <v>1415783</v>
      </c>
      <c r="M11" s="21">
        <v>1199610.8923347741</v>
      </c>
      <c r="N11" s="21">
        <v>1722978.8400213779</v>
      </c>
      <c r="O11" s="21">
        <v>1978144.5348944869</v>
      </c>
      <c r="P11" s="21">
        <v>1993620.4824008793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8" customFormat="1" ht="15.75" x14ac:dyDescent="0.25">
      <c r="A12" s="22"/>
      <c r="B12" s="23" t="s">
        <v>28</v>
      </c>
      <c r="C12" s="24">
        <f t="shared" ref="C12:P12" si="2">C6+C11</f>
        <v>17504796</v>
      </c>
      <c r="D12" s="24">
        <f t="shared" si="2"/>
        <v>20306243</v>
      </c>
      <c r="E12" s="24">
        <f t="shared" si="2"/>
        <v>22638349</v>
      </c>
      <c r="F12" s="24">
        <f t="shared" si="2"/>
        <v>23186516</v>
      </c>
      <c r="G12" s="24">
        <f t="shared" si="2"/>
        <v>25869805.000000004</v>
      </c>
      <c r="H12" s="24">
        <f t="shared" si="2"/>
        <v>28179207.600000001</v>
      </c>
      <c r="I12" s="24">
        <f t="shared" si="2"/>
        <v>32071724.600000001</v>
      </c>
      <c r="J12" s="24">
        <f t="shared" si="2"/>
        <v>34335398.200000003</v>
      </c>
      <c r="K12" s="24">
        <f t="shared" si="2"/>
        <v>36354521</v>
      </c>
      <c r="L12" s="24">
        <f t="shared" si="2"/>
        <v>38323796.617478803</v>
      </c>
      <c r="M12" s="24">
        <f t="shared" si="2"/>
        <v>45093589.735711008</v>
      </c>
      <c r="N12" s="24">
        <f t="shared" si="2"/>
        <v>50133765.575387277</v>
      </c>
      <c r="O12" s="24">
        <f t="shared" si="2"/>
        <v>58878649.813337795</v>
      </c>
      <c r="P12" s="24">
        <f t="shared" si="2"/>
        <v>67758294.090946943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0"/>
      <c r="GJ12" s="10"/>
      <c r="GK12" s="10"/>
    </row>
    <row r="13" spans="1:194" s="1" customFormat="1" ht="15.75" x14ac:dyDescent="0.25">
      <c r="A13" s="25" t="s">
        <v>32</v>
      </c>
      <c r="B13" s="26" t="s">
        <v>4</v>
      </c>
      <c r="C13" s="21">
        <v>6919442</v>
      </c>
      <c r="D13" s="21">
        <v>7714453</v>
      </c>
      <c r="E13" s="21">
        <v>9412844</v>
      </c>
      <c r="F13" s="21">
        <v>8421491</v>
      </c>
      <c r="G13" s="27">
        <v>11031061</v>
      </c>
      <c r="H13" s="27">
        <v>15980178</v>
      </c>
      <c r="I13" s="27">
        <v>15382681</v>
      </c>
      <c r="J13" s="27">
        <v>14797670.000000002</v>
      </c>
      <c r="K13" s="27">
        <v>15249243</v>
      </c>
      <c r="L13" s="27">
        <v>15406589.000000002</v>
      </c>
      <c r="M13" s="27">
        <v>19069440</v>
      </c>
      <c r="N13" s="27">
        <v>19192937</v>
      </c>
      <c r="O13" s="27">
        <v>21371446</v>
      </c>
      <c r="P13" s="27">
        <v>23205406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45" x14ac:dyDescent="0.25">
      <c r="A14" s="12" t="s">
        <v>33</v>
      </c>
      <c r="B14" s="20" t="s">
        <v>5</v>
      </c>
      <c r="C14" s="21">
        <v>617379</v>
      </c>
      <c r="D14" s="21">
        <v>804712</v>
      </c>
      <c r="E14" s="21">
        <v>1100805</v>
      </c>
      <c r="F14" s="21">
        <v>1296443</v>
      </c>
      <c r="G14" s="21">
        <v>1522767</v>
      </c>
      <c r="H14" s="21">
        <v>1850437</v>
      </c>
      <c r="I14" s="21">
        <v>2132661</v>
      </c>
      <c r="J14" s="21">
        <v>2145264</v>
      </c>
      <c r="K14" s="21">
        <v>2799375</v>
      </c>
      <c r="L14" s="21">
        <v>2545327</v>
      </c>
      <c r="M14" s="21">
        <v>3750851</v>
      </c>
      <c r="N14" s="21">
        <v>3892406</v>
      </c>
      <c r="O14" s="21">
        <v>4848442</v>
      </c>
      <c r="P14" s="21">
        <v>5119201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12" t="s">
        <v>34</v>
      </c>
      <c r="B15" s="20" t="s">
        <v>6</v>
      </c>
      <c r="C15" s="21">
        <v>8090538.9904113999</v>
      </c>
      <c r="D15" s="21">
        <v>8858939</v>
      </c>
      <c r="E15" s="21">
        <v>9503217</v>
      </c>
      <c r="F15" s="21">
        <v>10623404</v>
      </c>
      <c r="G15" s="21">
        <v>10862761</v>
      </c>
      <c r="H15" s="21">
        <v>11750872</v>
      </c>
      <c r="I15" s="21">
        <v>12881232</v>
      </c>
      <c r="J15" s="21">
        <v>15077204.999999998</v>
      </c>
      <c r="K15" s="21">
        <v>15606721</v>
      </c>
      <c r="L15" s="21">
        <v>14751346</v>
      </c>
      <c r="M15" s="21">
        <v>20399010</v>
      </c>
      <c r="N15" s="21">
        <v>23525023</v>
      </c>
      <c r="O15" s="21">
        <v>26783524</v>
      </c>
      <c r="P15" s="21">
        <v>32342838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8" customFormat="1" ht="15.75" x14ac:dyDescent="0.25">
      <c r="A16" s="22"/>
      <c r="B16" s="23" t="s">
        <v>29</v>
      </c>
      <c r="C16" s="24">
        <f t="shared" ref="C16:O16" si="3">(C13+C14+C15)</f>
        <v>15627359.990411401</v>
      </c>
      <c r="D16" s="24">
        <f t="shared" si="3"/>
        <v>17378104</v>
      </c>
      <c r="E16" s="24">
        <f t="shared" si="3"/>
        <v>20016866</v>
      </c>
      <c r="F16" s="24">
        <f t="shared" si="3"/>
        <v>20341338</v>
      </c>
      <c r="G16" s="24">
        <f t="shared" si="3"/>
        <v>23416589</v>
      </c>
      <c r="H16" s="24">
        <f t="shared" si="3"/>
        <v>29581487</v>
      </c>
      <c r="I16" s="24">
        <f t="shared" si="3"/>
        <v>30396574</v>
      </c>
      <c r="J16" s="24">
        <f t="shared" si="3"/>
        <v>32020139</v>
      </c>
      <c r="K16" s="24">
        <f t="shared" si="3"/>
        <v>33655339</v>
      </c>
      <c r="L16" s="24">
        <f t="shared" si="3"/>
        <v>32703262</v>
      </c>
      <c r="M16" s="24">
        <f t="shared" si="3"/>
        <v>43219301</v>
      </c>
      <c r="N16" s="24">
        <f t="shared" si="3"/>
        <v>46610366</v>
      </c>
      <c r="O16" s="24">
        <f t="shared" si="3"/>
        <v>53003412</v>
      </c>
      <c r="P16" s="24">
        <f t="shared" ref="P16" si="4">(P13+P14+P15)</f>
        <v>60667445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9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9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9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0"/>
      <c r="GJ16" s="10"/>
      <c r="GK16" s="10"/>
    </row>
    <row r="17" spans="1:194" s="10" customFormat="1" ht="30" x14ac:dyDescent="0.25">
      <c r="A17" s="16" t="s">
        <v>35</v>
      </c>
      <c r="B17" s="17" t="s">
        <v>7</v>
      </c>
      <c r="C17" s="24">
        <f>C18+C19</f>
        <v>6474904.3179423101</v>
      </c>
      <c r="D17" s="24">
        <f t="shared" ref="D17:O17" si="5">D18+D19</f>
        <v>6913439.2446572389</v>
      </c>
      <c r="E17" s="24">
        <f t="shared" si="5"/>
        <v>7991184.0133567965</v>
      </c>
      <c r="F17" s="24">
        <f t="shared" si="5"/>
        <v>8589313.8739527501</v>
      </c>
      <c r="G17" s="24">
        <f t="shared" si="5"/>
        <v>9677765.4792637452</v>
      </c>
      <c r="H17" s="24">
        <f t="shared" si="5"/>
        <v>10645405.755563412</v>
      </c>
      <c r="I17" s="24">
        <f t="shared" si="5"/>
        <v>11917369.294628406</v>
      </c>
      <c r="J17" s="24">
        <f t="shared" si="5"/>
        <v>13597379.555896364</v>
      </c>
      <c r="K17" s="24">
        <f t="shared" si="5"/>
        <v>14764983</v>
      </c>
      <c r="L17" s="24">
        <f t="shared" si="5"/>
        <v>10575418</v>
      </c>
      <c r="M17" s="24">
        <f t="shared" si="5"/>
        <v>13087381.465861388</v>
      </c>
      <c r="N17" s="24">
        <f t="shared" si="5"/>
        <v>16254588</v>
      </c>
      <c r="O17" s="24">
        <f t="shared" si="5"/>
        <v>17419524</v>
      </c>
      <c r="P17" s="24">
        <v>19946985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L17" s="8"/>
    </row>
    <row r="18" spans="1:194" ht="30" x14ac:dyDescent="0.25">
      <c r="A18" s="19">
        <v>6.1</v>
      </c>
      <c r="B18" s="20" t="s">
        <v>8</v>
      </c>
      <c r="C18" s="21">
        <v>5803648.0112300776</v>
      </c>
      <c r="D18" s="21">
        <v>6216171.7008599434</v>
      </c>
      <c r="E18" s="21">
        <v>7164285.2219331982</v>
      </c>
      <c r="F18" s="21">
        <v>7820981.6542000007</v>
      </c>
      <c r="G18" s="27">
        <v>8783747.2028437555</v>
      </c>
      <c r="H18" s="27">
        <v>9683329.2035362702</v>
      </c>
      <c r="I18" s="27">
        <v>10892596.056766666</v>
      </c>
      <c r="J18" s="27">
        <v>12251418.61048547</v>
      </c>
      <c r="K18" s="27">
        <v>13023247</v>
      </c>
      <c r="L18" s="27">
        <v>10105487</v>
      </c>
      <c r="M18" s="27">
        <v>12250712.10883506</v>
      </c>
      <c r="N18" s="27">
        <v>14364406</v>
      </c>
      <c r="O18" s="27">
        <v>15113702</v>
      </c>
      <c r="P18" s="27" t="s">
        <v>78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19">
        <v>6.2</v>
      </c>
      <c r="B19" s="20" t="s">
        <v>9</v>
      </c>
      <c r="C19" s="21">
        <v>671256.306712233</v>
      </c>
      <c r="D19" s="21">
        <v>697267.54379729554</v>
      </c>
      <c r="E19" s="21">
        <v>826898.79142359807</v>
      </c>
      <c r="F19" s="21">
        <v>768332.21975275001</v>
      </c>
      <c r="G19" s="27">
        <v>894018.27641998976</v>
      </c>
      <c r="H19" s="27">
        <v>962076.55202714144</v>
      </c>
      <c r="I19" s="27">
        <v>1024773.237861739</v>
      </c>
      <c r="J19" s="27">
        <v>1345960.9454108942</v>
      </c>
      <c r="K19" s="27">
        <v>1741736</v>
      </c>
      <c r="L19" s="27">
        <v>469931</v>
      </c>
      <c r="M19" s="27">
        <v>836669.35702632694</v>
      </c>
      <c r="N19" s="27">
        <v>1890182</v>
      </c>
      <c r="O19" s="27">
        <v>2305822</v>
      </c>
      <c r="P19" s="27" t="s">
        <v>78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60" x14ac:dyDescent="0.25">
      <c r="A20" s="28" t="s">
        <v>36</v>
      </c>
      <c r="B20" s="29" t="s">
        <v>10</v>
      </c>
      <c r="C20" s="24">
        <f>C21+C22+C23+C24+C25+C26+C27</f>
        <v>3439066.0038000001</v>
      </c>
      <c r="D20" s="24">
        <f t="shared" ref="D20:K20" si="6">D21+D22+D23+D24+D25+D26+D27</f>
        <v>4231597.646044611</v>
      </c>
      <c r="E20" s="24">
        <f t="shared" si="6"/>
        <v>5073531.4849552065</v>
      </c>
      <c r="F20" s="24">
        <f t="shared" si="6"/>
        <v>6075040.5919641573</v>
      </c>
      <c r="G20" s="24">
        <f t="shared" si="6"/>
        <v>6947372.6014354685</v>
      </c>
      <c r="H20" s="24">
        <f t="shared" si="6"/>
        <v>7294009.7600564566</v>
      </c>
      <c r="I20" s="24">
        <f t="shared" si="6"/>
        <v>7866366.7800041148</v>
      </c>
      <c r="J20" s="24">
        <f t="shared" si="6"/>
        <v>8621009.0763861425</v>
      </c>
      <c r="K20" s="24">
        <f t="shared" si="6"/>
        <v>9325818</v>
      </c>
      <c r="L20" s="24">
        <f>L21+L22+L23+L24+L25+L26+L27</f>
        <v>6898006</v>
      </c>
      <c r="M20" s="24">
        <f>M21+M22+M23+M24+M25+M26+M27</f>
        <v>10602111.001811583</v>
      </c>
      <c r="N20" s="24">
        <f>N21+N22+N23+N24+N25+N26+N27</f>
        <v>11943477</v>
      </c>
      <c r="O20" s="24">
        <f>O21+O22+O23+O24+O25+O26+O27</f>
        <v>13417268</v>
      </c>
      <c r="P20" s="24">
        <f>P21+P22+P23+P24+P25+P26+P27</f>
        <v>15596548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L20" s="8"/>
    </row>
    <row r="21" spans="1:194" ht="15.75" x14ac:dyDescent="0.25">
      <c r="A21" s="19">
        <v>7.1</v>
      </c>
      <c r="B21" s="20" t="s">
        <v>11</v>
      </c>
      <c r="C21" s="21">
        <v>850495.99999999988</v>
      </c>
      <c r="D21" s="21">
        <v>984754.99999999988</v>
      </c>
      <c r="E21" s="21">
        <v>1087904</v>
      </c>
      <c r="F21" s="21">
        <v>1141354</v>
      </c>
      <c r="G21" s="27">
        <v>1145438</v>
      </c>
      <c r="H21" s="27">
        <v>1249706</v>
      </c>
      <c r="I21" s="27">
        <v>1484579</v>
      </c>
      <c r="J21" s="27">
        <v>1467383</v>
      </c>
      <c r="K21" s="27">
        <v>1312542</v>
      </c>
      <c r="L21" s="27">
        <v>738680</v>
      </c>
      <c r="M21" s="27">
        <v>1168482</v>
      </c>
      <c r="N21" s="27">
        <v>1403745</v>
      </c>
      <c r="O21" s="27">
        <v>1520099</v>
      </c>
      <c r="P21" s="27">
        <v>1885078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19">
        <v>7.2</v>
      </c>
      <c r="B22" s="20" t="s">
        <v>12</v>
      </c>
      <c r="C22" s="21">
        <v>1766331.3712412245</v>
      </c>
      <c r="D22" s="21">
        <v>2242414.1579390806</v>
      </c>
      <c r="E22" s="21">
        <v>2597040.2716756458</v>
      </c>
      <c r="F22" s="21">
        <v>3326593.8837937843</v>
      </c>
      <c r="G22" s="27">
        <v>3728218.3413209035</v>
      </c>
      <c r="H22" s="27">
        <v>4035375.3023445597</v>
      </c>
      <c r="I22" s="27">
        <v>4514429.9201442441</v>
      </c>
      <c r="J22" s="27">
        <v>5157442.1349559091</v>
      </c>
      <c r="K22" s="27">
        <v>5854805</v>
      </c>
      <c r="L22" s="27">
        <v>3957002</v>
      </c>
      <c r="M22" s="27">
        <v>6799124.2635686491</v>
      </c>
      <c r="N22" s="27">
        <v>7421828</v>
      </c>
      <c r="O22" s="27">
        <v>8385498</v>
      </c>
      <c r="P22" s="27">
        <v>9942614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19">
        <v>7.3</v>
      </c>
      <c r="B23" s="20" t="s">
        <v>13</v>
      </c>
      <c r="C23" s="21">
        <v>1336.3724598317772</v>
      </c>
      <c r="D23" s="21">
        <v>708.4484261443049</v>
      </c>
      <c r="E23" s="21">
        <v>475.39842723157733</v>
      </c>
      <c r="F23" s="21">
        <v>593.15094827956204</v>
      </c>
      <c r="G23" s="27">
        <v>630.4418074967009</v>
      </c>
      <c r="H23" s="27">
        <v>1002.8631950827462</v>
      </c>
      <c r="I23" s="27">
        <v>830.14685628497296</v>
      </c>
      <c r="J23" s="27">
        <v>1388.467105827493</v>
      </c>
      <c r="K23" s="27">
        <v>1208</v>
      </c>
      <c r="L23" s="27">
        <v>1584</v>
      </c>
      <c r="M23" s="27">
        <v>2787.1376379733638</v>
      </c>
      <c r="N23" s="27">
        <v>1150</v>
      </c>
      <c r="O23" s="27">
        <v>6573</v>
      </c>
      <c r="P23" s="27"/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19">
        <v>7.4</v>
      </c>
      <c r="B24" s="20" t="s">
        <v>14</v>
      </c>
      <c r="C24" s="21">
        <v>6817.4363168229793</v>
      </c>
      <c r="D24" s="21">
        <v>13332.927999841748</v>
      </c>
      <c r="E24" s="21">
        <v>14120.929776033474</v>
      </c>
      <c r="F24" s="21">
        <v>20082.008288622241</v>
      </c>
      <c r="G24" s="27">
        <v>39218.545668937521</v>
      </c>
      <c r="H24" s="27">
        <v>45671.464400348705</v>
      </c>
      <c r="I24" s="27">
        <v>46752.834641951769</v>
      </c>
      <c r="J24" s="27">
        <v>29435.150464188173</v>
      </c>
      <c r="K24" s="27">
        <v>39261</v>
      </c>
      <c r="L24" s="27">
        <v>5880</v>
      </c>
      <c r="M24" s="27">
        <v>2716.4681722924943</v>
      </c>
      <c r="N24" s="27">
        <v>20562</v>
      </c>
      <c r="O24" s="27">
        <v>60707</v>
      </c>
      <c r="P24" s="27"/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30" x14ac:dyDescent="0.25">
      <c r="A25" s="19">
        <v>7.5</v>
      </c>
      <c r="B25" s="20" t="s">
        <v>15</v>
      </c>
      <c r="C25" s="21">
        <v>8793.8237821209641</v>
      </c>
      <c r="D25" s="21">
        <v>10877.11167954484</v>
      </c>
      <c r="E25" s="21">
        <v>13262.885076295235</v>
      </c>
      <c r="F25" s="21">
        <v>16433.548933471295</v>
      </c>
      <c r="G25" s="27">
        <v>18017.272638131162</v>
      </c>
      <c r="H25" s="27">
        <v>52262.130116465058</v>
      </c>
      <c r="I25" s="27">
        <v>61919.878361633942</v>
      </c>
      <c r="J25" s="27">
        <v>111619.32386021693</v>
      </c>
      <c r="K25" s="27">
        <v>60472</v>
      </c>
      <c r="L25" s="27">
        <v>18650</v>
      </c>
      <c r="M25" s="27">
        <v>46112.132432666527</v>
      </c>
      <c r="N25" s="27">
        <v>68168</v>
      </c>
      <c r="O25" s="27">
        <v>79669</v>
      </c>
      <c r="P25" s="27"/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19">
        <v>7.6</v>
      </c>
      <c r="B26" s="20" t="s">
        <v>16</v>
      </c>
      <c r="C26" s="21">
        <v>95035</v>
      </c>
      <c r="D26" s="21">
        <v>106170</v>
      </c>
      <c r="E26" s="21">
        <v>116264.00000000001</v>
      </c>
      <c r="F26" s="21">
        <v>119606</v>
      </c>
      <c r="G26" s="21">
        <v>127508</v>
      </c>
      <c r="H26" s="21">
        <v>134459</v>
      </c>
      <c r="I26" s="21">
        <v>148674</v>
      </c>
      <c r="J26" s="21">
        <v>226008</v>
      </c>
      <c r="K26" s="21">
        <v>242757.00000000003</v>
      </c>
      <c r="L26" s="21">
        <v>252352</v>
      </c>
      <c r="M26" s="21">
        <v>263361</v>
      </c>
      <c r="N26" s="21">
        <v>295978</v>
      </c>
      <c r="O26" s="21">
        <v>338573</v>
      </c>
      <c r="P26" s="21">
        <v>381234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45" x14ac:dyDescent="0.25">
      <c r="A27" s="19">
        <v>7.7</v>
      </c>
      <c r="B27" s="20" t="s">
        <v>17</v>
      </c>
      <c r="C27" s="21">
        <v>710256</v>
      </c>
      <c r="D27" s="21">
        <v>873340</v>
      </c>
      <c r="E27" s="21">
        <v>1244464</v>
      </c>
      <c r="F27" s="21">
        <v>1450378</v>
      </c>
      <c r="G27" s="21">
        <v>1888341.9999999998</v>
      </c>
      <c r="H27" s="21">
        <v>1775533.0000000002</v>
      </c>
      <c r="I27" s="21">
        <v>1609181</v>
      </c>
      <c r="J27" s="21">
        <v>1627733</v>
      </c>
      <c r="K27" s="21">
        <v>1814773</v>
      </c>
      <c r="L27" s="21">
        <v>1923858.0000000002</v>
      </c>
      <c r="M27" s="21">
        <v>2319528</v>
      </c>
      <c r="N27" s="21">
        <v>2732046</v>
      </c>
      <c r="O27" s="21">
        <v>3026149</v>
      </c>
      <c r="P27" s="21">
        <v>3387622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12" t="s">
        <v>37</v>
      </c>
      <c r="B28" s="20" t="s">
        <v>18</v>
      </c>
      <c r="C28" s="21">
        <v>2478434</v>
      </c>
      <c r="D28" s="21">
        <v>2762189</v>
      </c>
      <c r="E28" s="21">
        <v>3087348</v>
      </c>
      <c r="F28" s="21">
        <v>3455974</v>
      </c>
      <c r="G28" s="21">
        <v>3857066.0000000005</v>
      </c>
      <c r="H28" s="21">
        <v>3801351.9999999995</v>
      </c>
      <c r="I28" s="21">
        <v>4663018</v>
      </c>
      <c r="J28" s="21">
        <v>5091170</v>
      </c>
      <c r="K28" s="21">
        <v>5597949</v>
      </c>
      <c r="L28" s="21">
        <v>5742137</v>
      </c>
      <c r="M28" s="21">
        <v>6263752</v>
      </c>
      <c r="N28" s="21">
        <v>7697964.9999999991</v>
      </c>
      <c r="O28" s="21">
        <v>9093936</v>
      </c>
      <c r="P28" s="21">
        <v>10183924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60" x14ac:dyDescent="0.25">
      <c r="A29" s="12" t="s">
        <v>38</v>
      </c>
      <c r="B29" s="20" t="s">
        <v>19</v>
      </c>
      <c r="C29" s="21">
        <v>8379569</v>
      </c>
      <c r="D29" s="21">
        <v>9877309</v>
      </c>
      <c r="E29" s="21">
        <v>11032993</v>
      </c>
      <c r="F29" s="21">
        <v>12144116</v>
      </c>
      <c r="G29" s="21">
        <v>13177820.000000002</v>
      </c>
      <c r="H29" s="21">
        <v>14458810</v>
      </c>
      <c r="I29" s="21">
        <v>15694765</v>
      </c>
      <c r="J29" s="21">
        <v>16956741</v>
      </c>
      <c r="K29" s="21">
        <v>17951331</v>
      </c>
      <c r="L29" s="21">
        <v>18259196.951056384</v>
      </c>
      <c r="M29" s="21">
        <v>21191798.065055534</v>
      </c>
      <c r="N29" s="21">
        <v>24698068.171388641</v>
      </c>
      <c r="O29" s="21">
        <v>27306044.5795592</v>
      </c>
      <c r="P29" s="21">
        <v>30532274.438327976</v>
      </c>
      <c r="Q29" s="3"/>
      <c r="R29" s="4"/>
      <c r="S29" s="4"/>
      <c r="T29" s="4"/>
      <c r="U29" s="4"/>
      <c r="V29" s="3"/>
      <c r="W29" s="4"/>
      <c r="X29" s="4"/>
      <c r="Y29" s="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30" x14ac:dyDescent="0.25">
      <c r="A30" s="12" t="s">
        <v>39</v>
      </c>
      <c r="B30" s="20" t="s">
        <v>54</v>
      </c>
      <c r="C30" s="21">
        <v>3260755</v>
      </c>
      <c r="D30" s="21">
        <v>3922458.9999999995</v>
      </c>
      <c r="E30" s="21">
        <v>4290741</v>
      </c>
      <c r="F30" s="21">
        <v>4721967</v>
      </c>
      <c r="G30" s="21">
        <v>5061922</v>
      </c>
      <c r="H30" s="21">
        <v>5865659</v>
      </c>
      <c r="I30" s="21">
        <v>7173525.9999999991</v>
      </c>
      <c r="J30" s="21">
        <v>8008292.9999999991</v>
      </c>
      <c r="K30" s="21">
        <v>9038547</v>
      </c>
      <c r="L30" s="21">
        <v>9039406</v>
      </c>
      <c r="M30" s="21">
        <v>9842816</v>
      </c>
      <c r="N30" s="21">
        <v>11037425</v>
      </c>
      <c r="O30" s="21">
        <v>12401739</v>
      </c>
      <c r="P30" s="21">
        <v>13668334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12" t="s">
        <v>40</v>
      </c>
      <c r="B31" s="20" t="s">
        <v>20</v>
      </c>
      <c r="C31" s="21">
        <v>4434674.5186956553</v>
      </c>
      <c r="D31" s="21">
        <v>4943404.7365266439</v>
      </c>
      <c r="E31" s="21">
        <v>5877921.3451507837</v>
      </c>
      <c r="F31" s="21">
        <v>6900471.309415401</v>
      </c>
      <c r="G31" s="21">
        <v>8356774.9449727042</v>
      </c>
      <c r="H31" s="21">
        <v>9672430.1393499319</v>
      </c>
      <c r="I31" s="21">
        <v>10198513.173695548</v>
      </c>
      <c r="J31" s="21">
        <v>11190423.090593537</v>
      </c>
      <c r="K31" s="21">
        <v>12807432</v>
      </c>
      <c r="L31" s="34">
        <v>11064872</v>
      </c>
      <c r="M31" s="34">
        <v>12268349.511783004</v>
      </c>
      <c r="N31" s="34">
        <v>14291874.035281207</v>
      </c>
      <c r="O31" s="34">
        <v>16270139.911058482</v>
      </c>
      <c r="P31" s="34">
        <v>18279365.204079494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8" customFormat="1" ht="15.75" x14ac:dyDescent="0.25">
      <c r="A32" s="22"/>
      <c r="B32" s="23" t="s">
        <v>30</v>
      </c>
      <c r="C32" s="24">
        <f>C17+C20+C28+C29+C30+C31</f>
        <v>28467402.840437967</v>
      </c>
      <c r="D32" s="24">
        <f t="shared" ref="D32:O32" si="7">D17+D20+D28+D29+D30+D31</f>
        <v>32650398.627228491</v>
      </c>
      <c r="E32" s="24">
        <f t="shared" si="7"/>
        <v>37353718.843462788</v>
      </c>
      <c r="F32" s="24">
        <f t="shared" si="7"/>
        <v>41886882.775332309</v>
      </c>
      <c r="G32" s="24">
        <f t="shared" si="7"/>
        <v>47078721.025671914</v>
      </c>
      <c r="H32" s="24">
        <f t="shared" si="7"/>
        <v>51737666.654969797</v>
      </c>
      <c r="I32" s="24">
        <f t="shared" si="7"/>
        <v>57513558.248328075</v>
      </c>
      <c r="J32" s="24">
        <f t="shared" si="7"/>
        <v>63465015.72287605</v>
      </c>
      <c r="K32" s="24">
        <f t="shared" si="7"/>
        <v>69486060</v>
      </c>
      <c r="L32" s="24">
        <f t="shared" si="7"/>
        <v>61579035.951056384</v>
      </c>
      <c r="M32" s="24">
        <f t="shared" si="7"/>
        <v>73256208.044511512</v>
      </c>
      <c r="N32" s="24">
        <f t="shared" si="7"/>
        <v>85923397.206669852</v>
      </c>
      <c r="O32" s="24">
        <f t="shared" si="7"/>
        <v>95908651.490617692</v>
      </c>
      <c r="P32" s="24">
        <f t="shared" ref="P32" si="8">P17+P20+P28+P29+P30+P31</f>
        <v>108207430.64240746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0"/>
      <c r="GJ32" s="10"/>
      <c r="GK32" s="10"/>
    </row>
    <row r="33" spans="1:194" s="10" customFormat="1" ht="30" x14ac:dyDescent="0.25">
      <c r="A33" s="16" t="s">
        <v>27</v>
      </c>
      <c r="B33" s="17" t="s">
        <v>51</v>
      </c>
      <c r="C33" s="18">
        <f>C12+C16+C32</f>
        <v>61599558.830849364</v>
      </c>
      <c r="D33" s="18">
        <f>D12+D16+D32</f>
        <v>70334745.627228498</v>
      </c>
      <c r="E33" s="18">
        <f t="shared" ref="E33:O33" si="9">E12+E16+E32</f>
        <v>80008933.843462795</v>
      </c>
      <c r="F33" s="18">
        <f t="shared" si="9"/>
        <v>85414736.775332302</v>
      </c>
      <c r="G33" s="18">
        <f t="shared" si="9"/>
        <v>96365115.025671914</v>
      </c>
      <c r="H33" s="18">
        <f t="shared" si="9"/>
        <v>109498361.25496981</v>
      </c>
      <c r="I33" s="18">
        <f t="shared" si="9"/>
        <v>119981856.84832808</v>
      </c>
      <c r="J33" s="18">
        <f t="shared" si="9"/>
        <v>129820552.92287606</v>
      </c>
      <c r="K33" s="18">
        <f t="shared" si="9"/>
        <v>139495920</v>
      </c>
      <c r="L33" s="18">
        <f t="shared" si="9"/>
        <v>132606094.56853518</v>
      </c>
      <c r="M33" s="18">
        <f t="shared" si="9"/>
        <v>161569098.78022254</v>
      </c>
      <c r="N33" s="18">
        <f t="shared" si="9"/>
        <v>182667528.78205711</v>
      </c>
      <c r="O33" s="18">
        <f t="shared" si="9"/>
        <v>207790713.3039555</v>
      </c>
      <c r="P33" s="18">
        <f t="shared" ref="P33" si="10">P12+P16+P32</f>
        <v>236633169.73335439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L33" s="8"/>
    </row>
    <row r="34" spans="1:194" s="8" customFormat="1" ht="15.75" x14ac:dyDescent="0.25">
      <c r="A34" s="32" t="s">
        <v>43</v>
      </c>
      <c r="B34" s="33" t="s">
        <v>25</v>
      </c>
      <c r="C34" s="24">
        <f>GSVA_cur!C34</f>
        <v>7063428</v>
      </c>
      <c r="D34" s="24">
        <f>GSVA_cur!D34</f>
        <v>7797299.8699999992</v>
      </c>
      <c r="E34" s="24">
        <f>GSVA_cur!E34</f>
        <v>8585161</v>
      </c>
      <c r="F34" s="24">
        <f>GSVA_cur!F34</f>
        <v>9524544</v>
      </c>
      <c r="G34" s="24">
        <f>GSVA_cur!G34</f>
        <v>11172960</v>
      </c>
      <c r="H34" s="24">
        <f>GSVA_cur!H34</f>
        <v>12639646</v>
      </c>
      <c r="I34" s="24">
        <f>GSVA_cur!I34</f>
        <v>14229984</v>
      </c>
      <c r="J34" s="24">
        <f>GSVA_cur!J34</f>
        <v>16649312</v>
      </c>
      <c r="K34" s="24">
        <f>GSVA_cur!K34</f>
        <v>17377300</v>
      </c>
      <c r="L34" s="24">
        <f>GSVA_cur!L34</f>
        <v>18297886</v>
      </c>
      <c r="M34" s="24">
        <f>GSVA_cur!M34</f>
        <v>21992190.544482466</v>
      </c>
      <c r="N34" s="24">
        <f>GSVA_cur!N34</f>
        <v>24642939.066740241</v>
      </c>
      <c r="O34" s="24">
        <f>GSVA_cur!O34</f>
        <v>29187142.845279306</v>
      </c>
      <c r="P34" s="24">
        <f>GSVA_cur!P34</f>
        <v>29515643.903884593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</row>
    <row r="35" spans="1:194" s="8" customFormat="1" ht="30" x14ac:dyDescent="0.25">
      <c r="A35" s="32" t="s">
        <v>44</v>
      </c>
      <c r="B35" s="33" t="s">
        <v>24</v>
      </c>
      <c r="C35" s="24">
        <f>GSVA_cur!C35</f>
        <v>2847843</v>
      </c>
      <c r="D35" s="24">
        <f>GSVA_cur!D35</f>
        <v>3278565</v>
      </c>
      <c r="E35" s="24">
        <f>GSVA_cur!E35</f>
        <v>3106020</v>
      </c>
      <c r="F35" s="24">
        <f>GSVA_cur!F35</f>
        <v>3244923</v>
      </c>
      <c r="G35" s="24">
        <f>GSVA_cur!G35</f>
        <v>3157313</v>
      </c>
      <c r="H35" s="24">
        <f>GSVA_cur!H35</f>
        <v>3459619</v>
      </c>
      <c r="I35" s="24">
        <f>GSVA_cur!I35</f>
        <v>2605040</v>
      </c>
      <c r="J35" s="24">
        <f>GSVA_cur!J35</f>
        <v>2716680</v>
      </c>
      <c r="K35" s="24">
        <f>GSVA_cur!K35</f>
        <v>2892429</v>
      </c>
      <c r="L35" s="24">
        <f>GSVA_cur!L35</f>
        <v>5145593</v>
      </c>
      <c r="M35" s="24">
        <f>GSVA_cur!M35</f>
        <v>6865563</v>
      </c>
      <c r="N35" s="24">
        <f>GSVA_cur!N35</f>
        <v>8666245</v>
      </c>
      <c r="O35" s="24">
        <f>GSVA_cur!O35</f>
        <v>6145880</v>
      </c>
      <c r="P35" s="24">
        <f>GSVA_cur!P35</f>
        <v>6148397.568128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</row>
    <row r="36" spans="1:194" s="8" customFormat="1" ht="30" x14ac:dyDescent="0.25">
      <c r="A36" s="32" t="s">
        <v>45</v>
      </c>
      <c r="B36" s="33" t="s">
        <v>63</v>
      </c>
      <c r="C36" s="24">
        <f>C33+C34-C35</f>
        <v>65815143.830849364</v>
      </c>
      <c r="D36" s="24">
        <f t="shared" ref="D36:O36" si="11">D33+D34-D35</f>
        <v>74853480.497228503</v>
      </c>
      <c r="E36" s="24">
        <f t="shared" si="11"/>
        <v>85488074.843462795</v>
      </c>
      <c r="F36" s="24">
        <f t="shared" si="11"/>
        <v>91694357.775332302</v>
      </c>
      <c r="G36" s="24">
        <f t="shared" si="11"/>
        <v>104380762.02567191</v>
      </c>
      <c r="H36" s="24">
        <f t="shared" si="11"/>
        <v>118678388.25496981</v>
      </c>
      <c r="I36" s="24">
        <f t="shared" si="11"/>
        <v>131606800.84832808</v>
      </c>
      <c r="J36" s="24">
        <f t="shared" si="11"/>
        <v>143753184.92287606</v>
      </c>
      <c r="K36" s="24">
        <f t="shared" si="11"/>
        <v>153980791</v>
      </c>
      <c r="L36" s="24">
        <f t="shared" si="11"/>
        <v>145758387.56853518</v>
      </c>
      <c r="M36" s="24">
        <f t="shared" si="11"/>
        <v>176695726.324705</v>
      </c>
      <c r="N36" s="24">
        <f t="shared" si="11"/>
        <v>198644222.84879735</v>
      </c>
      <c r="O36" s="24">
        <f t="shared" si="11"/>
        <v>230831976.1492348</v>
      </c>
      <c r="P36" s="24">
        <f t="shared" ref="P36" si="12">P33+P34-P35</f>
        <v>260000416.06911099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</row>
    <row r="37" spans="1:194" s="8" customFormat="1" ht="15.75" x14ac:dyDescent="0.25">
      <c r="A37" s="32" t="s">
        <v>46</v>
      </c>
      <c r="B37" s="33" t="s">
        <v>42</v>
      </c>
      <c r="C37" s="24">
        <f>GSVA_cur!C37</f>
        <v>2015910</v>
      </c>
      <c r="D37" s="24">
        <f>GSVA_cur!D37</f>
        <v>2046780</v>
      </c>
      <c r="E37" s="24">
        <f>GSVA_cur!E37</f>
        <v>2078120</v>
      </c>
      <c r="F37" s="24">
        <f>GSVA_cur!F37</f>
        <v>2109940</v>
      </c>
      <c r="G37" s="24">
        <f>GSVA_cur!G37</f>
        <v>2142250</v>
      </c>
      <c r="H37" s="24">
        <f>GSVA_cur!H37</f>
        <v>2175050</v>
      </c>
      <c r="I37" s="24">
        <f>GSVA_cur!I37</f>
        <v>2208360</v>
      </c>
      <c r="J37" s="24">
        <f>GSVA_cur!J37</f>
        <v>2242170</v>
      </c>
      <c r="K37" s="24">
        <f>GSVA_cur!K37</f>
        <v>2276500</v>
      </c>
      <c r="L37" s="24">
        <f>GSVA_cur!L37</f>
        <v>2296720</v>
      </c>
      <c r="M37" s="24">
        <f>GSVA_cur!M37</f>
        <v>2323010</v>
      </c>
      <c r="N37" s="24">
        <f>GSVA_cur!N37</f>
        <v>2346920</v>
      </c>
      <c r="O37" s="24">
        <f>GSVA_cur!O37</f>
        <v>2370820</v>
      </c>
      <c r="P37" s="24">
        <f>GSVA_cur!P37</f>
        <v>2394720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</row>
    <row r="38" spans="1:194" s="8" customFormat="1" ht="30" x14ac:dyDescent="0.25">
      <c r="A38" s="32" t="s">
        <v>47</v>
      </c>
      <c r="B38" s="33" t="s">
        <v>64</v>
      </c>
      <c r="C38" s="24">
        <f>C36/C37*1000</f>
        <v>32647.858203416505</v>
      </c>
      <c r="D38" s="24">
        <f t="shared" ref="D38:P38" si="13">D36/D37*1000</f>
        <v>36571.336683585192</v>
      </c>
      <c r="E38" s="24">
        <f t="shared" si="13"/>
        <v>41137.217698430693</v>
      </c>
      <c r="F38" s="24">
        <f t="shared" si="13"/>
        <v>43458.277380082989</v>
      </c>
      <c r="G38" s="24">
        <f t="shared" si="13"/>
        <v>48724.827646480066</v>
      </c>
      <c r="H38" s="24">
        <f t="shared" si="13"/>
        <v>54563.521875345301</v>
      </c>
      <c r="I38" s="24">
        <f t="shared" si="13"/>
        <v>59594.812824144654</v>
      </c>
      <c r="J38" s="24">
        <f t="shared" si="13"/>
        <v>64113.419108665301</v>
      </c>
      <c r="K38" s="24">
        <f t="shared" si="13"/>
        <v>67639.266857017341</v>
      </c>
      <c r="L38" s="24">
        <f t="shared" si="13"/>
        <v>63463.716765010613</v>
      </c>
      <c r="M38" s="24">
        <f t="shared" si="13"/>
        <v>76063.265472255822</v>
      </c>
      <c r="N38" s="24">
        <f t="shared" si="13"/>
        <v>84640.389467385918</v>
      </c>
      <c r="O38" s="24">
        <f t="shared" si="13"/>
        <v>97363.7712475999</v>
      </c>
      <c r="P38" s="24">
        <f t="shared" si="13"/>
        <v>108572.36590044388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CD38" s="11"/>
      <c r="CE38" s="11"/>
      <c r="CF38" s="11"/>
      <c r="CG38" s="11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ht="19.5" customHeight="1" x14ac:dyDescent="0.25">
      <c r="A39" s="37" t="s">
        <v>79</v>
      </c>
      <c r="B39" s="37"/>
      <c r="C39" s="37"/>
      <c r="D39" s="37"/>
      <c r="E39" s="37"/>
    </row>
    <row r="40" spans="1:194" ht="19.5" customHeight="1" x14ac:dyDescent="0.25">
      <c r="A40" s="36"/>
      <c r="B40" s="36"/>
      <c r="C40" s="36"/>
      <c r="D40" s="36"/>
      <c r="E40" s="36"/>
    </row>
    <row r="41" spans="1:194" x14ac:dyDescent="0.25">
      <c r="A41" s="2" t="s">
        <v>82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8" orientation="landscape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H40"/>
  <sheetViews>
    <sheetView zoomScaleNormal="100" zoomScaleSheetLayoutView="100" workbookViewId="0">
      <pane xSplit="2" ySplit="5" topLeftCell="C33" activePane="bottomRight" state="frozen"/>
      <selection activeCell="C28" sqref="C28"/>
      <selection pane="topRight" activeCell="C28" sqref="C28"/>
      <selection pane="bottomLeft" activeCell="C28" sqref="C28"/>
      <selection pane="bottomRight" activeCell="E53" sqref="E53"/>
    </sheetView>
  </sheetViews>
  <sheetFormatPr defaultColWidth="8.85546875" defaultRowHeight="15" x14ac:dyDescent="0.25"/>
  <cols>
    <col min="1" max="1" width="11" style="2" customWidth="1"/>
    <col min="2" max="2" width="23.28515625" style="2" customWidth="1"/>
    <col min="3" max="6" width="16.42578125" style="2" customWidth="1"/>
    <col min="7" max="16" width="16.4257812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53</v>
      </c>
      <c r="B1" s="6" t="s">
        <v>66</v>
      </c>
      <c r="T1" s="3"/>
    </row>
    <row r="2" spans="1:190" ht="15.75" x14ac:dyDescent="0.25">
      <c r="A2" s="7" t="s">
        <v>52</v>
      </c>
      <c r="H2" s="1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5"/>
      <c r="F4" s="5" t="s">
        <v>57</v>
      </c>
    </row>
    <row r="5" spans="1:190" ht="15.75" x14ac:dyDescent="0.25">
      <c r="A5" s="12" t="s">
        <v>0</v>
      </c>
      <c r="B5" s="13" t="s">
        <v>1</v>
      </c>
      <c r="C5" s="14" t="s">
        <v>21</v>
      </c>
      <c r="D5" s="14" t="s">
        <v>22</v>
      </c>
      <c r="E5" s="14" t="s">
        <v>23</v>
      </c>
      <c r="F5" s="14" t="s">
        <v>56</v>
      </c>
      <c r="G5" s="15" t="s">
        <v>65</v>
      </c>
      <c r="H5" s="15" t="s">
        <v>67</v>
      </c>
      <c r="I5" s="15" t="s">
        <v>68</v>
      </c>
      <c r="J5" s="15" t="s">
        <v>69</v>
      </c>
      <c r="K5" s="15" t="s">
        <v>70</v>
      </c>
      <c r="L5" s="15" t="s">
        <v>71</v>
      </c>
      <c r="M5" s="15" t="s">
        <v>72</v>
      </c>
      <c r="N5" s="15" t="s">
        <v>73</v>
      </c>
      <c r="O5" s="15" t="s">
        <v>74</v>
      </c>
      <c r="P5" s="15" t="s">
        <v>77</v>
      </c>
    </row>
    <row r="6" spans="1:190" s="10" customFormat="1" ht="30" x14ac:dyDescent="0.25">
      <c r="A6" s="16" t="s">
        <v>26</v>
      </c>
      <c r="B6" s="17" t="s">
        <v>2</v>
      </c>
      <c r="C6" s="24">
        <f t="shared" ref="C6:N6" si="0">SUM(C7:C10)</f>
        <v>16930163</v>
      </c>
      <c r="D6" s="24">
        <f t="shared" si="0"/>
        <v>17672497</v>
      </c>
      <c r="E6" s="24">
        <f t="shared" si="0"/>
        <v>17431862</v>
      </c>
      <c r="F6" s="24">
        <f t="shared" si="0"/>
        <v>16923067.300000001</v>
      </c>
      <c r="G6" s="24">
        <f t="shared" si="0"/>
        <v>17644056</v>
      </c>
      <c r="H6" s="24">
        <f t="shared" si="0"/>
        <v>18769477.199999999</v>
      </c>
      <c r="I6" s="24">
        <f t="shared" si="0"/>
        <v>19454130.200000003</v>
      </c>
      <c r="J6" s="24">
        <f t="shared" si="0"/>
        <v>20326970</v>
      </c>
      <c r="K6" s="24">
        <f t="shared" si="0"/>
        <v>20437276</v>
      </c>
      <c r="L6" s="24">
        <f t="shared" si="0"/>
        <v>20691248.389312726</v>
      </c>
      <c r="M6" s="24">
        <f t="shared" si="0"/>
        <v>24477979.397317227</v>
      </c>
      <c r="N6" s="24">
        <f t="shared" si="0"/>
        <v>25604220.714943927</v>
      </c>
      <c r="O6" s="24">
        <f t="shared" ref="O6:P6" si="1">SUM(O7:O10)</f>
        <v>27213083.299999017</v>
      </c>
      <c r="P6" s="24">
        <f t="shared" si="1"/>
        <v>29573197.223446243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H6" s="8"/>
    </row>
    <row r="7" spans="1:190" ht="15.75" x14ac:dyDescent="0.25">
      <c r="A7" s="19">
        <v>1.1000000000000001</v>
      </c>
      <c r="B7" s="20" t="s">
        <v>59</v>
      </c>
      <c r="C7" s="21">
        <v>11143150</v>
      </c>
      <c r="D7" s="21">
        <v>11675934</v>
      </c>
      <c r="E7" s="21">
        <v>11244514</v>
      </c>
      <c r="F7" s="21">
        <v>10434577.300000001</v>
      </c>
      <c r="G7" s="21">
        <v>10955996</v>
      </c>
      <c r="H7" s="21">
        <v>11697921.199999999</v>
      </c>
      <c r="I7" s="21">
        <v>12092509.200000001</v>
      </c>
      <c r="J7" s="21">
        <v>12653584</v>
      </c>
      <c r="K7" s="21">
        <v>12318561</v>
      </c>
      <c r="L7" s="21">
        <v>12683664.800000001</v>
      </c>
      <c r="M7" s="21">
        <v>15763776.800000001</v>
      </c>
      <c r="N7" s="21">
        <v>15994112</v>
      </c>
      <c r="O7" s="21">
        <v>16749257.800000001</v>
      </c>
      <c r="P7" s="21">
        <v>18399307.699999999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19">
        <v>1.2</v>
      </c>
      <c r="B8" s="20" t="s">
        <v>60</v>
      </c>
      <c r="C8" s="21">
        <v>4306675</v>
      </c>
      <c r="D8" s="21">
        <v>4517931</v>
      </c>
      <c r="E8" s="21">
        <v>4721048</v>
      </c>
      <c r="F8" s="21">
        <v>4984513</v>
      </c>
      <c r="G8" s="21">
        <v>5172500</v>
      </c>
      <c r="H8" s="21">
        <v>5353636</v>
      </c>
      <c r="I8" s="21">
        <v>5632851</v>
      </c>
      <c r="J8" s="21">
        <v>5872705</v>
      </c>
      <c r="K8" s="21">
        <v>6182145</v>
      </c>
      <c r="L8" s="21">
        <v>5930765.2208785284</v>
      </c>
      <c r="M8" s="21">
        <v>6636066.8550444655</v>
      </c>
      <c r="N8" s="21">
        <v>7391111.2933820225</v>
      </c>
      <c r="O8" s="21">
        <v>8137391.3891894408</v>
      </c>
      <c r="P8" s="21">
        <v>8742289.5234462451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19">
        <v>1.3</v>
      </c>
      <c r="B9" s="20" t="s">
        <v>61</v>
      </c>
      <c r="C9" s="21">
        <v>1235813</v>
      </c>
      <c r="D9" s="21">
        <v>1221246</v>
      </c>
      <c r="E9" s="21">
        <v>1198414</v>
      </c>
      <c r="F9" s="21">
        <v>1216908</v>
      </c>
      <c r="G9" s="21">
        <v>1220044</v>
      </c>
      <c r="H9" s="21">
        <v>1354355</v>
      </c>
      <c r="I9" s="21">
        <v>1355028</v>
      </c>
      <c r="J9" s="21">
        <v>1413641</v>
      </c>
      <c r="K9" s="21">
        <v>1548287</v>
      </c>
      <c r="L9" s="21">
        <v>1663414.3684341959</v>
      </c>
      <c r="M9" s="21">
        <v>1625328.7422727593</v>
      </c>
      <c r="N9" s="21">
        <v>1708134.421561904</v>
      </c>
      <c r="O9" s="21">
        <v>1683292.1108095762</v>
      </c>
      <c r="P9" s="21">
        <v>1693608.0000000002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19">
        <v>1.4</v>
      </c>
      <c r="B10" s="20" t="s">
        <v>62</v>
      </c>
      <c r="C10" s="21">
        <v>244525</v>
      </c>
      <c r="D10" s="21">
        <v>257386</v>
      </c>
      <c r="E10" s="21">
        <v>267886</v>
      </c>
      <c r="F10" s="21">
        <v>287069</v>
      </c>
      <c r="G10" s="21">
        <v>295516</v>
      </c>
      <c r="H10" s="21">
        <v>363565</v>
      </c>
      <c r="I10" s="21">
        <v>373742</v>
      </c>
      <c r="J10" s="21">
        <v>387040</v>
      </c>
      <c r="K10" s="21">
        <v>388283</v>
      </c>
      <c r="L10" s="21">
        <v>413404</v>
      </c>
      <c r="M10" s="21">
        <v>452807</v>
      </c>
      <c r="N10" s="21">
        <v>510863</v>
      </c>
      <c r="O10" s="21">
        <v>643142</v>
      </c>
      <c r="P10" s="21">
        <v>737992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12" t="s">
        <v>31</v>
      </c>
      <c r="B11" s="20" t="s">
        <v>3</v>
      </c>
      <c r="C11" s="21">
        <v>574633</v>
      </c>
      <c r="D11" s="21">
        <v>569944</v>
      </c>
      <c r="E11" s="21">
        <v>627605</v>
      </c>
      <c r="F11" s="21">
        <v>791610</v>
      </c>
      <c r="G11" s="21">
        <v>1059790</v>
      </c>
      <c r="H11" s="21">
        <v>1179564</v>
      </c>
      <c r="I11" s="21">
        <v>2418795</v>
      </c>
      <c r="J11" s="21">
        <v>2327628</v>
      </c>
      <c r="K11" s="21">
        <v>1616410</v>
      </c>
      <c r="L11" s="21">
        <v>1611602.3217164963</v>
      </c>
      <c r="M11" s="21">
        <v>1295096.2610686156</v>
      </c>
      <c r="N11" s="21">
        <v>1863155.7741967267</v>
      </c>
      <c r="O11" s="21">
        <v>2147375.362136899</v>
      </c>
      <c r="P11" s="21">
        <v>2082313.2888931036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8" customFormat="1" ht="15.75" x14ac:dyDescent="0.25">
      <c r="A12" s="22"/>
      <c r="B12" s="23" t="s">
        <v>28</v>
      </c>
      <c r="C12" s="24">
        <f t="shared" ref="C12:P12" si="2">C6+C11</f>
        <v>17504796</v>
      </c>
      <c r="D12" s="24">
        <f t="shared" si="2"/>
        <v>18242441</v>
      </c>
      <c r="E12" s="24">
        <f t="shared" si="2"/>
        <v>18059467</v>
      </c>
      <c r="F12" s="24">
        <f t="shared" si="2"/>
        <v>17714677.300000001</v>
      </c>
      <c r="G12" s="24">
        <f t="shared" si="2"/>
        <v>18703846</v>
      </c>
      <c r="H12" s="24">
        <f t="shared" si="2"/>
        <v>19949041.199999999</v>
      </c>
      <c r="I12" s="24">
        <f t="shared" si="2"/>
        <v>21872925.200000003</v>
      </c>
      <c r="J12" s="24">
        <f t="shared" si="2"/>
        <v>22654598</v>
      </c>
      <c r="K12" s="24">
        <f t="shared" si="2"/>
        <v>22053686</v>
      </c>
      <c r="L12" s="24">
        <f t="shared" si="2"/>
        <v>22302850.71102922</v>
      </c>
      <c r="M12" s="24">
        <f t="shared" si="2"/>
        <v>25773075.658385843</v>
      </c>
      <c r="N12" s="24">
        <f t="shared" si="2"/>
        <v>27467376.489140652</v>
      </c>
      <c r="O12" s="24">
        <f t="shared" si="2"/>
        <v>29360458.662135918</v>
      </c>
      <c r="P12" s="24">
        <f t="shared" si="2"/>
        <v>31655510.512339346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0"/>
      <c r="GF12" s="10"/>
      <c r="GG12" s="10"/>
    </row>
    <row r="13" spans="1:190" s="1" customFormat="1" ht="15.75" x14ac:dyDescent="0.25">
      <c r="A13" s="25" t="s">
        <v>32</v>
      </c>
      <c r="B13" s="26" t="s">
        <v>4</v>
      </c>
      <c r="C13" s="27">
        <v>6919442</v>
      </c>
      <c r="D13" s="27">
        <v>7392673</v>
      </c>
      <c r="E13" s="27">
        <v>8552794</v>
      </c>
      <c r="F13" s="27">
        <v>7465709</v>
      </c>
      <c r="G13" s="27">
        <v>9434858</v>
      </c>
      <c r="H13" s="27">
        <v>15447729.999999998</v>
      </c>
      <c r="I13" s="27">
        <v>13401460</v>
      </c>
      <c r="J13" s="27">
        <v>12410068</v>
      </c>
      <c r="K13" s="27">
        <v>12654695</v>
      </c>
      <c r="L13" s="27">
        <v>12790697</v>
      </c>
      <c r="M13" s="27">
        <v>14488564.000000002</v>
      </c>
      <c r="N13" s="27">
        <v>13962975</v>
      </c>
      <c r="O13" s="27">
        <v>15498845.000000002</v>
      </c>
      <c r="P13" s="27">
        <v>16006776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45" x14ac:dyDescent="0.25">
      <c r="A14" s="12" t="s">
        <v>33</v>
      </c>
      <c r="B14" s="20" t="s">
        <v>5</v>
      </c>
      <c r="C14" s="21">
        <v>617379</v>
      </c>
      <c r="D14" s="21">
        <v>571750</v>
      </c>
      <c r="E14" s="21">
        <v>580578</v>
      </c>
      <c r="F14" s="21">
        <v>544507</v>
      </c>
      <c r="G14" s="21">
        <v>586902</v>
      </c>
      <c r="H14" s="21">
        <v>595835</v>
      </c>
      <c r="I14" s="21">
        <v>769407</v>
      </c>
      <c r="J14" s="21">
        <v>774162</v>
      </c>
      <c r="K14" s="21">
        <v>822145.99999999988</v>
      </c>
      <c r="L14" s="21">
        <v>639104</v>
      </c>
      <c r="M14" s="21">
        <v>390527</v>
      </c>
      <c r="N14" s="21">
        <v>505943</v>
      </c>
      <c r="O14" s="21">
        <v>693725</v>
      </c>
      <c r="P14" s="21">
        <v>743970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12" t="s">
        <v>34</v>
      </c>
      <c r="B15" s="20" t="s">
        <v>6</v>
      </c>
      <c r="C15" s="21">
        <v>8090539</v>
      </c>
      <c r="D15" s="21">
        <v>8133292</v>
      </c>
      <c r="E15" s="21">
        <v>8097091</v>
      </c>
      <c r="F15" s="21">
        <v>8618317</v>
      </c>
      <c r="G15" s="21">
        <v>9096263</v>
      </c>
      <c r="H15" s="21">
        <v>9624319</v>
      </c>
      <c r="I15" s="21">
        <v>9920724</v>
      </c>
      <c r="J15" s="21">
        <v>10912927</v>
      </c>
      <c r="K15" s="21">
        <v>11208434</v>
      </c>
      <c r="L15" s="21">
        <v>10201641</v>
      </c>
      <c r="M15" s="21">
        <v>12530773</v>
      </c>
      <c r="N15" s="21">
        <v>13531754</v>
      </c>
      <c r="O15" s="21">
        <v>15373510</v>
      </c>
      <c r="P15" s="21">
        <v>17892824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8" customFormat="1" ht="15.75" x14ac:dyDescent="0.25">
      <c r="A16" s="22"/>
      <c r="B16" s="23" t="s">
        <v>29</v>
      </c>
      <c r="C16" s="24">
        <f t="shared" ref="C16:O16" si="3">(C13+C14+C15)</f>
        <v>15627360</v>
      </c>
      <c r="D16" s="24">
        <f t="shared" si="3"/>
        <v>16097715</v>
      </c>
      <c r="E16" s="24">
        <f t="shared" si="3"/>
        <v>17230463</v>
      </c>
      <c r="F16" s="24">
        <f t="shared" si="3"/>
        <v>16628533</v>
      </c>
      <c r="G16" s="24">
        <f t="shared" si="3"/>
        <v>19118023</v>
      </c>
      <c r="H16" s="24">
        <f t="shared" si="3"/>
        <v>25667884</v>
      </c>
      <c r="I16" s="24">
        <f t="shared" si="3"/>
        <v>24091591</v>
      </c>
      <c r="J16" s="24">
        <f t="shared" si="3"/>
        <v>24097157</v>
      </c>
      <c r="K16" s="24">
        <f t="shared" si="3"/>
        <v>24685275</v>
      </c>
      <c r="L16" s="24">
        <f t="shared" si="3"/>
        <v>23631442</v>
      </c>
      <c r="M16" s="24">
        <f t="shared" si="3"/>
        <v>27409864</v>
      </c>
      <c r="N16" s="24">
        <f t="shared" si="3"/>
        <v>28000672</v>
      </c>
      <c r="O16" s="24">
        <f t="shared" si="3"/>
        <v>31566080</v>
      </c>
      <c r="P16" s="24">
        <f t="shared" ref="P16" si="4">(P13+P14+P15)</f>
        <v>34643570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9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9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9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0"/>
      <c r="GF16" s="10"/>
      <c r="GG16" s="10"/>
    </row>
    <row r="17" spans="1:190" s="10" customFormat="1" ht="30" x14ac:dyDescent="0.25">
      <c r="A17" s="16" t="s">
        <v>35</v>
      </c>
      <c r="B17" s="17" t="s">
        <v>7</v>
      </c>
      <c r="C17" s="24">
        <f>C18+C19</f>
        <v>6474904.3179423101</v>
      </c>
      <c r="D17" s="24">
        <f t="shared" ref="D17:O17" si="5">D18+D19</f>
        <v>6448847.1448365422</v>
      </c>
      <c r="E17" s="24">
        <f t="shared" si="5"/>
        <v>7061881.3531770352</v>
      </c>
      <c r="F17" s="24">
        <f t="shared" si="5"/>
        <v>7516074.3418055885</v>
      </c>
      <c r="G17" s="24">
        <f t="shared" si="5"/>
        <v>8203083.5404688269</v>
      </c>
      <c r="H17" s="24">
        <f t="shared" si="5"/>
        <v>8700052.3337526731</v>
      </c>
      <c r="I17" s="24">
        <f t="shared" si="5"/>
        <v>9282616.6548393685</v>
      </c>
      <c r="J17" s="24">
        <f t="shared" si="5"/>
        <v>9834161.7803414986</v>
      </c>
      <c r="K17" s="24">
        <f t="shared" si="5"/>
        <v>10813008</v>
      </c>
      <c r="L17" s="24">
        <f t="shared" si="5"/>
        <v>8643129</v>
      </c>
      <c r="M17" s="24">
        <f t="shared" si="5"/>
        <v>9402461.3172940966</v>
      </c>
      <c r="N17" s="24">
        <f t="shared" si="5"/>
        <v>10678421</v>
      </c>
      <c r="O17" s="24">
        <f t="shared" si="5"/>
        <v>11567941</v>
      </c>
      <c r="P17" s="24">
        <v>12767107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H17" s="8"/>
    </row>
    <row r="18" spans="1:190" ht="15.75" x14ac:dyDescent="0.25">
      <c r="A18" s="19">
        <v>6.1</v>
      </c>
      <c r="B18" s="20" t="s">
        <v>8</v>
      </c>
      <c r="C18" s="27">
        <v>5803648.0112300776</v>
      </c>
      <c r="D18" s="27">
        <v>5799894.1878917981</v>
      </c>
      <c r="E18" s="27">
        <v>6335189.591169931</v>
      </c>
      <c r="F18" s="27">
        <v>6845064.9419458378</v>
      </c>
      <c r="G18" s="27">
        <v>7391164.3667319734</v>
      </c>
      <c r="H18" s="27">
        <v>7838464.2253178041</v>
      </c>
      <c r="I18" s="27">
        <v>8386497.7845220249</v>
      </c>
      <c r="J18" s="27">
        <v>8703688.6372810435</v>
      </c>
      <c r="K18" s="27">
        <v>9372782</v>
      </c>
      <c r="L18" s="27">
        <v>8251523</v>
      </c>
      <c r="M18" s="27">
        <v>8798410.7983140387</v>
      </c>
      <c r="N18" s="27">
        <v>9433591</v>
      </c>
      <c r="O18" s="27">
        <v>10029743</v>
      </c>
      <c r="P18" s="27" t="s">
        <v>78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19">
        <v>6.2</v>
      </c>
      <c r="B19" s="20" t="s">
        <v>9</v>
      </c>
      <c r="C19" s="27">
        <v>671256.30671223253</v>
      </c>
      <c r="D19" s="27">
        <v>648952.95694474399</v>
      </c>
      <c r="E19" s="27">
        <v>726691.762007104</v>
      </c>
      <c r="F19" s="27">
        <v>671009.39985975099</v>
      </c>
      <c r="G19" s="27">
        <v>811919.17373685399</v>
      </c>
      <c r="H19" s="27">
        <v>861588.10843486967</v>
      </c>
      <c r="I19" s="27">
        <v>896118.87031734316</v>
      </c>
      <c r="J19" s="27">
        <v>1130473.1430604553</v>
      </c>
      <c r="K19" s="27">
        <v>1440226</v>
      </c>
      <c r="L19" s="27">
        <v>391606</v>
      </c>
      <c r="M19" s="27">
        <v>604050.51898005733</v>
      </c>
      <c r="N19" s="27">
        <v>1244830</v>
      </c>
      <c r="O19" s="27">
        <v>1538198</v>
      </c>
      <c r="P19" s="27" t="s">
        <v>78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60" x14ac:dyDescent="0.25">
      <c r="A20" s="28" t="s">
        <v>36</v>
      </c>
      <c r="B20" s="29" t="s">
        <v>10</v>
      </c>
      <c r="C20" s="24">
        <f>C21+C22+C23+C24+C25+C26+C27</f>
        <v>3439066.0038000001</v>
      </c>
      <c r="D20" s="24">
        <f t="shared" ref="D20:P20" si="6">D21+D22+D23+D24+D25+D26+D27</f>
        <v>3983598.7898445758</v>
      </c>
      <c r="E20" s="24">
        <f t="shared" si="6"/>
        <v>4507507.058936731</v>
      </c>
      <c r="F20" s="24">
        <f t="shared" si="6"/>
        <v>5352570.4382334203</v>
      </c>
      <c r="G20" s="24">
        <f t="shared" si="6"/>
        <v>6084312.3955682935</v>
      </c>
      <c r="H20" s="24">
        <f t="shared" si="6"/>
        <v>6129802.4903146699</v>
      </c>
      <c r="I20" s="24">
        <f t="shared" si="6"/>
        <v>6457703.9265863318</v>
      </c>
      <c r="J20" s="24">
        <f t="shared" si="6"/>
        <v>6942228.839955274</v>
      </c>
      <c r="K20" s="24">
        <f t="shared" si="6"/>
        <v>7531258</v>
      </c>
      <c r="L20" s="24">
        <f t="shared" si="6"/>
        <v>6626869</v>
      </c>
      <c r="M20" s="24">
        <f t="shared" si="6"/>
        <v>7594242.0914374273</v>
      </c>
      <c r="N20" s="24">
        <f t="shared" si="6"/>
        <v>8438162</v>
      </c>
      <c r="O20" s="24">
        <f t="shared" si="6"/>
        <v>9557103</v>
      </c>
      <c r="P20" s="24">
        <f t="shared" si="6"/>
        <v>10905778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H20" s="8"/>
    </row>
    <row r="21" spans="1:190" ht="15.75" x14ac:dyDescent="0.25">
      <c r="A21" s="19">
        <v>7.1</v>
      </c>
      <c r="B21" s="20" t="s">
        <v>11</v>
      </c>
      <c r="C21" s="27">
        <v>850495.99999999988</v>
      </c>
      <c r="D21" s="27">
        <v>946621.99999999988</v>
      </c>
      <c r="E21" s="27">
        <v>1079951</v>
      </c>
      <c r="F21" s="27">
        <v>1004020.0000000001</v>
      </c>
      <c r="G21" s="27">
        <v>965852</v>
      </c>
      <c r="H21" s="27">
        <v>919550</v>
      </c>
      <c r="I21" s="27">
        <v>1060215</v>
      </c>
      <c r="J21" s="27">
        <v>1045662.9999999999</v>
      </c>
      <c r="K21" s="27">
        <v>656067</v>
      </c>
      <c r="L21" s="27">
        <v>100101</v>
      </c>
      <c r="M21" s="27">
        <v>458103</v>
      </c>
      <c r="N21" s="27">
        <v>653430</v>
      </c>
      <c r="O21" s="27">
        <v>682806</v>
      </c>
      <c r="P21" s="27">
        <v>819302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19">
        <v>7.2</v>
      </c>
      <c r="B22" s="20" t="s">
        <v>12</v>
      </c>
      <c r="C22" s="27">
        <v>1766331.3712412245</v>
      </c>
      <c r="D22" s="27">
        <v>2096831.8032235727</v>
      </c>
      <c r="E22" s="27">
        <v>2312529.1690214407</v>
      </c>
      <c r="F22" s="27">
        <v>2976464.8342831484</v>
      </c>
      <c r="G22" s="27">
        <v>3348583.4808338569</v>
      </c>
      <c r="H22" s="27">
        <v>3580272.0795949139</v>
      </c>
      <c r="I22" s="27">
        <v>3940460.9688660917</v>
      </c>
      <c r="J22" s="27">
        <v>4385855.5345268473</v>
      </c>
      <c r="K22" s="27">
        <v>5251426</v>
      </c>
      <c r="L22" s="27">
        <v>5052306</v>
      </c>
      <c r="M22" s="27">
        <v>5583882.7480137292</v>
      </c>
      <c r="N22" s="27">
        <v>6102356</v>
      </c>
      <c r="O22" s="27">
        <v>6987147</v>
      </c>
      <c r="P22" s="27">
        <v>8065974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19">
        <v>7.3</v>
      </c>
      <c r="B23" s="20" t="s">
        <v>13</v>
      </c>
      <c r="C23" s="27">
        <v>1336.3724598317772</v>
      </c>
      <c r="D23" s="27">
        <v>667.07127272405182</v>
      </c>
      <c r="E23" s="27">
        <v>414.58955350788864</v>
      </c>
      <c r="F23" s="27">
        <v>507.75984234862494</v>
      </c>
      <c r="G23" s="27">
        <v>537.54167601468941</v>
      </c>
      <c r="H23" s="27">
        <v>835.50627953362937</v>
      </c>
      <c r="I23" s="27">
        <v>676.09882000997902</v>
      </c>
      <c r="J23" s="27">
        <v>1082.4884229220743</v>
      </c>
      <c r="K23" s="27">
        <v>902</v>
      </c>
      <c r="L23" s="27">
        <v>1086</v>
      </c>
      <c r="M23" s="27">
        <v>1993.5329806987711</v>
      </c>
      <c r="N23" s="27">
        <v>681</v>
      </c>
      <c r="O23" s="27">
        <v>3807</v>
      </c>
      <c r="P23" s="27"/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19">
        <v>7.4</v>
      </c>
      <c r="B24" s="20" t="s">
        <v>14</v>
      </c>
      <c r="C24" s="27">
        <v>6817.4363168229793</v>
      </c>
      <c r="D24" s="27">
        <v>12554.214141455297</v>
      </c>
      <c r="E24" s="27">
        <v>12314.702017535627</v>
      </c>
      <c r="F24" s="27">
        <v>17190.965288432228</v>
      </c>
      <c r="G24" s="27">
        <v>33439.411090847789</v>
      </c>
      <c r="H24" s="27">
        <v>38049.851155260978</v>
      </c>
      <c r="I24" s="27">
        <v>38079.498992310233</v>
      </c>
      <c r="J24" s="27">
        <v>22948.479996912356</v>
      </c>
      <c r="K24" s="27">
        <v>28316</v>
      </c>
      <c r="L24" s="27">
        <v>1115</v>
      </c>
      <c r="M24" s="27">
        <v>22247.782011280797</v>
      </c>
      <c r="N24" s="27">
        <v>9232</v>
      </c>
      <c r="O24" s="27">
        <v>32975</v>
      </c>
      <c r="P24" s="27"/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19">
        <v>7.5</v>
      </c>
      <c r="B25" s="20" t="s">
        <v>15</v>
      </c>
      <c r="C25" s="27">
        <v>8793.8237821209641</v>
      </c>
      <c r="D25" s="27">
        <v>10074.701206824004</v>
      </c>
      <c r="E25" s="27">
        <v>10659.598344246679</v>
      </c>
      <c r="F25" s="27">
        <v>12922.878819491021</v>
      </c>
      <c r="G25" s="27">
        <v>14330.961967574021</v>
      </c>
      <c r="H25" s="27">
        <v>15117.053284961394</v>
      </c>
      <c r="I25" s="27">
        <v>16423.359907920516</v>
      </c>
      <c r="J25" s="27">
        <v>17698.337008592724</v>
      </c>
      <c r="K25" s="27">
        <v>11950</v>
      </c>
      <c r="L25" s="27">
        <v>10924</v>
      </c>
      <c r="M25" s="27">
        <v>19355.028431718532</v>
      </c>
      <c r="N25" s="27">
        <v>13597</v>
      </c>
      <c r="O25" s="27">
        <v>15955</v>
      </c>
      <c r="P25" s="27"/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19">
        <v>7.6</v>
      </c>
      <c r="B26" s="20" t="s">
        <v>16</v>
      </c>
      <c r="C26" s="21">
        <v>95035</v>
      </c>
      <c r="D26" s="21">
        <v>98050</v>
      </c>
      <c r="E26" s="21">
        <v>100219</v>
      </c>
      <c r="F26" s="21">
        <v>98997</v>
      </c>
      <c r="G26" s="21">
        <v>101119</v>
      </c>
      <c r="H26" s="21">
        <v>101481</v>
      </c>
      <c r="I26" s="21">
        <v>108634.99999999999</v>
      </c>
      <c r="J26" s="21">
        <v>159024</v>
      </c>
      <c r="K26" s="21">
        <v>162223</v>
      </c>
      <c r="L26" s="21">
        <v>157240</v>
      </c>
      <c r="M26" s="21">
        <v>154249</v>
      </c>
      <c r="N26" s="21">
        <v>163511</v>
      </c>
      <c r="O26" s="21">
        <v>176529</v>
      </c>
      <c r="P26" s="21">
        <v>195669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45" x14ac:dyDescent="0.25">
      <c r="A27" s="19">
        <v>7.7</v>
      </c>
      <c r="B27" s="20" t="s">
        <v>17</v>
      </c>
      <c r="C27" s="21">
        <v>710256</v>
      </c>
      <c r="D27" s="21">
        <v>818799</v>
      </c>
      <c r="E27" s="21">
        <v>991419</v>
      </c>
      <c r="F27" s="21">
        <v>1242467</v>
      </c>
      <c r="G27" s="21">
        <v>1620450</v>
      </c>
      <c r="H27" s="21">
        <v>1474497</v>
      </c>
      <c r="I27" s="21">
        <v>1293214</v>
      </c>
      <c r="J27" s="21">
        <v>1309957</v>
      </c>
      <c r="K27" s="21">
        <v>1420374</v>
      </c>
      <c r="L27" s="21">
        <v>1304097</v>
      </c>
      <c r="M27" s="21">
        <v>1354411</v>
      </c>
      <c r="N27" s="21">
        <v>1495355</v>
      </c>
      <c r="O27" s="21">
        <v>1657884</v>
      </c>
      <c r="P27" s="21">
        <v>1824833.0000000002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12" t="s">
        <v>37</v>
      </c>
      <c r="B28" s="20" t="s">
        <v>18</v>
      </c>
      <c r="C28" s="21">
        <v>2478434</v>
      </c>
      <c r="D28" s="21">
        <v>2731371</v>
      </c>
      <c r="E28" s="21">
        <v>2979637</v>
      </c>
      <c r="F28" s="21">
        <v>3308676</v>
      </c>
      <c r="G28" s="21">
        <v>3583432</v>
      </c>
      <c r="H28" s="21">
        <v>3531226.9999999995</v>
      </c>
      <c r="I28" s="21">
        <v>4016236</v>
      </c>
      <c r="J28" s="21">
        <v>4096746</v>
      </c>
      <c r="K28" s="21">
        <v>4268103</v>
      </c>
      <c r="L28" s="21">
        <v>4350751</v>
      </c>
      <c r="M28" s="21">
        <v>4429650</v>
      </c>
      <c r="N28" s="21">
        <v>4767478</v>
      </c>
      <c r="O28" s="21">
        <v>5511924</v>
      </c>
      <c r="P28" s="21">
        <v>5972498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45" x14ac:dyDescent="0.25">
      <c r="A29" s="12" t="s">
        <v>38</v>
      </c>
      <c r="B29" s="20" t="s">
        <v>19</v>
      </c>
      <c r="C29" s="21">
        <v>8379569</v>
      </c>
      <c r="D29" s="21">
        <v>8912923</v>
      </c>
      <c r="E29" s="21">
        <v>9162092</v>
      </c>
      <c r="F29" s="21">
        <v>9584849</v>
      </c>
      <c r="G29" s="21">
        <v>9976336</v>
      </c>
      <c r="H29" s="21">
        <v>10389646</v>
      </c>
      <c r="I29" s="21">
        <v>10829620</v>
      </c>
      <c r="J29" s="21">
        <v>11032236</v>
      </c>
      <c r="K29" s="21">
        <v>11249291</v>
      </c>
      <c r="L29" s="21">
        <v>10746653.864257589</v>
      </c>
      <c r="M29" s="21">
        <v>11858902.808147218</v>
      </c>
      <c r="N29" s="21">
        <v>13178492.618291546</v>
      </c>
      <c r="O29" s="21">
        <v>13735742.335322907</v>
      </c>
      <c r="P29" s="21">
        <v>14860524.40561763</v>
      </c>
      <c r="Q29" s="4"/>
      <c r="R29" s="3"/>
      <c r="S29" s="4"/>
      <c r="T29" s="4"/>
      <c r="U29" s="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12" t="s">
        <v>39</v>
      </c>
      <c r="B30" s="20" t="s">
        <v>54</v>
      </c>
      <c r="C30" s="21">
        <v>3260755</v>
      </c>
      <c r="D30" s="21">
        <v>3634262.0000000005</v>
      </c>
      <c r="E30" s="21">
        <v>3734326</v>
      </c>
      <c r="F30" s="21">
        <v>3948462.9999999995</v>
      </c>
      <c r="G30" s="21">
        <v>4098722</v>
      </c>
      <c r="H30" s="21">
        <v>4549844</v>
      </c>
      <c r="I30" s="21">
        <v>5365791</v>
      </c>
      <c r="J30" s="21">
        <v>5827180</v>
      </c>
      <c r="K30" s="21">
        <v>6212914</v>
      </c>
      <c r="L30" s="21">
        <v>5889248</v>
      </c>
      <c r="M30" s="21">
        <v>6069069</v>
      </c>
      <c r="N30" s="21">
        <v>6356865</v>
      </c>
      <c r="O30" s="21">
        <v>6753656</v>
      </c>
      <c r="P30" s="21">
        <v>7069437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12" t="s">
        <v>40</v>
      </c>
      <c r="B31" s="20" t="s">
        <v>20</v>
      </c>
      <c r="C31" s="21">
        <v>4434674.5186956553</v>
      </c>
      <c r="D31" s="21">
        <v>4526011.7666088436</v>
      </c>
      <c r="E31" s="21">
        <v>5019508.8345455546</v>
      </c>
      <c r="F31" s="21">
        <v>5578099.4702265933</v>
      </c>
      <c r="G31" s="21">
        <v>6364434.2843018621</v>
      </c>
      <c r="H31" s="21">
        <v>6907810.3275241749</v>
      </c>
      <c r="I31" s="21">
        <v>6970105.0725682061</v>
      </c>
      <c r="J31" s="21">
        <v>7167194.5233741263</v>
      </c>
      <c r="K31" s="21">
        <v>7753806.6421355307</v>
      </c>
      <c r="L31" s="21">
        <v>6413187.0084408857</v>
      </c>
      <c r="M31" s="21">
        <v>6705729.9118950889</v>
      </c>
      <c r="N31" s="21">
        <v>7484210.690269581</v>
      </c>
      <c r="O31" s="21">
        <v>8067461.7246694881</v>
      </c>
      <c r="P31" s="21">
        <v>8769932.5823845677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8" customFormat="1" ht="15.75" x14ac:dyDescent="0.25">
      <c r="A32" s="22"/>
      <c r="B32" s="23" t="s">
        <v>30</v>
      </c>
      <c r="C32" s="24">
        <f>C17+C20+C28+C29+C30+C31</f>
        <v>28467402.840437967</v>
      </c>
      <c r="D32" s="24">
        <f t="shared" ref="D32:O32" si="7">D17+D20+D28+D29+D30+D31</f>
        <v>30237013.701289959</v>
      </c>
      <c r="E32" s="24">
        <f t="shared" si="7"/>
        <v>32464952.246659324</v>
      </c>
      <c r="F32" s="24">
        <f t="shared" si="7"/>
        <v>35288732.250265598</v>
      </c>
      <c r="G32" s="24">
        <f t="shared" si="7"/>
        <v>38310320.220338985</v>
      </c>
      <c r="H32" s="24">
        <f t="shared" si="7"/>
        <v>40208382.151591517</v>
      </c>
      <c r="I32" s="24">
        <f t="shared" si="7"/>
        <v>42922072.653993905</v>
      </c>
      <c r="J32" s="24">
        <f t="shared" si="7"/>
        <v>44899747.143670902</v>
      </c>
      <c r="K32" s="24">
        <f t="shared" si="7"/>
        <v>47828380.642135531</v>
      </c>
      <c r="L32" s="24">
        <f t="shared" si="7"/>
        <v>42669837.872698471</v>
      </c>
      <c r="M32" s="24">
        <f t="shared" si="7"/>
        <v>46060055.128773831</v>
      </c>
      <c r="N32" s="24">
        <f t="shared" si="7"/>
        <v>50903629.308561124</v>
      </c>
      <c r="O32" s="24">
        <f t="shared" si="7"/>
        <v>55193828.059992395</v>
      </c>
      <c r="P32" s="24">
        <f t="shared" ref="P32" si="8">P17+P20+P28+P29+P30+P31</f>
        <v>60345276.988002196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0"/>
      <c r="GF32" s="10"/>
      <c r="GG32" s="10"/>
    </row>
    <row r="33" spans="1:190" s="10" customFormat="1" ht="30" x14ac:dyDescent="0.25">
      <c r="A33" s="16" t="s">
        <v>27</v>
      </c>
      <c r="B33" s="17" t="s">
        <v>51</v>
      </c>
      <c r="C33" s="18">
        <f>C12+C16+C32</f>
        <v>61599558.840437964</v>
      </c>
      <c r="D33" s="18">
        <f>D12+D16+D32</f>
        <v>64577169.701289959</v>
      </c>
      <c r="E33" s="18">
        <f t="shared" ref="E33:O33" si="9">E12+E16+E32</f>
        <v>67754882.246659324</v>
      </c>
      <c r="F33" s="18">
        <f t="shared" si="9"/>
        <v>69631942.550265595</v>
      </c>
      <c r="G33" s="18">
        <f t="shared" si="9"/>
        <v>76132189.220338985</v>
      </c>
      <c r="H33" s="18">
        <f t="shared" si="9"/>
        <v>85825307.351591527</v>
      </c>
      <c r="I33" s="18">
        <f t="shared" si="9"/>
        <v>88886588.853993908</v>
      </c>
      <c r="J33" s="18">
        <f t="shared" si="9"/>
        <v>91651502.143670902</v>
      </c>
      <c r="K33" s="18">
        <f t="shared" si="9"/>
        <v>94567341.642135531</v>
      </c>
      <c r="L33" s="18">
        <f t="shared" si="9"/>
        <v>88604130.583727688</v>
      </c>
      <c r="M33" s="18">
        <f t="shared" si="9"/>
        <v>99242994.787159681</v>
      </c>
      <c r="N33" s="18">
        <f t="shared" si="9"/>
        <v>106371677.79770178</v>
      </c>
      <c r="O33" s="18">
        <f t="shared" si="9"/>
        <v>116120366.7221283</v>
      </c>
      <c r="P33" s="18">
        <f t="shared" ref="P33" si="10">P12+P16+P32</f>
        <v>126644357.50034153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H33" s="8"/>
    </row>
    <row r="34" spans="1:190" s="8" customFormat="1" ht="15.75" x14ac:dyDescent="0.25">
      <c r="A34" s="32" t="s">
        <v>43</v>
      </c>
      <c r="B34" s="33" t="s">
        <v>25</v>
      </c>
      <c r="C34" s="24">
        <f>GSVA_const!C34</f>
        <v>7063428</v>
      </c>
      <c r="D34" s="24">
        <f>GSVA_const!D34</f>
        <v>7224060.0000000009</v>
      </c>
      <c r="E34" s="24">
        <f>GSVA_const!E34</f>
        <v>7480173</v>
      </c>
      <c r="F34" s="24">
        <f>GSVA_const!F34</f>
        <v>8113839.9999999991</v>
      </c>
      <c r="G34" s="24">
        <f>GSVA_const!G34</f>
        <v>8679100</v>
      </c>
      <c r="H34" s="24">
        <f>GSVA_const!H34</f>
        <v>9289589.7729224507</v>
      </c>
      <c r="I34" s="24">
        <f>GSVA_const!I34</f>
        <v>9333431.1043856367</v>
      </c>
      <c r="J34" s="24">
        <f>GSVA_const!J34</f>
        <v>9458888.7814891227</v>
      </c>
      <c r="K34" s="24">
        <f>GSVA_const!K34</f>
        <v>10022626.778018575</v>
      </c>
      <c r="L34" s="24">
        <f>GSVA_const!L34</f>
        <v>9133011.4593422059</v>
      </c>
      <c r="M34" s="24">
        <f>GSVA_const!M34</f>
        <v>10062511.914481891</v>
      </c>
      <c r="N34" s="24">
        <f>GSVA_const!N34</f>
        <v>10808069.015163839</v>
      </c>
      <c r="O34" s="24">
        <f>GSVA_const!O34</f>
        <v>11814962.052074211</v>
      </c>
      <c r="P34" s="24">
        <f>GSVA_const!P34</f>
        <v>12774783.761531645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</row>
    <row r="35" spans="1:190" s="8" customFormat="1" ht="15.75" x14ac:dyDescent="0.25">
      <c r="A35" s="32" t="s">
        <v>44</v>
      </c>
      <c r="B35" s="33" t="s">
        <v>24</v>
      </c>
      <c r="C35" s="24">
        <f>GSVA_const!C35</f>
        <v>2847843</v>
      </c>
      <c r="D35" s="24">
        <f>GSVA_const!D35</f>
        <v>3037500</v>
      </c>
      <c r="E35" s="24">
        <f>GSVA_const!E35</f>
        <v>2706300</v>
      </c>
      <c r="F35" s="24">
        <f>GSVA_const!F35</f>
        <v>2764300</v>
      </c>
      <c r="G35" s="24">
        <f>GSVA_const!G35</f>
        <v>3012400</v>
      </c>
      <c r="H35" s="24">
        <f>GSVA_const!H35</f>
        <v>3371000</v>
      </c>
      <c r="I35" s="24">
        <f>GSVA_const!I35</f>
        <v>3534155.637145326</v>
      </c>
      <c r="J35" s="24">
        <f>GSVA_const!J35</f>
        <v>3679800</v>
      </c>
      <c r="K35" s="24">
        <f>GSVA_const!K35</f>
        <v>3821637.2139867754</v>
      </c>
      <c r="L35" s="24">
        <f>GSVA_const!L35</f>
        <v>3666203.2090767841</v>
      </c>
      <c r="M35" s="24">
        <f>GSVA_const!M35</f>
        <v>4087525.1177744833</v>
      </c>
      <c r="N35" s="24">
        <f>GSVA_const!N35</f>
        <v>4495316.7372273086</v>
      </c>
      <c r="O35" s="24">
        <f>GSVA_const!O35</f>
        <v>4894949.3030266883</v>
      </c>
      <c r="P35" s="24">
        <f>GSVA_const!P35</f>
        <v>5338412.0687261671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</row>
    <row r="36" spans="1:190" s="8" customFormat="1" ht="30" x14ac:dyDescent="0.25">
      <c r="A36" s="32" t="s">
        <v>45</v>
      </c>
      <c r="B36" s="33" t="s">
        <v>63</v>
      </c>
      <c r="C36" s="24">
        <f>C33+C34-C35</f>
        <v>65815143.840437964</v>
      </c>
      <c r="D36" s="24">
        <f t="shared" ref="D36:O36" si="11">D33+D34-D35</f>
        <v>68763729.701289967</v>
      </c>
      <c r="E36" s="24">
        <f t="shared" si="11"/>
        <v>72528755.246659324</v>
      </c>
      <c r="F36" s="24">
        <f t="shared" si="11"/>
        <v>74981482.550265595</v>
      </c>
      <c r="G36" s="24">
        <f t="shared" si="11"/>
        <v>81798889.220338985</v>
      </c>
      <c r="H36" s="24">
        <f t="shared" si="11"/>
        <v>91743897.124513984</v>
      </c>
      <c r="I36" s="24">
        <f t="shared" si="11"/>
        <v>94685864.321234211</v>
      </c>
      <c r="J36" s="24">
        <f t="shared" si="11"/>
        <v>97430590.925160021</v>
      </c>
      <c r="K36" s="24">
        <f t="shared" si="11"/>
        <v>100768331.20616734</v>
      </c>
      <c r="L36" s="24">
        <f t="shared" si="11"/>
        <v>94070938.833993122</v>
      </c>
      <c r="M36" s="24">
        <f t="shared" si="11"/>
        <v>105217981.58386709</v>
      </c>
      <c r="N36" s="24">
        <f t="shared" si="11"/>
        <v>112684430.07563831</v>
      </c>
      <c r="O36" s="24">
        <f t="shared" si="11"/>
        <v>123040379.47117582</v>
      </c>
      <c r="P36" s="24">
        <f t="shared" ref="P36" si="12">P33+P34-P35</f>
        <v>134080729.19314702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</row>
    <row r="37" spans="1:190" s="8" customFormat="1" ht="15.75" x14ac:dyDescent="0.25">
      <c r="A37" s="32" t="s">
        <v>46</v>
      </c>
      <c r="B37" s="33" t="s">
        <v>42</v>
      </c>
      <c r="C37" s="24">
        <f>GSVA_cur!C37</f>
        <v>2015910</v>
      </c>
      <c r="D37" s="24">
        <f>GSVA_cur!D37</f>
        <v>2046780</v>
      </c>
      <c r="E37" s="24">
        <f>GSVA_cur!E37</f>
        <v>2078120</v>
      </c>
      <c r="F37" s="24">
        <f>GSVA_cur!F37</f>
        <v>2109940</v>
      </c>
      <c r="G37" s="24">
        <f>GSVA_cur!G37</f>
        <v>2142250</v>
      </c>
      <c r="H37" s="24">
        <f>GSVA_cur!H37</f>
        <v>2175050</v>
      </c>
      <c r="I37" s="24">
        <f>GSVA_cur!I37</f>
        <v>2208360</v>
      </c>
      <c r="J37" s="24">
        <f>GSVA_cur!J37</f>
        <v>2242170</v>
      </c>
      <c r="K37" s="24">
        <f>GSVA_cur!K37</f>
        <v>2276500</v>
      </c>
      <c r="L37" s="24">
        <f>GSVA_cur!L37</f>
        <v>2296720</v>
      </c>
      <c r="M37" s="24">
        <f>GSVA_cur!M37</f>
        <v>2323010</v>
      </c>
      <c r="N37" s="24">
        <f>GSVA_cur!N37</f>
        <v>2346920</v>
      </c>
      <c r="O37" s="24">
        <f>GSVA_cur!O37</f>
        <v>2370820</v>
      </c>
      <c r="P37" s="24">
        <f>GSVA_cur!P37</f>
        <v>2394720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8" customFormat="1" ht="15.75" x14ac:dyDescent="0.25">
      <c r="A38" s="32" t="s">
        <v>47</v>
      </c>
      <c r="B38" s="33" t="s">
        <v>64</v>
      </c>
      <c r="C38" s="24">
        <f>C36/C37*1000</f>
        <v>32647.858208172962</v>
      </c>
      <c r="D38" s="24">
        <f t="shared" ref="D38:P38" si="13">D36/D37*1000</f>
        <v>33596.053167067279</v>
      </c>
      <c r="E38" s="24">
        <f t="shared" si="13"/>
        <v>34901.139128952767</v>
      </c>
      <c r="F38" s="24">
        <f t="shared" si="13"/>
        <v>35537.258192301961</v>
      </c>
      <c r="G38" s="24">
        <f t="shared" si="13"/>
        <v>38183.633665696812</v>
      </c>
      <c r="H38" s="24">
        <f t="shared" si="13"/>
        <v>42180.132467995667</v>
      </c>
      <c r="I38" s="24">
        <f t="shared" si="13"/>
        <v>42876.100056709147</v>
      </c>
      <c r="J38" s="24">
        <f t="shared" si="13"/>
        <v>43453.703744658087</v>
      </c>
      <c r="K38" s="24">
        <f t="shared" si="13"/>
        <v>44264.586517095253</v>
      </c>
      <c r="L38" s="24">
        <f t="shared" si="13"/>
        <v>40958.819026260549</v>
      </c>
      <c r="M38" s="24">
        <f t="shared" si="13"/>
        <v>45293.813450595175</v>
      </c>
      <c r="N38" s="24">
        <f t="shared" si="13"/>
        <v>48013.749968315205</v>
      </c>
      <c r="O38" s="24">
        <f t="shared" si="13"/>
        <v>51897.815722482439</v>
      </c>
      <c r="P38" s="24">
        <f t="shared" si="13"/>
        <v>55990.148824558615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Z38" s="11"/>
      <c r="CA38" s="11"/>
      <c r="CB38" s="11"/>
      <c r="CC38" s="11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ht="17.25" customHeight="1" x14ac:dyDescent="0.25">
      <c r="A39" s="37" t="s">
        <v>79</v>
      </c>
      <c r="B39" s="37"/>
      <c r="C39" s="37"/>
      <c r="D39" s="37"/>
      <c r="E39" s="37"/>
    </row>
    <row r="40" spans="1:190" x14ac:dyDescent="0.25">
      <c r="A40" s="2" t="s">
        <v>80</v>
      </c>
    </row>
  </sheetData>
  <sheetProtection formatColumns="0" formatRows="0"/>
  <mergeCells count="1">
    <mergeCell ref="A39:E39"/>
  </mergeCells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2025-08-07T10:45:11Z</dcterms:modified>
</cp:coreProperties>
</file>