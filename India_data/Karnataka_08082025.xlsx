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B7E54575-46E6-4F31-A14A-B55F69B73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2" l="1"/>
  <c r="P35" i="12"/>
  <c r="P37" i="12"/>
  <c r="P34" i="11"/>
  <c r="P35" i="11"/>
  <c r="P37" i="11"/>
  <c r="P37" i="1"/>
  <c r="P20" i="1" l="1"/>
  <c r="P20" i="11"/>
  <c r="P20" i="12"/>
  <c r="P20" i="10"/>
  <c r="P16" i="1"/>
  <c r="P17" i="1"/>
  <c r="P16" i="11"/>
  <c r="P17" i="11"/>
  <c r="P16" i="12"/>
  <c r="P17" i="12"/>
  <c r="P16" i="10"/>
  <c r="P17" i="10"/>
  <c r="P6" i="1"/>
  <c r="P12" i="1" s="1"/>
  <c r="P6" i="11"/>
  <c r="P6" i="12"/>
  <c r="P6" i="10"/>
  <c r="P32" i="10" l="1"/>
  <c r="P33" i="12"/>
  <c r="P33" i="11"/>
  <c r="P32" i="1"/>
  <c r="P12" i="10"/>
  <c r="P12" i="11"/>
  <c r="P32" i="12"/>
  <c r="P12" i="12"/>
  <c r="P32" i="11"/>
  <c r="P33" i="10"/>
  <c r="P33" i="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36" i="12" l="1"/>
  <c r="P36" i="11"/>
  <c r="P36" i="10"/>
  <c r="P36" i="1"/>
  <c r="O6" i="1"/>
  <c r="O12" i="1" s="1"/>
  <c r="O20" i="1"/>
  <c r="O32" i="1" s="1"/>
  <c r="O37" i="1"/>
  <c r="O6" i="11"/>
  <c r="O16" i="11"/>
  <c r="O17" i="11"/>
  <c r="O20" i="11"/>
  <c r="O37" i="11"/>
  <c r="O6" i="12"/>
  <c r="O12" i="12" s="1"/>
  <c r="O16" i="12"/>
  <c r="O17" i="12"/>
  <c r="O20" i="12"/>
  <c r="O34" i="12"/>
  <c r="O35" i="12"/>
  <c r="O37" i="12"/>
  <c r="O6" i="10"/>
  <c r="O16" i="10"/>
  <c r="O17" i="10"/>
  <c r="O20" i="10"/>
  <c r="P38" i="11" l="1"/>
  <c r="P38" i="12"/>
  <c r="P38" i="1"/>
  <c r="P38" i="10"/>
  <c r="O32" i="12"/>
  <c r="O33" i="10"/>
  <c r="O36" i="10" s="1"/>
  <c r="O33" i="12"/>
  <c r="O36" i="12" s="1"/>
  <c r="O38" i="12" s="1"/>
  <c r="O32" i="11"/>
  <c r="O33" i="11"/>
  <c r="O36" i="11" s="1"/>
  <c r="O12" i="11"/>
  <c r="O32" i="10"/>
  <c r="O12" i="10"/>
  <c r="O33" i="1"/>
  <c r="O38" i="10" l="1"/>
  <c r="O36" i="1"/>
  <c r="O38" i="11"/>
  <c r="I2" i="1"/>
  <c r="I2" i="11"/>
  <c r="I2" i="12"/>
  <c r="I2" i="10"/>
  <c r="O38" i="1" l="1"/>
  <c r="N34" i="12" l="1"/>
  <c r="N35" i="12"/>
  <c r="N37" i="12"/>
  <c r="N37" i="11"/>
  <c r="N37" i="1"/>
  <c r="N17" i="11"/>
  <c r="N17" i="12"/>
  <c r="N17" i="10"/>
  <c r="N20" i="1"/>
  <c r="N20" i="11"/>
  <c r="N20" i="12"/>
  <c r="N20" i="10"/>
  <c r="N16" i="11"/>
  <c r="N16" i="12"/>
  <c r="N16" i="10"/>
  <c r="N6" i="1"/>
  <c r="N6" i="11"/>
  <c r="N6" i="12"/>
  <c r="N6" i="10"/>
  <c r="N32" i="12" l="1"/>
  <c r="N12" i="12"/>
  <c r="N12" i="11"/>
  <c r="N33" i="11"/>
  <c r="N12" i="10"/>
  <c r="N33" i="12"/>
  <c r="N32" i="11"/>
  <c r="N32" i="1"/>
  <c r="N33" i="1"/>
  <c r="N12" i="1"/>
  <c r="N32" i="10"/>
  <c r="N33" i="10"/>
  <c r="N36" i="12" l="1"/>
  <c r="N36" i="11"/>
  <c r="N36" i="1"/>
  <c r="N36" i="10"/>
  <c r="N38" i="12" l="1"/>
  <c r="N38" i="11"/>
  <c r="N38" i="1"/>
  <c r="N38" i="10"/>
  <c r="D34" i="12" l="1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D37" i="11"/>
  <c r="E37" i="11"/>
  <c r="F37" i="11"/>
  <c r="G37" i="11"/>
  <c r="H37" i="11"/>
  <c r="I37" i="11"/>
  <c r="J37" i="11"/>
  <c r="K37" i="11"/>
  <c r="L37" i="11"/>
  <c r="M37" i="11"/>
  <c r="D37" i="1"/>
  <c r="E37" i="1"/>
  <c r="F37" i="1"/>
  <c r="G37" i="1"/>
  <c r="H37" i="1"/>
  <c r="I37" i="1"/>
  <c r="J37" i="1"/>
  <c r="K37" i="1"/>
  <c r="L37" i="1"/>
  <c r="M37" i="1"/>
  <c r="M20" i="1" l="1"/>
  <c r="M20" i="11"/>
  <c r="M20" i="12"/>
  <c r="M20" i="10"/>
  <c r="M16" i="11"/>
  <c r="M17" i="11"/>
  <c r="M16" i="12"/>
  <c r="M17" i="12"/>
  <c r="M16" i="10"/>
  <c r="M17" i="10"/>
  <c r="M6" i="1"/>
  <c r="M6" i="11"/>
  <c r="M6" i="12"/>
  <c r="M6" i="10"/>
  <c r="M32" i="12" l="1"/>
  <c r="M33" i="12"/>
  <c r="M12" i="12"/>
  <c r="M32" i="11"/>
  <c r="M33" i="11"/>
  <c r="M12" i="11"/>
  <c r="M32" i="1"/>
  <c r="M33" i="1"/>
  <c r="M12" i="1"/>
  <c r="M32" i="10"/>
  <c r="M33" i="10"/>
  <c r="M12" i="10"/>
  <c r="L20" i="12"/>
  <c r="L20" i="11"/>
  <c r="L20" i="1"/>
  <c r="L20" i="10"/>
  <c r="M36" i="10" l="1"/>
  <c r="M36" i="12"/>
  <c r="M36" i="11"/>
  <c r="M36" i="1"/>
  <c r="M38" i="10" l="1"/>
  <c r="M38" i="11"/>
  <c r="M38" i="12"/>
  <c r="M38" i="1"/>
  <c r="L16" i="11"/>
  <c r="L17" i="11"/>
  <c r="L16" i="12"/>
  <c r="L17" i="12"/>
  <c r="L16" i="10"/>
  <c r="L17" i="10"/>
  <c r="L6" i="1"/>
  <c r="L6" i="11"/>
  <c r="L6" i="12"/>
  <c r="L6" i="10"/>
  <c r="K20" i="11"/>
  <c r="K20" i="12"/>
  <c r="K20" i="1"/>
  <c r="K16" i="11"/>
  <c r="K17" i="11"/>
  <c r="K16" i="12"/>
  <c r="K17" i="12"/>
  <c r="K6" i="11"/>
  <c r="K6" i="12"/>
  <c r="K6" i="1"/>
  <c r="L32" i="12" l="1"/>
  <c r="L12" i="12"/>
  <c r="L12" i="11"/>
  <c r="K12" i="1"/>
  <c r="L12" i="10"/>
  <c r="L33" i="11"/>
  <c r="L32" i="11"/>
  <c r="L33" i="1"/>
  <c r="K32" i="11"/>
  <c r="L12" i="1"/>
  <c r="L32" i="1"/>
  <c r="K12" i="12"/>
  <c r="L33" i="10"/>
  <c r="K33" i="11"/>
  <c r="K33" i="1"/>
  <c r="L32" i="10"/>
  <c r="L33" i="12"/>
  <c r="K32" i="12"/>
  <c r="K33" i="12"/>
  <c r="K12" i="11"/>
  <c r="K32" i="1"/>
  <c r="K36" i="12" l="1"/>
  <c r="K38" i="12" s="1"/>
  <c r="L36" i="12"/>
  <c r="K36" i="11"/>
  <c r="L36" i="11"/>
  <c r="L38" i="11" s="1"/>
  <c r="L36" i="10"/>
  <c r="K36" i="1"/>
  <c r="L36" i="1"/>
  <c r="K20" i="10"/>
  <c r="K17" i="10"/>
  <c r="K6" i="10"/>
  <c r="K16" i="10"/>
  <c r="L38" i="12" l="1"/>
  <c r="K38" i="11"/>
  <c r="L38" i="1"/>
  <c r="K38" i="1"/>
  <c r="K12" i="10"/>
  <c r="L38" i="10"/>
  <c r="K32" i="10"/>
  <c r="K33" i="10"/>
  <c r="K36" i="10" l="1"/>
  <c r="J20" i="1"/>
  <c r="J20" i="11"/>
  <c r="J20" i="12"/>
  <c r="J20" i="10"/>
  <c r="J16" i="11"/>
  <c r="J17" i="11"/>
  <c r="J16" i="12"/>
  <c r="J17" i="12"/>
  <c r="J16" i="10"/>
  <c r="J17" i="10"/>
  <c r="J6" i="1"/>
  <c r="J6" i="11"/>
  <c r="J6" i="12"/>
  <c r="J6" i="10"/>
  <c r="K38" i="10" l="1"/>
  <c r="J12" i="11"/>
  <c r="J12" i="1"/>
  <c r="J32" i="12"/>
  <c r="J33" i="12"/>
  <c r="J36" i="12" s="1"/>
  <c r="J38" i="12" s="1"/>
  <c r="J12" i="12"/>
  <c r="J32" i="11"/>
  <c r="J33" i="11"/>
  <c r="J32" i="1"/>
  <c r="J33" i="1"/>
  <c r="J32" i="10"/>
  <c r="J33" i="10"/>
  <c r="J12" i="10"/>
  <c r="I20" i="12"/>
  <c r="I20" i="11"/>
  <c r="I20" i="1"/>
  <c r="H20" i="1"/>
  <c r="I20" i="10"/>
  <c r="H17" i="11"/>
  <c r="I17" i="11"/>
  <c r="H17" i="12"/>
  <c r="I17" i="12"/>
  <c r="H17" i="10"/>
  <c r="I17" i="10"/>
  <c r="H16" i="11"/>
  <c r="I16" i="11"/>
  <c r="H16" i="12"/>
  <c r="I16" i="12"/>
  <c r="H16" i="10"/>
  <c r="I16" i="10"/>
  <c r="H20" i="10"/>
  <c r="H20" i="12"/>
  <c r="H20" i="11"/>
  <c r="I6" i="1"/>
  <c r="I6" i="11"/>
  <c r="I6" i="12"/>
  <c r="I6" i="10"/>
  <c r="J36" i="11" l="1"/>
  <c r="I33" i="11"/>
  <c r="I32" i="1"/>
  <c r="J36" i="1"/>
  <c r="J38" i="1" s="1"/>
  <c r="J36" i="10"/>
  <c r="I33" i="12"/>
  <c r="I36" i="12" s="1"/>
  <c r="I38" i="12" s="1"/>
  <c r="I32" i="11"/>
  <c r="I32" i="12"/>
  <c r="I12" i="12"/>
  <c r="I12" i="11"/>
  <c r="I33" i="1"/>
  <c r="I12" i="1"/>
  <c r="I32" i="10"/>
  <c r="I33" i="10"/>
  <c r="I12" i="10"/>
  <c r="H32" i="12"/>
  <c r="H32" i="11"/>
  <c r="H32" i="1"/>
  <c r="H32" i="10"/>
  <c r="J38" i="11" l="1"/>
  <c r="I36" i="11"/>
  <c r="I38" i="11" s="1"/>
  <c r="I36" i="1"/>
  <c r="J38" i="10"/>
  <c r="I36" i="10"/>
  <c r="H6" i="1"/>
  <c r="H6" i="11"/>
  <c r="H6" i="12"/>
  <c r="H6" i="10"/>
  <c r="I38" i="1" l="1"/>
  <c r="I38" i="10"/>
  <c r="H33" i="12"/>
  <c r="H36" i="12" s="1"/>
  <c r="H38" i="12" s="1"/>
  <c r="H33" i="11"/>
  <c r="H33" i="10"/>
  <c r="H12" i="1"/>
  <c r="H33" i="1"/>
  <c r="H12" i="10"/>
  <c r="H12" i="12"/>
  <c r="H12" i="11"/>
  <c r="C35" i="12"/>
  <c r="C34" i="12"/>
  <c r="H36" i="11" l="1"/>
  <c r="H38" i="11" s="1"/>
  <c r="H36" i="1"/>
  <c r="H38" i="1" s="1"/>
  <c r="H36" i="10"/>
  <c r="C37" i="12"/>
  <c r="C37" i="11"/>
  <c r="C37" i="1"/>
  <c r="H38" i="10" l="1"/>
  <c r="G20" i="12"/>
  <c r="F20" i="12"/>
  <c r="E20" i="12"/>
  <c r="D20" i="12"/>
  <c r="C20" i="12"/>
  <c r="G17" i="12"/>
  <c r="F17" i="12"/>
  <c r="E17" i="12"/>
  <c r="D17" i="12"/>
  <c r="C17" i="12"/>
  <c r="G16" i="12"/>
  <c r="F16" i="12"/>
  <c r="E16" i="12"/>
  <c r="D16" i="12"/>
  <c r="C16" i="12"/>
  <c r="G6" i="12"/>
  <c r="F6" i="12"/>
  <c r="E6" i="12"/>
  <c r="D6" i="12"/>
  <c r="C6" i="12"/>
  <c r="G20" i="11"/>
  <c r="F20" i="11"/>
  <c r="E20" i="11"/>
  <c r="D20" i="11"/>
  <c r="C20" i="11"/>
  <c r="G17" i="11"/>
  <c r="F17" i="11"/>
  <c r="E17" i="11"/>
  <c r="D17" i="11"/>
  <c r="C17" i="11"/>
  <c r="G16" i="11"/>
  <c r="F16" i="11"/>
  <c r="E16" i="11"/>
  <c r="D16" i="11"/>
  <c r="C16" i="11"/>
  <c r="G6" i="11"/>
  <c r="F6" i="11"/>
  <c r="E6" i="11"/>
  <c r="D6" i="11"/>
  <c r="C6" i="11"/>
  <c r="G20" i="1"/>
  <c r="F20" i="1"/>
  <c r="E20" i="1"/>
  <c r="D20" i="1"/>
  <c r="C20" i="1"/>
  <c r="G6" i="1"/>
  <c r="F6" i="1"/>
  <c r="E6" i="1"/>
  <c r="D6" i="1"/>
  <c r="C6" i="1"/>
  <c r="D12" i="12" l="1"/>
  <c r="G12" i="11"/>
  <c r="C12" i="1"/>
  <c r="D12" i="1"/>
  <c r="F12" i="1"/>
  <c r="E12" i="1"/>
  <c r="G12" i="1"/>
  <c r="E33" i="1"/>
  <c r="C32" i="12"/>
  <c r="D32" i="12"/>
  <c r="G33" i="12"/>
  <c r="G36" i="12" s="1"/>
  <c r="G38" i="12" s="1"/>
  <c r="E32" i="12"/>
  <c r="E33" i="12"/>
  <c r="E36" i="12" s="1"/>
  <c r="E38" i="12" s="1"/>
  <c r="F33" i="12"/>
  <c r="F36" i="12" s="1"/>
  <c r="F38" i="12" s="1"/>
  <c r="E33" i="11"/>
  <c r="G32" i="12"/>
  <c r="C33" i="12"/>
  <c r="E12" i="12"/>
  <c r="D33" i="11"/>
  <c r="C33" i="11"/>
  <c r="E32" i="11"/>
  <c r="F33" i="11"/>
  <c r="F32" i="11"/>
  <c r="C32" i="11"/>
  <c r="G32" i="11"/>
  <c r="D12" i="11"/>
  <c r="D33" i="1"/>
  <c r="D32" i="1"/>
  <c r="E32" i="1"/>
  <c r="F32" i="1"/>
  <c r="C32" i="1"/>
  <c r="F33" i="1"/>
  <c r="D33" i="12"/>
  <c r="D36" i="12" s="1"/>
  <c r="D38" i="12" s="1"/>
  <c r="G32" i="1"/>
  <c r="D32" i="11"/>
  <c r="F32" i="12"/>
  <c r="F12" i="12"/>
  <c r="G12" i="12"/>
  <c r="C12" i="12"/>
  <c r="G33" i="11"/>
  <c r="C12" i="11"/>
  <c r="E12" i="11"/>
  <c r="F12" i="11"/>
  <c r="G33" i="1"/>
  <c r="C33" i="1"/>
  <c r="D36" i="11" l="1"/>
  <c r="D38" i="11" s="1"/>
  <c r="F36" i="11"/>
  <c r="F38" i="11" s="1"/>
  <c r="G36" i="11"/>
  <c r="G38" i="11" s="1"/>
  <c r="E36" i="11"/>
  <c r="C36" i="12"/>
  <c r="C38" i="12" s="1"/>
  <c r="C36" i="11"/>
  <c r="C36" i="1"/>
  <c r="G36" i="1"/>
  <c r="G38" i="1" s="1"/>
  <c r="D36" i="1"/>
  <c r="D38" i="1" s="1"/>
  <c r="F36" i="1"/>
  <c r="F38" i="1" s="1"/>
  <c r="E36" i="1"/>
  <c r="E38" i="1" s="1"/>
  <c r="G6" i="10"/>
  <c r="G16" i="10"/>
  <c r="G17" i="10"/>
  <c r="G20" i="10"/>
  <c r="E38" i="11" l="1"/>
  <c r="C38" i="11"/>
  <c r="C38" i="1"/>
  <c r="G12" i="10"/>
  <c r="G32" i="10"/>
  <c r="G33" i="10"/>
  <c r="G36" i="10" l="1"/>
  <c r="G38" i="10" l="1"/>
  <c r="F20" i="10" l="1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F32" i="10" l="1"/>
  <c r="C12" i="10"/>
  <c r="D33" i="10"/>
  <c r="F33" i="10"/>
  <c r="F12" i="10"/>
  <c r="D12" i="10"/>
  <c r="C33" i="10"/>
  <c r="D32" i="10"/>
  <c r="E32" i="10"/>
  <c r="E33" i="10"/>
  <c r="C32" i="10"/>
  <c r="E12" i="10"/>
  <c r="C36" i="10" l="1"/>
  <c r="D36" i="10"/>
  <c r="F36" i="10"/>
  <c r="E36" i="10"/>
  <c r="C38" i="10" l="1"/>
  <c r="D38" i="10"/>
  <c r="F38" i="10"/>
  <c r="E38" i="10"/>
</calcChain>
</file>

<file path=xl/sharedStrings.xml><?xml version="1.0" encoding="utf-8"?>
<sst xmlns="http://schemas.openxmlformats.org/spreadsheetml/2006/main" count="284" uniqueCount="77">
  <si>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</si>
  <si>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</si>
  <si>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</si>
  <si>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</si>
  <si>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</si>
  <si>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</si>
  <si>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</si>
  <si>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</si>
  <si>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</si>
  <si>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</si>
  <si>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</si>
  <si>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</si>
  <si>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</si>
  <si>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</si>
  <si>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</si>
  <si>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</si>
  <si>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</si>
  <si>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</si>
  <si>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</si>
  <si>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</si>
  <si>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</si>
  <si>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</si>
  <si>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</si>
  <si>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</si>
  <si>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</si>
  <si>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</si>
  <si>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</si>
  <si>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</si>
  <si>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</si>
  <si>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</si>
  <si>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</si>
  <si>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</si>
  <si>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</si>
  <si>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</si>
  <si>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</si>
  <si>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</si>
  <si>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</si>
  <si>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</si>
  <si>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</si>
  <si>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</si>
  <si>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</si>
  <si>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</si>
  <si>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</si>
  <si>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</si>
  <si>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</si>
  <si>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</si>
  <si>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</si>
  <si>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</si>
  <si>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</si>
  <si>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</si>
  <si>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</si>
  <si>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</si>
  <si>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</si>
  <si>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</si>
  <si>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</si>
  <si>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</si>
  <si>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</si>
  <si>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</si>
  <si>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</si>
  <si>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</si>
  <si>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</si>
  <si>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</si>
  <si>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</si>
  <si>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</si>
  <si>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</si>
  <si>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</si>
  <si>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Karnataka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</si>
  <si>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</si>
  <si>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</si>
  <si>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</si>
  <si>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</si>
  <si>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</si>
  <si>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</si>
  <si>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</si>
  <si>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</si>
  <si>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Source:  Directorate of Economics &amp; Statistics of respective State Governments.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</si>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</sst>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37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0" fontId="7" fillId="3" borderId="0" xfId="0" applyFont="1" applyFill="1"/>
    <xf numFmtId="0" fontId="7" fillId="3" borderId="0" xfId="0" applyFont="1" applyFill="1" applyProtection="1">
      <protection locked="0"/>
    </xf>
    <xf numFmtId="49" fontId="12" fillId="3" borderId="2" xfId="0" applyNumberFormat="1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7" fillId="3" borderId="2" xfId="0" applyFont="1" applyFill="1" applyBorder="1" applyAlignment="1">
      <alignment horizontal="left" vertical="center" wrapText="1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1" fontId="7" fillId="4" borderId="2" xfId="0" applyNumberFormat="1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124"/>
  <sheetViews>
    <sheetView tabSelected="1" zoomScale="82" zoomScaleNormal="82" zoomScaleSheetLayoutView="100" workbookViewId="0">
      <pane xSplit="2" ySplit="5" topLeftCell="C6" activePane="bottomRight" state="frozen"/>
      <selection activeCell="I35" sqref="I35"/>
      <selection pane="topRight" activeCell="I35" sqref="I35"/>
      <selection pane="bottomLeft" activeCell="I35" sqref="I35"/>
      <selection pane="bottomRight" activeCell="S13" sqref="S13"/>
    </sheetView>
  </sheetViews>
  <sheetFormatPr defaultColWidth="8.85546875" defaultRowHeight="15" x14ac:dyDescent="0.25"/>
  <cols>
    <col min="1" max="1" width="6.42578125" style="2" customWidth="1"/>
    <col min="2" max="2" width="44" style="2" customWidth="1"/>
    <col min="3" max="6" width="11.5703125" style="2" customWidth="1"/>
    <col min="7" max="16" width="11.85546875" style="1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18.75" x14ac:dyDescent="0.3">
      <c r="A1" s="2" t="s">
        <v>53</v>
      </c>
      <c r="B1" s="6" t="s">
        <v>66</v>
      </c>
      <c r="V1" s="3"/>
    </row>
    <row r="2" spans="1:192" ht="15.75" x14ac:dyDescent="0.25">
      <c r="A2" s="7" t="s">
        <v>48</v>
      </c>
      <c r="I2" s="1" t="str">
        <f>[1]GSVA_cur!$I$3</f>
        <v>01.08.2025</v>
      </c>
    </row>
    <row r="3" spans="1:192" ht="15.75" x14ac:dyDescent="0.25">
      <c r="A3" s="7"/>
    </row>
    <row r="4" spans="1:192" ht="15.75" x14ac:dyDescent="0.25">
      <c r="A4" s="7"/>
      <c r="E4" s="8"/>
      <c r="F4" s="8" t="s">
        <v>57</v>
      </c>
    </row>
    <row r="5" spans="1:192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2" t="s">
        <v>65</v>
      </c>
      <c r="H5" s="12" t="s">
        <v>67</v>
      </c>
      <c r="I5" s="12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92" s="26" customFormat="1" ht="15.75" x14ac:dyDescent="0.25">
      <c r="A6" s="28" t="s">
        <v>26</v>
      </c>
      <c r="B6" s="33" t="s">
        <v>2</v>
      </c>
      <c r="C6" s="30">
        <f>SUM(C7:C10)</f>
        <v>7554868.0624158466</v>
      </c>
      <c r="D6" s="30">
        <f t="shared" ref="D6:E6" si="0">SUM(D7:D10)</f>
        <v>8180607.1133888094</v>
      </c>
      <c r="E6" s="30">
        <f t="shared" si="0"/>
        <v>9666144.9219231214</v>
      </c>
      <c r="F6" s="30">
        <f t="shared" ref="F6:N6" si="1">SUM(F7:F10)</f>
        <v>10895892.385099217</v>
      </c>
      <c r="G6" s="30">
        <f t="shared" si="1"/>
        <v>11240377.134434059</v>
      </c>
      <c r="H6" s="30">
        <f t="shared" si="1"/>
        <v>11906025.556562915</v>
      </c>
      <c r="I6" s="30">
        <f t="shared" si="1"/>
        <v>15003431.321040476</v>
      </c>
      <c r="J6" s="30">
        <f t="shared" si="1"/>
        <v>15249831.520356288</v>
      </c>
      <c r="K6" s="30">
        <f t="shared" si="1"/>
        <v>18279038.467580568</v>
      </c>
      <c r="L6" s="30">
        <f t="shared" si="1"/>
        <v>22883560.902857374</v>
      </c>
      <c r="M6" s="30">
        <f t="shared" si="1"/>
        <v>26784362.787411012</v>
      </c>
      <c r="N6" s="30">
        <f t="shared" si="1"/>
        <v>27084142.181331929</v>
      </c>
      <c r="O6" s="30">
        <f t="shared" ref="O6:P6" si="2">SUM(O7:O10)</f>
        <v>28060347.292284273</v>
      </c>
      <c r="P6" s="30">
        <f t="shared" si="2"/>
        <v>30816464.449852407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J6" s="27"/>
    </row>
    <row r="7" spans="1:192" ht="15.75" x14ac:dyDescent="0.25">
      <c r="A7" s="15">
        <v>1.1000000000000001</v>
      </c>
      <c r="B7" s="16" t="s">
        <v>59</v>
      </c>
      <c r="C7" s="17">
        <v>5339455.5852468899</v>
      </c>
      <c r="D7" s="17">
        <v>5749541.2364340415</v>
      </c>
      <c r="E7" s="17">
        <v>6988511.3899174426</v>
      </c>
      <c r="F7" s="17">
        <v>7862006.802679088</v>
      </c>
      <c r="G7" s="17">
        <v>7973840.0441999994</v>
      </c>
      <c r="H7" s="17">
        <v>8211587.9506222699</v>
      </c>
      <c r="I7" s="17">
        <v>10877749.673634786</v>
      </c>
      <c r="J7" s="17">
        <v>10552697.230367394</v>
      </c>
      <c r="K7" s="17">
        <v>12157056.936405471</v>
      </c>
      <c r="L7" s="17">
        <v>15240917.331126688</v>
      </c>
      <c r="M7" s="17">
        <v>17491307.626109265</v>
      </c>
      <c r="N7" s="17">
        <v>16484514.68023801</v>
      </c>
      <c r="O7" s="17">
        <v>16684425.951495817</v>
      </c>
      <c r="P7" s="17">
        <v>18408191.829587359</v>
      </c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15">
        <v>1.2</v>
      </c>
      <c r="B8" s="16" t="s">
        <v>60</v>
      </c>
      <c r="C8" s="17">
        <v>1349661.6805277285</v>
      </c>
      <c r="D8" s="17">
        <v>1506992.5985324606</v>
      </c>
      <c r="E8" s="17">
        <v>1634066.1556250618</v>
      </c>
      <c r="F8" s="17">
        <v>1871678.5040490893</v>
      </c>
      <c r="G8" s="17">
        <v>1976254.3854649358</v>
      </c>
      <c r="H8" s="17">
        <v>2287269.3329929174</v>
      </c>
      <c r="I8" s="17">
        <v>2630789.1752728242</v>
      </c>
      <c r="J8" s="17">
        <v>3168468.8074685712</v>
      </c>
      <c r="K8" s="17">
        <v>4251230.5768156732</v>
      </c>
      <c r="L8" s="17">
        <v>5674342.2211382762</v>
      </c>
      <c r="M8" s="17">
        <v>6579510.9253076091</v>
      </c>
      <c r="N8" s="17">
        <v>7810532.4047034588</v>
      </c>
      <c r="O8" s="17">
        <v>8495641.4773581065</v>
      </c>
      <c r="P8" s="17">
        <v>9350007.9358412214</v>
      </c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15">
        <v>1.3</v>
      </c>
      <c r="B9" s="16" t="s">
        <v>61</v>
      </c>
      <c r="C9" s="17">
        <v>593457.89484602737</v>
      </c>
      <c r="D9" s="17">
        <v>604865.95329954976</v>
      </c>
      <c r="E9" s="17">
        <v>658628.97146774817</v>
      </c>
      <c r="F9" s="17">
        <v>661816.60534174868</v>
      </c>
      <c r="G9" s="17">
        <v>840135.53973045642</v>
      </c>
      <c r="H9" s="17">
        <v>969168.51451498421</v>
      </c>
      <c r="I9" s="17">
        <v>875377.90234310995</v>
      </c>
      <c r="J9" s="17">
        <v>1041840.8180546099</v>
      </c>
      <c r="K9" s="17">
        <v>1335977.1917262087</v>
      </c>
      <c r="L9" s="17">
        <v>1438855.9278370065</v>
      </c>
      <c r="M9" s="17">
        <v>1670906.567834368</v>
      </c>
      <c r="N9" s="17">
        <v>1609818.8838644649</v>
      </c>
      <c r="O9" s="17">
        <v>1648950.7895619248</v>
      </c>
      <c r="P9" s="17">
        <v>1687161.0523044262</v>
      </c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15">
        <v>1.4</v>
      </c>
      <c r="B10" s="16" t="s">
        <v>62</v>
      </c>
      <c r="C10" s="17">
        <v>272292.90179520036</v>
      </c>
      <c r="D10" s="17">
        <v>319207.32512275776</v>
      </c>
      <c r="E10" s="17">
        <v>384938.40491286915</v>
      </c>
      <c r="F10" s="17">
        <v>500390.47302929201</v>
      </c>
      <c r="G10" s="17">
        <v>450147.1650386671</v>
      </c>
      <c r="H10" s="17">
        <v>437999.75843274343</v>
      </c>
      <c r="I10" s="17">
        <v>619514.56978975574</v>
      </c>
      <c r="J10" s="17">
        <v>486824.6644657118</v>
      </c>
      <c r="K10" s="17">
        <v>534773.76263321668</v>
      </c>
      <c r="L10" s="17">
        <v>529445.42275540112</v>
      </c>
      <c r="M10" s="17">
        <v>1042637.6681597667</v>
      </c>
      <c r="N10" s="17">
        <v>1179276.2125259927</v>
      </c>
      <c r="O10" s="17">
        <v>1231329.0738684274</v>
      </c>
      <c r="P10" s="17">
        <v>1371103.6321194018</v>
      </c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18" t="s">
        <v>31</v>
      </c>
      <c r="B11" s="16" t="s">
        <v>3</v>
      </c>
      <c r="C11" s="17">
        <v>450254.39698199998</v>
      </c>
      <c r="D11" s="17">
        <v>407345.30911000003</v>
      </c>
      <c r="E11" s="17">
        <v>617181.18782400002</v>
      </c>
      <c r="F11" s="17">
        <v>851636.07459600002</v>
      </c>
      <c r="G11" s="17">
        <v>610227.84945907211</v>
      </c>
      <c r="H11" s="17">
        <v>679147.51797516539</v>
      </c>
      <c r="I11" s="17">
        <v>902064.8449599999</v>
      </c>
      <c r="J11" s="17">
        <v>896784.78119999997</v>
      </c>
      <c r="K11" s="17">
        <v>874500.82329709455</v>
      </c>
      <c r="L11" s="17">
        <v>1071388.3159348089</v>
      </c>
      <c r="M11" s="17">
        <v>1595582.8658789981</v>
      </c>
      <c r="N11" s="17">
        <v>1160433.4819170432</v>
      </c>
      <c r="O11" s="17">
        <v>1530170.2675499318</v>
      </c>
      <c r="P11" s="17">
        <v>1912692.1820158784</v>
      </c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27" customFormat="1" ht="15.75" x14ac:dyDescent="0.25">
      <c r="A12" s="21"/>
      <c r="B12" s="22" t="s">
        <v>28</v>
      </c>
      <c r="C12" s="23">
        <f>C6+C11</f>
        <v>8005122.4593978468</v>
      </c>
      <c r="D12" s="23">
        <f t="shared" ref="D12:E12" si="3">D6+D11</f>
        <v>8587952.4224988092</v>
      </c>
      <c r="E12" s="23">
        <f t="shared" si="3"/>
        <v>10283326.109747121</v>
      </c>
      <c r="F12" s="23">
        <f t="shared" ref="F12:N12" si="4">F6+F11</f>
        <v>11747528.459695218</v>
      </c>
      <c r="G12" s="23">
        <f t="shared" si="4"/>
        <v>11850604.983893132</v>
      </c>
      <c r="H12" s="23">
        <f t="shared" si="4"/>
        <v>12585173.07453808</v>
      </c>
      <c r="I12" s="23">
        <f t="shared" si="4"/>
        <v>15905496.166000476</v>
      </c>
      <c r="J12" s="23">
        <f t="shared" si="4"/>
        <v>16146616.301556287</v>
      </c>
      <c r="K12" s="23">
        <f t="shared" si="4"/>
        <v>19153539.290877663</v>
      </c>
      <c r="L12" s="23">
        <f t="shared" si="4"/>
        <v>23954949.218792185</v>
      </c>
      <c r="M12" s="23">
        <f t="shared" si="4"/>
        <v>28379945.653290011</v>
      </c>
      <c r="N12" s="23">
        <f t="shared" si="4"/>
        <v>28244575.663248971</v>
      </c>
      <c r="O12" s="23">
        <f t="shared" ref="O12:P12" si="5">O6+O11</f>
        <v>29590517.559834205</v>
      </c>
      <c r="P12" s="23">
        <f t="shared" si="5"/>
        <v>32729156.631868284</v>
      </c>
      <c r="Q12" s="4"/>
      <c r="R12" s="4"/>
      <c r="S12" s="4"/>
      <c r="T12" s="3"/>
      <c r="U12" s="4"/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6"/>
      <c r="GH12" s="26"/>
      <c r="GI12" s="26"/>
    </row>
    <row r="13" spans="1:192" s="1" customFormat="1" ht="15.75" x14ac:dyDescent="0.25">
      <c r="A13" s="13" t="s">
        <v>32</v>
      </c>
      <c r="B13" s="14" t="s">
        <v>4</v>
      </c>
      <c r="C13" s="17">
        <v>9713888.4454417452</v>
      </c>
      <c r="D13" s="17">
        <v>10850508.716619244</v>
      </c>
      <c r="E13" s="17">
        <v>11794288.446</v>
      </c>
      <c r="F13" s="17">
        <v>12008489.850378029</v>
      </c>
      <c r="G13" s="17">
        <v>14266143.449109005</v>
      </c>
      <c r="H13" s="17">
        <v>18218381.031520214</v>
      </c>
      <c r="I13" s="17">
        <v>19125161.957768533</v>
      </c>
      <c r="J13" s="17">
        <v>21130185.903480493</v>
      </c>
      <c r="K13" s="17">
        <v>20002070.345416058</v>
      </c>
      <c r="L13" s="17">
        <v>19891749.966357671</v>
      </c>
      <c r="M13" s="17">
        <v>26012169.369001538</v>
      </c>
      <c r="N13" s="17">
        <v>27711771.724583708</v>
      </c>
      <c r="O13" s="17">
        <v>29856287.53387326</v>
      </c>
      <c r="P13" s="17">
        <v>32441763.649039041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0" x14ac:dyDescent="0.25">
      <c r="A14" s="18" t="s">
        <v>33</v>
      </c>
      <c r="B14" s="16" t="s">
        <v>5</v>
      </c>
      <c r="C14" s="17">
        <v>1082881.6187079297</v>
      </c>
      <c r="D14" s="17">
        <v>1147835.1032008734</v>
      </c>
      <c r="E14" s="17">
        <v>1275594.6333124053</v>
      </c>
      <c r="F14" s="17">
        <v>1446275.4500831719</v>
      </c>
      <c r="G14" s="17">
        <v>1669665.544562032</v>
      </c>
      <c r="H14" s="17">
        <v>1522776.6485301747</v>
      </c>
      <c r="I14" s="17">
        <v>1815315.7907641449</v>
      </c>
      <c r="J14" s="17">
        <v>2115754.4344669241</v>
      </c>
      <c r="K14" s="17">
        <v>2277389.2685936857</v>
      </c>
      <c r="L14" s="17">
        <v>2393273.1189051243</v>
      </c>
      <c r="M14" s="17">
        <v>2678727.8208187236</v>
      </c>
      <c r="N14" s="17">
        <v>3072914.3800731478</v>
      </c>
      <c r="O14" s="17">
        <v>3367815.6156772138</v>
      </c>
      <c r="P14" s="17">
        <v>3751769.0904459343</v>
      </c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18" t="s">
        <v>34</v>
      </c>
      <c r="B15" s="16" t="s">
        <v>6</v>
      </c>
      <c r="C15" s="17">
        <v>5033145.3525643488</v>
      </c>
      <c r="D15" s="17">
        <v>5233949.7608596962</v>
      </c>
      <c r="E15" s="17">
        <v>5940134.4703135891</v>
      </c>
      <c r="F15" s="17">
        <v>6137487.0414000005</v>
      </c>
      <c r="G15" s="17">
        <v>6110614.2327042911</v>
      </c>
      <c r="H15" s="17">
        <v>6431733.0309834369</v>
      </c>
      <c r="I15" s="17">
        <v>7121329.7125599477</v>
      </c>
      <c r="J15" s="17">
        <v>8204666.5359460982</v>
      </c>
      <c r="K15" s="17">
        <v>8324288.9516579788</v>
      </c>
      <c r="L15" s="17">
        <v>8118522.3582066651</v>
      </c>
      <c r="M15" s="17">
        <v>10807083.68679598</v>
      </c>
      <c r="N15" s="17">
        <v>12593972.671701599</v>
      </c>
      <c r="O15" s="17">
        <v>13762049.00661066</v>
      </c>
      <c r="P15" s="17">
        <v>14851245.390176604</v>
      </c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27" customFormat="1" ht="15.75" x14ac:dyDescent="0.25">
      <c r="A16" s="21"/>
      <c r="B16" s="22" t="s">
        <v>29</v>
      </c>
      <c r="C16" s="23">
        <f>+C13+C14+C15</f>
        <v>15829915.416714024</v>
      </c>
      <c r="D16" s="23">
        <f t="shared" ref="D16:E16" si="6">+D13+D14+D15</f>
        <v>17232293.580679812</v>
      </c>
      <c r="E16" s="23">
        <f t="shared" si="6"/>
        <v>19010017.549625997</v>
      </c>
      <c r="F16" s="23">
        <f t="shared" ref="F16:I16" si="7">+F13+F14+F15</f>
        <v>19592252.341861203</v>
      </c>
      <c r="G16" s="23">
        <f t="shared" si="7"/>
        <v>22046423.226375327</v>
      </c>
      <c r="H16" s="23">
        <f t="shared" si="7"/>
        <v>26172890.711033825</v>
      </c>
      <c r="I16" s="23">
        <f t="shared" si="7"/>
        <v>28061807.461092629</v>
      </c>
      <c r="J16" s="23">
        <f t="shared" ref="J16:K16" si="8">+J13+J14+J15</f>
        <v>31450606.873893514</v>
      </c>
      <c r="K16" s="23">
        <f t="shared" si="8"/>
        <v>30603748.565667726</v>
      </c>
      <c r="L16" s="23">
        <f t="shared" ref="L16:N16" si="9">+L13+L14+L15</f>
        <v>30403545.443469457</v>
      </c>
      <c r="M16" s="23">
        <f t="shared" si="9"/>
        <v>39497980.87661624</v>
      </c>
      <c r="N16" s="23">
        <f t="shared" si="9"/>
        <v>43378658.776358455</v>
      </c>
      <c r="O16" s="23">
        <f t="shared" ref="O16:P16" si="10">+O13+O14+O15</f>
        <v>46986152.156161137</v>
      </c>
      <c r="P16" s="23">
        <f t="shared" si="10"/>
        <v>51044778.129661575</v>
      </c>
      <c r="Q16" s="4"/>
      <c r="R16" s="4"/>
      <c r="S16" s="4"/>
      <c r="T16" s="3"/>
      <c r="U16" s="4"/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4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4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4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6"/>
      <c r="GH16" s="26"/>
      <c r="GI16" s="26"/>
    </row>
    <row r="17" spans="1:192" s="26" customFormat="1" ht="15.75" x14ac:dyDescent="0.25">
      <c r="A17" s="28" t="s">
        <v>35</v>
      </c>
      <c r="B17" s="33" t="s">
        <v>7</v>
      </c>
      <c r="C17" s="30">
        <f>C18+C19</f>
        <v>6044367.0367660839</v>
      </c>
      <c r="D17" s="30">
        <f t="shared" ref="D17:E17" si="11">D18+D19</f>
        <v>6965384.0200471953</v>
      </c>
      <c r="E17" s="30">
        <f t="shared" si="11"/>
        <v>8309100.2286999999</v>
      </c>
      <c r="F17" s="30">
        <f t="shared" ref="F17:I17" si="12">F18+F19</f>
        <v>9428260.4294999987</v>
      </c>
      <c r="G17" s="30">
        <f t="shared" si="12"/>
        <v>10070576.163000001</v>
      </c>
      <c r="H17" s="30">
        <f t="shared" si="12"/>
        <v>11588441.2664</v>
      </c>
      <c r="I17" s="30">
        <f t="shared" si="12"/>
        <v>13422370.364700001</v>
      </c>
      <c r="J17" s="30">
        <f t="shared" ref="J17:K17" si="13">J18+J19</f>
        <v>16071155.522399999</v>
      </c>
      <c r="K17" s="30">
        <f t="shared" si="13"/>
        <v>17644850.785151344</v>
      </c>
      <c r="L17" s="30">
        <f t="shared" ref="L17:N17" si="14">L18+L19</f>
        <v>14100601.299973477</v>
      </c>
      <c r="M17" s="30">
        <f t="shared" si="14"/>
        <v>17966731.831010908</v>
      </c>
      <c r="N17" s="30">
        <f t="shared" si="14"/>
        <v>22727642.411061946</v>
      </c>
      <c r="O17" s="30">
        <f t="shared" ref="O17:P17" si="15">O18+O19</f>
        <v>24642491.027558204</v>
      </c>
      <c r="P17" s="30">
        <f t="shared" si="15"/>
        <v>27201836.753436133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J17" s="27"/>
    </row>
    <row r="18" spans="1:192" ht="15.75" x14ac:dyDescent="0.25">
      <c r="A18" s="15">
        <v>6.1</v>
      </c>
      <c r="B18" s="16" t="s">
        <v>8</v>
      </c>
      <c r="C18" s="17">
        <v>4957018.5399098033</v>
      </c>
      <c r="D18" s="17">
        <v>5774920.5715124412</v>
      </c>
      <c r="E18" s="17">
        <v>7007815.9451000001</v>
      </c>
      <c r="F18" s="17">
        <v>8059322.4119999995</v>
      </c>
      <c r="G18" s="17">
        <v>8587355.7090000007</v>
      </c>
      <c r="H18" s="17">
        <v>9961713.8763999995</v>
      </c>
      <c r="I18" s="17">
        <v>11537129.571</v>
      </c>
      <c r="J18" s="17">
        <v>13829798.4024</v>
      </c>
      <c r="K18" s="17">
        <v>15290528.718410695</v>
      </c>
      <c r="L18" s="17">
        <v>12942230.834138853</v>
      </c>
      <c r="M18" s="17">
        <v>16216640.226110533</v>
      </c>
      <c r="N18" s="17">
        <v>19789474.426556919</v>
      </c>
      <c r="O18" s="17">
        <v>21529208.055963751</v>
      </c>
      <c r="P18" s="17">
        <v>23848945.301692054</v>
      </c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15">
        <v>6.2</v>
      </c>
      <c r="B19" s="16" t="s">
        <v>9</v>
      </c>
      <c r="C19" s="17">
        <v>1087348.4968562804</v>
      </c>
      <c r="D19" s="17">
        <v>1190463.4485347539</v>
      </c>
      <c r="E19" s="17">
        <v>1301284.2836</v>
      </c>
      <c r="F19" s="17">
        <v>1368938.0175000001</v>
      </c>
      <c r="G19" s="17">
        <v>1483220.4539999999</v>
      </c>
      <c r="H19" s="17">
        <v>1626727.39</v>
      </c>
      <c r="I19" s="17">
        <v>1885240.7937</v>
      </c>
      <c r="J19" s="17">
        <v>2241357.12</v>
      </c>
      <c r="K19" s="17">
        <v>2354322.0667406474</v>
      </c>
      <c r="L19" s="17">
        <v>1158370.4658346241</v>
      </c>
      <c r="M19" s="17">
        <v>1750091.6049003757</v>
      </c>
      <c r="N19" s="17">
        <v>2938167.984505028</v>
      </c>
      <c r="O19" s="17">
        <v>3113282.9715944519</v>
      </c>
      <c r="P19" s="17">
        <v>3352891.451744081</v>
      </c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26" customFormat="1" ht="30" x14ac:dyDescent="0.25">
      <c r="A20" s="34" t="s">
        <v>36</v>
      </c>
      <c r="B20" s="35" t="s">
        <v>10</v>
      </c>
      <c r="C20" s="30">
        <f>SUM(C21:C27)</f>
        <v>3350992.3441260257</v>
      </c>
      <c r="D20" s="30">
        <f t="shared" ref="D20:E20" si="16">SUM(D21:D27)</f>
        <v>3839458.5753084552</v>
      </c>
      <c r="E20" s="30">
        <f t="shared" si="16"/>
        <v>4405558.0347999996</v>
      </c>
      <c r="F20" s="30">
        <f t="shared" ref="F20:N20" si="17">SUM(F21:F27)</f>
        <v>5096542.9315000009</v>
      </c>
      <c r="G20" s="30">
        <f t="shared" si="17"/>
        <v>5917945.7398366835</v>
      </c>
      <c r="H20" s="30">
        <f t="shared" si="17"/>
        <v>6263531.7280000011</v>
      </c>
      <c r="I20" s="30">
        <f t="shared" si="17"/>
        <v>6413498.442862994</v>
      </c>
      <c r="J20" s="30">
        <f t="shared" si="17"/>
        <v>7041485.7141999993</v>
      </c>
      <c r="K20" s="30">
        <f t="shared" si="17"/>
        <v>8280264.502076068</v>
      </c>
      <c r="L20" s="30">
        <f t="shared" si="17"/>
        <v>6994142.3554171678</v>
      </c>
      <c r="M20" s="30">
        <f t="shared" si="17"/>
        <v>9587858.0876175165</v>
      </c>
      <c r="N20" s="30">
        <f t="shared" si="17"/>
        <v>10416648.771914929</v>
      </c>
      <c r="O20" s="30">
        <f t="shared" ref="O20:P20" si="18">SUM(O21:O27)</f>
        <v>11017765.911622941</v>
      </c>
      <c r="P20" s="30">
        <f t="shared" si="18"/>
        <v>11892774.485861212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J20" s="27"/>
    </row>
    <row r="21" spans="1:192" ht="15.75" x14ac:dyDescent="0.25">
      <c r="A21" s="15">
        <v>7.1</v>
      </c>
      <c r="B21" s="16" t="s">
        <v>11</v>
      </c>
      <c r="C21" s="17">
        <v>202128</v>
      </c>
      <c r="D21" s="17">
        <v>229644</v>
      </c>
      <c r="E21" s="17">
        <v>229276.00000000003</v>
      </c>
      <c r="F21" s="17">
        <v>266002</v>
      </c>
      <c r="G21" s="17">
        <v>344837</v>
      </c>
      <c r="H21" s="17">
        <v>269882</v>
      </c>
      <c r="I21" s="17">
        <v>302469</v>
      </c>
      <c r="J21" s="17">
        <v>310774</v>
      </c>
      <c r="K21" s="17">
        <v>435754</v>
      </c>
      <c r="L21" s="17">
        <v>462352.43382610998</v>
      </c>
      <c r="M21" s="17">
        <v>442887.71199146251</v>
      </c>
      <c r="N21" s="17">
        <v>534831.59848962957</v>
      </c>
      <c r="O21" s="17">
        <v>568108.16463570076</v>
      </c>
      <c r="P21" s="17">
        <v>617185.27263864258</v>
      </c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15">
        <v>7.2</v>
      </c>
      <c r="B22" s="16" t="s">
        <v>12</v>
      </c>
      <c r="C22" s="17">
        <v>2195730.8942791456</v>
      </c>
      <c r="D22" s="17">
        <v>2533015.144547327</v>
      </c>
      <c r="E22" s="17">
        <v>2870093.8111999999</v>
      </c>
      <c r="F22" s="17">
        <v>3272833.5783000002</v>
      </c>
      <c r="G22" s="17">
        <v>3710607.3905999996</v>
      </c>
      <c r="H22" s="17">
        <v>4057082.7384000001</v>
      </c>
      <c r="I22" s="17">
        <v>4273395.0335999997</v>
      </c>
      <c r="J22" s="17">
        <v>4705536.1482999995</v>
      </c>
      <c r="K22" s="17">
        <v>5515413.9729427164</v>
      </c>
      <c r="L22" s="17">
        <v>4232017.8565452471</v>
      </c>
      <c r="M22" s="17">
        <v>6435255.0076126149</v>
      </c>
      <c r="N22" s="17">
        <v>6689025.2181635555</v>
      </c>
      <c r="O22" s="17">
        <v>7112306.4711534269</v>
      </c>
      <c r="P22" s="17">
        <v>7669459.9922034107</v>
      </c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15">
        <v>7.3</v>
      </c>
      <c r="B23" s="16" t="s">
        <v>13</v>
      </c>
      <c r="C23" s="17">
        <v>26907.300038865826</v>
      </c>
      <c r="D23" s="17">
        <v>25330.620648386612</v>
      </c>
      <c r="E23" s="17">
        <v>22459.852800000001</v>
      </c>
      <c r="F23" s="17">
        <v>22870.719300000001</v>
      </c>
      <c r="G23" s="17">
        <v>20179.326000000001</v>
      </c>
      <c r="H23" s="17">
        <v>29659.305699999997</v>
      </c>
      <c r="I23" s="17">
        <v>31794.470399999998</v>
      </c>
      <c r="J23" s="17">
        <v>41625.461799999997</v>
      </c>
      <c r="K23" s="17">
        <v>37504.894564389018</v>
      </c>
      <c r="L23" s="17">
        <v>39402.566450835577</v>
      </c>
      <c r="M23" s="17">
        <v>56426.429885807192</v>
      </c>
      <c r="N23" s="17">
        <v>74103.714281938781</v>
      </c>
      <c r="O23" s="17">
        <v>80557.261085079022</v>
      </c>
      <c r="P23" s="17">
        <v>87642.790650726529</v>
      </c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15">
        <v>7.4</v>
      </c>
      <c r="B24" s="16" t="s">
        <v>14</v>
      </c>
      <c r="C24" s="17">
        <v>37364.944093684229</v>
      </c>
      <c r="D24" s="17">
        <v>67807.476079083615</v>
      </c>
      <c r="E24" s="17">
        <v>56344.7808</v>
      </c>
      <c r="F24" s="17">
        <v>100840.74</v>
      </c>
      <c r="G24" s="17">
        <v>189112.91459999999</v>
      </c>
      <c r="H24" s="17">
        <v>207611.1923</v>
      </c>
      <c r="I24" s="17">
        <v>215389.0816</v>
      </c>
      <c r="J24" s="17">
        <v>133721.4762</v>
      </c>
      <c r="K24" s="17">
        <v>232399.4065176904</v>
      </c>
      <c r="L24" s="17">
        <v>113578.7305190856</v>
      </c>
      <c r="M24" s="17">
        <v>105769.7349466812</v>
      </c>
      <c r="N24" s="17">
        <v>176284.62060545292</v>
      </c>
      <c r="O24" s="17">
        <v>145415.21376424973</v>
      </c>
      <c r="P24" s="17">
        <v>156991.61374417154</v>
      </c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15">
        <v>7.5</v>
      </c>
      <c r="B25" s="16" t="s">
        <v>15</v>
      </c>
      <c r="C25" s="17">
        <v>47206.400188240179</v>
      </c>
      <c r="D25" s="17">
        <v>39822.509858116289</v>
      </c>
      <c r="E25" s="17">
        <v>44644.7232</v>
      </c>
      <c r="F25" s="17">
        <v>56294.195100000004</v>
      </c>
      <c r="G25" s="17">
        <v>57874.346400000002</v>
      </c>
      <c r="H25" s="17">
        <v>99989.747300000003</v>
      </c>
      <c r="I25" s="17">
        <v>103673.2928</v>
      </c>
      <c r="J25" s="17">
        <v>121130.90079999999</v>
      </c>
      <c r="K25" s="17">
        <v>124114.17621863318</v>
      </c>
      <c r="L25" s="17">
        <v>75380.185802911306</v>
      </c>
      <c r="M25" s="17">
        <v>116560.53304462394</v>
      </c>
      <c r="N25" s="17">
        <v>141004.86869899824</v>
      </c>
      <c r="O25" s="17">
        <v>135680.45458641154</v>
      </c>
      <c r="P25" s="17">
        <v>148903.27737675229</v>
      </c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15">
        <v>7.6</v>
      </c>
      <c r="B26" s="16" t="s">
        <v>16</v>
      </c>
      <c r="C26" s="17">
        <v>27641.751288542026</v>
      </c>
      <c r="D26" s="17">
        <v>31513.551593630375</v>
      </c>
      <c r="E26" s="17">
        <v>34985.894999999997</v>
      </c>
      <c r="F26" s="17">
        <v>39058.583299999998</v>
      </c>
      <c r="G26" s="17">
        <v>41029.381999999998</v>
      </c>
      <c r="H26" s="17">
        <v>41745.150699999998</v>
      </c>
      <c r="I26" s="17">
        <v>43166.1535</v>
      </c>
      <c r="J26" s="17">
        <v>163022.80410000001</v>
      </c>
      <c r="K26" s="17">
        <v>159097.97828716738</v>
      </c>
      <c r="L26" s="17">
        <v>165453.64261509426</v>
      </c>
      <c r="M26" s="17">
        <v>184670.31538143419</v>
      </c>
      <c r="N26" s="17">
        <v>207575.10229161964</v>
      </c>
      <c r="O26" s="17">
        <v>220490.17058824067</v>
      </c>
      <c r="P26" s="17">
        <v>238043.2335745442</v>
      </c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0" x14ac:dyDescent="0.25">
      <c r="A27" s="15">
        <v>7.7</v>
      </c>
      <c r="B27" s="16" t="s">
        <v>17</v>
      </c>
      <c r="C27" s="17">
        <v>814013.05423754768</v>
      </c>
      <c r="D27" s="17">
        <v>912325.27258191095</v>
      </c>
      <c r="E27" s="17">
        <v>1147752.9717999999</v>
      </c>
      <c r="F27" s="17">
        <v>1338643.1155000001</v>
      </c>
      <c r="G27" s="17">
        <v>1554305.3802366836</v>
      </c>
      <c r="H27" s="17">
        <v>1557561.5936</v>
      </c>
      <c r="I27" s="17">
        <v>1443611.4109629942</v>
      </c>
      <c r="J27" s="17">
        <v>1565674.923</v>
      </c>
      <c r="K27" s="17">
        <v>1775980.0735454715</v>
      </c>
      <c r="L27" s="17">
        <v>1905956.9396578851</v>
      </c>
      <c r="M27" s="17">
        <v>2246288.3547548917</v>
      </c>
      <c r="N27" s="17">
        <v>2593823.6493837349</v>
      </c>
      <c r="O27" s="17">
        <v>2755208.1758098328</v>
      </c>
      <c r="P27" s="17">
        <v>2974548.3056729631</v>
      </c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18" t="s">
        <v>37</v>
      </c>
      <c r="B28" s="16" t="s">
        <v>18</v>
      </c>
      <c r="C28" s="17">
        <v>2879395.0239842599</v>
      </c>
      <c r="D28" s="17">
        <v>3211947.1178072821</v>
      </c>
      <c r="E28" s="17">
        <v>3610955.0000000005</v>
      </c>
      <c r="F28" s="17">
        <v>4193233</v>
      </c>
      <c r="G28" s="17">
        <v>4898877</v>
      </c>
      <c r="H28" s="17">
        <v>5188752</v>
      </c>
      <c r="I28" s="17">
        <v>5504902.939991382</v>
      </c>
      <c r="J28" s="17">
        <v>6153893</v>
      </c>
      <c r="K28" s="17">
        <v>6593328</v>
      </c>
      <c r="L28" s="17">
        <v>7368772.8144453457</v>
      </c>
      <c r="M28" s="17">
        <v>7934724.3104321137</v>
      </c>
      <c r="N28" s="17">
        <v>9872344.7569082566</v>
      </c>
      <c r="O28" s="17">
        <v>11069774.35817421</v>
      </c>
      <c r="P28" s="17">
        <v>11420580.193731278</v>
      </c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30" x14ac:dyDescent="0.25">
      <c r="A29" s="18" t="s">
        <v>38</v>
      </c>
      <c r="B29" s="16" t="s">
        <v>19</v>
      </c>
      <c r="C29" s="17">
        <v>14366758.833133951</v>
      </c>
      <c r="D29" s="17">
        <v>17695718.666964229</v>
      </c>
      <c r="E29" s="17">
        <v>21856109.522296157</v>
      </c>
      <c r="F29" s="17">
        <v>25454351.872183628</v>
      </c>
      <c r="G29" s="17">
        <v>30975063.044431761</v>
      </c>
      <c r="H29" s="17">
        <v>36900007.080436841</v>
      </c>
      <c r="I29" s="17">
        <v>39837372.784003302</v>
      </c>
      <c r="J29" s="17">
        <v>44855255.923031524</v>
      </c>
      <c r="K29" s="17">
        <v>51455612.893345989</v>
      </c>
      <c r="L29" s="17">
        <v>55357505.616292506</v>
      </c>
      <c r="M29" s="17">
        <v>65627146.253870755</v>
      </c>
      <c r="N29" s="17">
        <v>80540419.362101436</v>
      </c>
      <c r="O29" s="17">
        <v>91517923.095962882</v>
      </c>
      <c r="P29" s="17">
        <v>104424425.67932148</v>
      </c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18" t="s">
        <v>39</v>
      </c>
      <c r="B30" s="16" t="s">
        <v>54</v>
      </c>
      <c r="C30" s="17">
        <v>1488762.3019821355</v>
      </c>
      <c r="D30" s="17">
        <v>1785627.5100288293</v>
      </c>
      <c r="E30" s="17">
        <v>2060700</v>
      </c>
      <c r="F30" s="17">
        <v>2287211</v>
      </c>
      <c r="G30" s="17">
        <v>2444149</v>
      </c>
      <c r="H30" s="17">
        <v>2587516</v>
      </c>
      <c r="I30" s="17">
        <v>2787511.85</v>
      </c>
      <c r="J30" s="17">
        <v>3464840.18</v>
      </c>
      <c r="K30" s="17">
        <v>3809999</v>
      </c>
      <c r="L30" s="17">
        <v>3965890.1758793509</v>
      </c>
      <c r="M30" s="17">
        <v>4323250.2922447752</v>
      </c>
      <c r="N30" s="17">
        <v>4901984.8559460137</v>
      </c>
      <c r="O30" s="17">
        <v>5732408.793127086</v>
      </c>
      <c r="P30" s="17">
        <v>7116409.8408350255</v>
      </c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18" t="s">
        <v>40</v>
      </c>
      <c r="B31" s="16" t="s">
        <v>20</v>
      </c>
      <c r="C31" s="17">
        <v>3256051.0313242124</v>
      </c>
      <c r="D31" s="17">
        <v>3837408.1879813136</v>
      </c>
      <c r="E31" s="17">
        <v>4501577.7815838279</v>
      </c>
      <c r="F31" s="17">
        <v>5332212.5409064218</v>
      </c>
      <c r="G31" s="17">
        <v>6063233.1956232367</v>
      </c>
      <c r="H31" s="17">
        <v>7053130.049856307</v>
      </c>
      <c r="I31" s="17">
        <v>7984222.4056693437</v>
      </c>
      <c r="J31" s="17">
        <v>8688030.640948467</v>
      </c>
      <c r="K31" s="17">
        <v>10142621.173946828</v>
      </c>
      <c r="L31" s="17">
        <v>8656605.7596816998</v>
      </c>
      <c r="M31" s="17">
        <v>10581501.905066323</v>
      </c>
      <c r="N31" s="17">
        <v>12616241.289093008</v>
      </c>
      <c r="O31" s="17">
        <v>14191724.451879479</v>
      </c>
      <c r="P31" s="17">
        <v>17045992.000342533</v>
      </c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27" customFormat="1" ht="15.75" x14ac:dyDescent="0.25">
      <c r="A32" s="21"/>
      <c r="B32" s="22" t="s">
        <v>30</v>
      </c>
      <c r="C32" s="23">
        <f>C17+C20+C28+C29+C30+C31</f>
        <v>31386326.571316667</v>
      </c>
      <c r="D32" s="23">
        <f t="shared" ref="D32:E32" si="19">D17+D20+D28+D29+D30+D31</f>
        <v>37335544.078137301</v>
      </c>
      <c r="E32" s="23">
        <f t="shared" si="19"/>
        <v>44744000.567379989</v>
      </c>
      <c r="F32" s="23">
        <f t="shared" ref="F32:G32" si="20">F17+F20+F28+F29+F30+F31</f>
        <v>51791811.774090052</v>
      </c>
      <c r="G32" s="23">
        <f t="shared" si="20"/>
        <v>60369844.142891675</v>
      </c>
      <c r="H32" s="23">
        <f t="shared" ref="H32:I32" si="21">H17+H20+H28+H29+H30+H31</f>
        <v>69581378.124693155</v>
      </c>
      <c r="I32" s="23">
        <f t="shared" si="21"/>
        <v>75949878.78722702</v>
      </c>
      <c r="J32" s="23">
        <f t="shared" ref="J32" si="22">J17+J20+J28+J29+J30+J31</f>
        <v>86274660.980580002</v>
      </c>
      <c r="K32" s="23">
        <f t="shared" ref="K32:L32" si="23">K17+K20+K28+K29+K30+K31</f>
        <v>97926676.354520231</v>
      </c>
      <c r="L32" s="23">
        <f t="shared" si="23"/>
        <v>96443518.021689549</v>
      </c>
      <c r="M32" s="23">
        <f t="shared" ref="M32:N32" si="24">M17+M20+M28+M29+M30+M31</f>
        <v>116021212.68024239</v>
      </c>
      <c r="N32" s="23">
        <f t="shared" si="24"/>
        <v>141075281.4470256</v>
      </c>
      <c r="O32" s="23">
        <f t="shared" ref="O32:P32" si="25">O17+O20+O28+O29+O30+O31</f>
        <v>158172087.6383248</v>
      </c>
      <c r="P32" s="23">
        <f t="shared" si="25"/>
        <v>179102018.95352769</v>
      </c>
      <c r="Q32" s="4"/>
      <c r="R32" s="4"/>
      <c r="S32" s="4"/>
      <c r="T32" s="3"/>
      <c r="U32" s="4"/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6"/>
      <c r="GH32" s="26"/>
      <c r="GI32" s="26"/>
    </row>
    <row r="33" spans="1:192" s="26" customFormat="1" ht="15.75" x14ac:dyDescent="0.25">
      <c r="A33" s="28" t="s">
        <v>27</v>
      </c>
      <c r="B33" s="29" t="s">
        <v>41</v>
      </c>
      <c r="C33" s="30">
        <f t="shared" ref="C33:G33" si="26">C6+C11+C13+C14+C15+C17+C20+C28+C29+C30+C31</f>
        <v>55221364.447428539</v>
      </c>
      <c r="D33" s="30">
        <f t="shared" si="26"/>
        <v>63155790.081315935</v>
      </c>
      <c r="E33" s="30">
        <f t="shared" si="26"/>
        <v>74037344.226753101</v>
      </c>
      <c r="F33" s="30">
        <f t="shared" si="26"/>
        <v>83131592.57564649</v>
      </c>
      <c r="G33" s="30">
        <f t="shared" si="26"/>
        <v>94266872.353160143</v>
      </c>
      <c r="H33" s="30">
        <f t="shared" ref="H33:I33" si="27">H6+H11+H13+H14+H15+H17+H20+H28+H29+H30+H31</f>
        <v>108339441.91026506</v>
      </c>
      <c r="I33" s="30">
        <f t="shared" si="27"/>
        <v>119917182.41432011</v>
      </c>
      <c r="J33" s="30">
        <f t="shared" ref="J33" si="28">J6+J11+J13+J14+J15+J17+J20+J28+J29+J30+J31</f>
        <v>133871884.15602979</v>
      </c>
      <c r="K33" s="30">
        <f t="shared" ref="K33:L33" si="29">K6+K11+K13+K14+K15+K17+K20+K28+K29+K30+K31</f>
        <v>147683964.21106562</v>
      </c>
      <c r="L33" s="30">
        <f t="shared" si="29"/>
        <v>150802012.6839512</v>
      </c>
      <c r="M33" s="30">
        <f t="shared" ref="M33:N33" si="30">M6+M11+M13+M14+M15+M17+M20+M28+M29+M30+M31</f>
        <v>183899139.2101486</v>
      </c>
      <c r="N33" s="30">
        <f t="shared" si="30"/>
        <v>212698515.88663301</v>
      </c>
      <c r="O33" s="30">
        <f t="shared" ref="O33:P33" si="31">O6+O11+O13+O14+O15+O17+O20+O28+O29+O30+O31</f>
        <v>234748757.35432014</v>
      </c>
      <c r="P33" s="30">
        <f t="shared" si="31"/>
        <v>262875953.71505755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J33" s="27"/>
    </row>
    <row r="34" spans="1:192" ht="15.75" x14ac:dyDescent="0.25">
      <c r="A34" s="19" t="s">
        <v>43</v>
      </c>
      <c r="B34" s="20" t="s">
        <v>25</v>
      </c>
      <c r="C34" s="17">
        <v>7019220.6330578076</v>
      </c>
      <c r="D34" s="17">
        <v>8182953.1675144779</v>
      </c>
      <c r="E34" s="17">
        <v>9704436</v>
      </c>
      <c r="F34" s="17">
        <v>10745258</v>
      </c>
      <c r="G34" s="17">
        <v>12637616</v>
      </c>
      <c r="H34" s="17">
        <v>14646146.999999996</v>
      </c>
      <c r="I34" s="17">
        <v>15660744</v>
      </c>
      <c r="J34" s="17">
        <v>16561600</v>
      </c>
      <c r="K34" s="17">
        <v>16697457</v>
      </c>
      <c r="L34" s="17">
        <v>16869553</v>
      </c>
      <c r="M34" s="17">
        <v>20469399.370589823</v>
      </c>
      <c r="N34" s="17">
        <v>24717642.696020838</v>
      </c>
      <c r="O34" s="17">
        <v>28839759.799994901</v>
      </c>
      <c r="P34" s="17">
        <v>33526533.021163393</v>
      </c>
      <c r="Q34" s="4"/>
      <c r="R34" s="4"/>
      <c r="S34" s="4"/>
      <c r="T34" s="3"/>
      <c r="U34" s="4"/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</row>
    <row r="35" spans="1:192" ht="15.75" x14ac:dyDescent="0.25">
      <c r="A35" s="19" t="s">
        <v>44</v>
      </c>
      <c r="B35" s="20" t="s">
        <v>24</v>
      </c>
      <c r="C35" s="17">
        <v>1639604</v>
      </c>
      <c r="D35" s="17">
        <v>1797441</v>
      </c>
      <c r="E35" s="17">
        <v>2075165.0000000002</v>
      </c>
      <c r="F35" s="17">
        <v>2484548</v>
      </c>
      <c r="G35" s="17">
        <v>2387678</v>
      </c>
      <c r="H35" s="17">
        <v>2224817</v>
      </c>
      <c r="I35" s="17">
        <v>2253927</v>
      </c>
      <c r="J35" s="17">
        <v>2494341</v>
      </c>
      <c r="K35" s="17">
        <v>2798768</v>
      </c>
      <c r="L35" s="17">
        <v>3590419.9999999995</v>
      </c>
      <c r="M35" s="17">
        <v>5165608</v>
      </c>
      <c r="N35" s="17">
        <v>5446536</v>
      </c>
      <c r="O35" s="17">
        <v>7864382.573078935</v>
      </c>
      <c r="P35" s="17">
        <v>8012164.0381400315</v>
      </c>
      <c r="Q35" s="4"/>
      <c r="R35" s="4"/>
      <c r="S35" s="4"/>
      <c r="T35" s="3"/>
      <c r="U35" s="4"/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</row>
    <row r="36" spans="1:192" s="27" customFormat="1" ht="15.75" x14ac:dyDescent="0.25">
      <c r="A36" s="31" t="s">
        <v>45</v>
      </c>
      <c r="B36" s="32" t="s">
        <v>55</v>
      </c>
      <c r="C36" s="23">
        <f>C33+C34-C35</f>
        <v>60600981.08048635</v>
      </c>
      <c r="D36" s="23">
        <f t="shared" ref="D36:E36" si="32">D33+D34-D35</f>
        <v>69541302.248830408</v>
      </c>
      <c r="E36" s="23">
        <f t="shared" si="32"/>
        <v>81666615.226753101</v>
      </c>
      <c r="F36" s="23">
        <f t="shared" ref="F36:N36" si="33">F33+F34-F35</f>
        <v>91392302.57564649</v>
      </c>
      <c r="G36" s="23">
        <f t="shared" si="33"/>
        <v>104516810.35316014</v>
      </c>
      <c r="H36" s="23">
        <f t="shared" si="33"/>
        <v>120760771.91026506</v>
      </c>
      <c r="I36" s="23">
        <f t="shared" si="33"/>
        <v>133323999.41432011</v>
      </c>
      <c r="J36" s="23">
        <f t="shared" si="33"/>
        <v>147939143.15602979</v>
      </c>
      <c r="K36" s="23">
        <f t="shared" si="33"/>
        <v>161582653.21106562</v>
      </c>
      <c r="L36" s="23">
        <f t="shared" si="33"/>
        <v>164081145.6839512</v>
      </c>
      <c r="M36" s="23">
        <f t="shared" si="33"/>
        <v>199202930.58073843</v>
      </c>
      <c r="N36" s="23">
        <f t="shared" si="33"/>
        <v>231969622.58265385</v>
      </c>
      <c r="O36" s="23">
        <f t="shared" ref="O36:P36" si="34">O33+O34-O35</f>
        <v>255724134.58123612</v>
      </c>
      <c r="P36" s="23">
        <f t="shared" si="34"/>
        <v>288390322.6980809</v>
      </c>
      <c r="Q36" s="4"/>
      <c r="R36" s="4"/>
      <c r="S36" s="4"/>
      <c r="T36" s="3"/>
      <c r="U36" s="4"/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</row>
    <row r="37" spans="1:192" ht="15.75" x14ac:dyDescent="0.25">
      <c r="A37" s="19" t="s">
        <v>46</v>
      </c>
      <c r="B37" s="20" t="s">
        <v>42</v>
      </c>
      <c r="C37" s="17">
        <v>614820</v>
      </c>
      <c r="D37" s="17">
        <v>621510</v>
      </c>
      <c r="E37" s="17">
        <v>628270</v>
      </c>
      <c r="F37" s="17">
        <v>635100</v>
      </c>
      <c r="G37" s="17">
        <v>642010</v>
      </c>
      <c r="H37" s="17">
        <v>649000</v>
      </c>
      <c r="I37" s="17">
        <v>650570</v>
      </c>
      <c r="J37" s="17">
        <v>655800</v>
      </c>
      <c r="K37" s="17">
        <v>661040</v>
      </c>
      <c r="L37" s="17">
        <v>666270</v>
      </c>
      <c r="M37" s="17">
        <v>670920</v>
      </c>
      <c r="N37" s="17">
        <v>675150</v>
      </c>
      <c r="O37" s="17">
        <v>679390</v>
      </c>
      <c r="P37" s="17">
        <v>683620</v>
      </c>
      <c r="X37" s="1"/>
      <c r="Y37" s="1"/>
      <c r="Z37" s="1"/>
      <c r="AA37" s="1"/>
    </row>
    <row r="38" spans="1:192" s="27" customFormat="1" ht="15.75" x14ac:dyDescent="0.25">
      <c r="A38" s="31" t="s">
        <v>47</v>
      </c>
      <c r="B38" s="32" t="s">
        <v>58</v>
      </c>
      <c r="C38" s="23">
        <f>C36/C37*1000</f>
        <v>98567.029505361483</v>
      </c>
      <c r="D38" s="23">
        <f t="shared" ref="D38:E38" si="35">D36/D37*1000</f>
        <v>111890.88228480703</v>
      </c>
      <c r="E38" s="23">
        <f t="shared" si="35"/>
        <v>129986.49502085584</v>
      </c>
      <c r="F38" s="23">
        <f t="shared" ref="F38:N38" si="36">F36/F37*1000</f>
        <v>143902.22417831284</v>
      </c>
      <c r="G38" s="23">
        <f t="shared" si="36"/>
        <v>162796.23425360999</v>
      </c>
      <c r="H38" s="23">
        <f t="shared" si="36"/>
        <v>186072.06765834367</v>
      </c>
      <c r="I38" s="23">
        <f t="shared" si="36"/>
        <v>204934.13378163782</v>
      </c>
      <c r="J38" s="23">
        <f t="shared" si="36"/>
        <v>225585.76266549222</v>
      </c>
      <c r="K38" s="23">
        <f t="shared" si="36"/>
        <v>244437.0283357522</v>
      </c>
      <c r="L38" s="23">
        <f t="shared" si="36"/>
        <v>246268.24813356626</v>
      </c>
      <c r="M38" s="23">
        <f t="shared" si="36"/>
        <v>296910.10937330592</v>
      </c>
      <c r="N38" s="23">
        <f t="shared" si="36"/>
        <v>343582.3484894525</v>
      </c>
      <c r="O38" s="23">
        <f t="shared" ref="O38:P38" si="37">O36/O37*1000</f>
        <v>376402.55903271481</v>
      </c>
      <c r="P38" s="23">
        <f t="shared" si="37"/>
        <v>421857.64415622846</v>
      </c>
      <c r="Q38" s="2"/>
      <c r="R38" s="2"/>
      <c r="S38" s="2"/>
      <c r="T38" s="1"/>
      <c r="U38" s="2"/>
      <c r="V38" s="2"/>
      <c r="W38" s="3"/>
      <c r="X38" s="3"/>
      <c r="Y38" s="3"/>
      <c r="Z38" s="3"/>
      <c r="AA38" s="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CB38" s="25"/>
      <c r="CC38" s="25"/>
      <c r="CD38" s="25"/>
      <c r="CE38" s="25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</row>
    <row r="39" spans="1:192" x14ac:dyDescent="0.25">
      <c r="A39" s="2" t="s">
        <v>75</v>
      </c>
    </row>
    <row r="40" spans="1:192" x14ac:dyDescent="0.25">
      <c r="P40" s="2"/>
      <c r="R40" s="1"/>
      <c r="T40" s="2"/>
      <c r="U40" s="1"/>
      <c r="W40" s="2"/>
      <c r="DG40" s="1"/>
      <c r="DH40" s="1"/>
      <c r="DZ40" s="2"/>
      <c r="EA40" s="2"/>
    </row>
    <row r="41" spans="1:192" x14ac:dyDescent="0.25">
      <c r="P41" s="2"/>
      <c r="R41" s="1"/>
      <c r="T41" s="2"/>
      <c r="U41" s="1"/>
      <c r="W41" s="2"/>
      <c r="DG41" s="1"/>
      <c r="DH41" s="1"/>
      <c r="DZ41" s="2"/>
      <c r="EA41" s="2"/>
    </row>
    <row r="42" spans="1:192" x14ac:dyDescent="0.25">
      <c r="P42" s="2"/>
      <c r="R42" s="1"/>
      <c r="T42" s="2"/>
      <c r="U42" s="1"/>
      <c r="W42" s="2"/>
      <c r="DG42" s="1"/>
      <c r="DH42" s="1"/>
      <c r="DZ42" s="2"/>
      <c r="EA42" s="2"/>
    </row>
    <row r="43" spans="1:192" x14ac:dyDescent="0.25">
      <c r="P43" s="2"/>
      <c r="R43" s="1"/>
      <c r="T43" s="2"/>
      <c r="U43" s="1"/>
      <c r="W43" s="2"/>
      <c r="DG43" s="1"/>
      <c r="DH43" s="1"/>
      <c r="DZ43" s="2"/>
      <c r="EA43" s="2"/>
    </row>
    <row r="44" spans="1:192" x14ac:dyDescent="0.25">
      <c r="P44" s="2"/>
      <c r="R44" s="1"/>
      <c r="T44" s="2"/>
      <c r="U44" s="1"/>
      <c r="W44" s="2"/>
      <c r="DG44" s="1"/>
      <c r="DH44" s="1"/>
      <c r="DZ44" s="2"/>
      <c r="EA44" s="2"/>
    </row>
    <row r="45" spans="1:192" x14ac:dyDescent="0.25">
      <c r="P45" s="2"/>
      <c r="R45" s="1"/>
      <c r="T45" s="2"/>
      <c r="U45" s="1"/>
      <c r="W45" s="2"/>
      <c r="DG45" s="1"/>
      <c r="DH45" s="1"/>
      <c r="DZ45" s="2"/>
      <c r="EA45" s="2"/>
    </row>
    <row r="46" spans="1:192" x14ac:dyDescent="0.25">
      <c r="P46" s="2"/>
      <c r="R46" s="1"/>
      <c r="T46" s="2"/>
      <c r="U46" s="1"/>
      <c r="W46" s="2"/>
      <c r="DG46" s="1"/>
      <c r="DH46" s="1"/>
      <c r="DZ46" s="2"/>
      <c r="EA46" s="2"/>
    </row>
    <row r="47" spans="1:192" x14ac:dyDescent="0.25">
      <c r="P47" s="2"/>
      <c r="R47" s="1"/>
      <c r="T47" s="2"/>
      <c r="U47" s="1"/>
      <c r="W47" s="2"/>
      <c r="DG47" s="1"/>
      <c r="DH47" s="1"/>
      <c r="DZ47" s="2"/>
      <c r="EA47" s="2"/>
    </row>
    <row r="48" spans="1:192" x14ac:dyDescent="0.25">
      <c r="P48" s="2"/>
      <c r="R48" s="1"/>
      <c r="T48" s="2"/>
      <c r="U48" s="1"/>
      <c r="W48" s="2"/>
      <c r="DG48" s="1"/>
      <c r="DH48" s="1"/>
      <c r="DZ48" s="2"/>
      <c r="EA48" s="2"/>
    </row>
    <row r="49" spans="16:131" x14ac:dyDescent="0.25">
      <c r="P49" s="2"/>
      <c r="R49" s="1"/>
      <c r="T49" s="2"/>
      <c r="U49" s="1"/>
      <c r="W49" s="2"/>
      <c r="DG49" s="1"/>
      <c r="DH49" s="1"/>
      <c r="DZ49" s="2"/>
      <c r="EA49" s="2"/>
    </row>
    <row r="50" spans="16:131" x14ac:dyDescent="0.25">
      <c r="P50" s="2"/>
      <c r="R50" s="1"/>
      <c r="T50" s="2"/>
      <c r="U50" s="1"/>
      <c r="W50" s="2"/>
      <c r="DG50" s="1"/>
      <c r="DH50" s="1"/>
      <c r="DZ50" s="2"/>
      <c r="EA50" s="2"/>
    </row>
    <row r="51" spans="16:131" x14ac:dyDescent="0.25">
      <c r="P51" s="2"/>
      <c r="R51" s="1"/>
      <c r="T51" s="2"/>
      <c r="U51" s="1"/>
      <c r="W51" s="2"/>
      <c r="DG51" s="1"/>
      <c r="DH51" s="1"/>
      <c r="DZ51" s="2"/>
      <c r="EA51" s="2"/>
    </row>
    <row r="52" spans="16:131" x14ac:dyDescent="0.25">
      <c r="P52" s="2"/>
      <c r="R52" s="1"/>
      <c r="T52" s="2"/>
      <c r="U52" s="1"/>
      <c r="W52" s="2"/>
      <c r="DG52" s="1"/>
      <c r="DH52" s="1"/>
      <c r="DZ52" s="2"/>
      <c r="EA52" s="2"/>
    </row>
    <row r="53" spans="16:131" x14ac:dyDescent="0.25">
      <c r="P53" s="2"/>
      <c r="R53" s="1"/>
      <c r="T53" s="2"/>
      <c r="U53" s="1"/>
      <c r="W53" s="2"/>
      <c r="DG53" s="1"/>
      <c r="DH53" s="1"/>
      <c r="DZ53" s="2"/>
      <c r="EA53" s="2"/>
    </row>
    <row r="54" spans="16:131" x14ac:dyDescent="0.25">
      <c r="P54" s="2"/>
      <c r="R54" s="1"/>
      <c r="T54" s="2"/>
      <c r="U54" s="1"/>
      <c r="W54" s="2"/>
      <c r="DG54" s="1"/>
      <c r="DH54" s="1"/>
      <c r="DZ54" s="2"/>
      <c r="EA54" s="2"/>
    </row>
    <row r="55" spans="16:131" x14ac:dyDescent="0.25">
      <c r="P55" s="2"/>
      <c r="R55" s="1"/>
      <c r="T55" s="2"/>
      <c r="U55" s="1"/>
      <c r="W55" s="2"/>
      <c r="DG55" s="1"/>
      <c r="DH55" s="1"/>
      <c r="DZ55" s="2"/>
      <c r="EA55" s="2"/>
    </row>
    <row r="56" spans="16:131" x14ac:dyDescent="0.25">
      <c r="P56" s="2"/>
      <c r="R56" s="1"/>
      <c r="T56" s="2"/>
      <c r="U56" s="1"/>
      <c r="W56" s="2"/>
      <c r="DG56" s="1"/>
      <c r="DH56" s="1"/>
      <c r="DZ56" s="2"/>
      <c r="EA56" s="2"/>
    </row>
    <row r="57" spans="16:131" x14ac:dyDescent="0.25">
      <c r="P57" s="2"/>
      <c r="R57" s="1"/>
      <c r="T57" s="2"/>
      <c r="U57" s="1"/>
      <c r="W57" s="2"/>
      <c r="DG57" s="1"/>
      <c r="DH57" s="1"/>
      <c r="DZ57" s="2"/>
      <c r="EA57" s="2"/>
    </row>
    <row r="58" spans="16:131" x14ac:dyDescent="0.25">
      <c r="P58" s="2"/>
      <c r="R58" s="1"/>
      <c r="T58" s="2"/>
      <c r="U58" s="1"/>
      <c r="W58" s="2"/>
      <c r="DG58" s="1"/>
      <c r="DH58" s="1"/>
      <c r="DZ58" s="2"/>
      <c r="EA58" s="2"/>
    </row>
    <row r="59" spans="16:131" x14ac:dyDescent="0.25">
      <c r="P59" s="2"/>
      <c r="R59" s="1"/>
      <c r="T59" s="2"/>
      <c r="U59" s="1"/>
      <c r="W59" s="2"/>
      <c r="DG59" s="1"/>
      <c r="DH59" s="1"/>
      <c r="DZ59" s="2"/>
      <c r="EA59" s="2"/>
    </row>
    <row r="60" spans="16:131" x14ac:dyDescent="0.25">
      <c r="P60" s="2"/>
      <c r="R60" s="1"/>
      <c r="T60" s="2"/>
      <c r="U60" s="1"/>
      <c r="W60" s="2"/>
      <c r="DG60" s="1"/>
      <c r="DH60" s="1"/>
      <c r="DZ60" s="2"/>
      <c r="EA60" s="2"/>
    </row>
    <row r="61" spans="16:131" x14ac:dyDescent="0.25">
      <c r="P61" s="2"/>
      <c r="R61" s="1"/>
      <c r="T61" s="2"/>
      <c r="U61" s="1"/>
      <c r="W61" s="2"/>
      <c r="DG61" s="1"/>
      <c r="DH61" s="1"/>
      <c r="DZ61" s="2"/>
      <c r="EA61" s="2"/>
    </row>
    <row r="62" spans="16:131" x14ac:dyDescent="0.25">
      <c r="P62" s="2"/>
      <c r="R62" s="1"/>
      <c r="T62" s="2"/>
      <c r="U62" s="1"/>
      <c r="W62" s="2"/>
      <c r="DG62" s="1"/>
      <c r="DH62" s="1"/>
      <c r="DZ62" s="2"/>
      <c r="EA62" s="2"/>
    </row>
    <row r="63" spans="16:131" x14ac:dyDescent="0.25">
      <c r="P63" s="2"/>
      <c r="R63" s="1"/>
      <c r="T63" s="2"/>
      <c r="U63" s="1"/>
      <c r="W63" s="2"/>
      <c r="DG63" s="1"/>
      <c r="DH63" s="1"/>
      <c r="DZ63" s="2"/>
      <c r="EA63" s="2"/>
    </row>
    <row r="64" spans="16:131" x14ac:dyDescent="0.25">
      <c r="P64" s="2"/>
      <c r="R64" s="1"/>
      <c r="T64" s="2"/>
      <c r="U64" s="1"/>
      <c r="W64" s="2"/>
      <c r="DG64" s="1"/>
      <c r="DH64" s="1"/>
      <c r="DZ64" s="2"/>
      <c r="EA64" s="2"/>
    </row>
    <row r="65" spans="16:131" x14ac:dyDescent="0.25">
      <c r="P65" s="2"/>
      <c r="R65" s="1"/>
      <c r="T65" s="2"/>
      <c r="U65" s="1"/>
      <c r="W65" s="2"/>
      <c r="DG65" s="1"/>
      <c r="DH65" s="1"/>
      <c r="DZ65" s="2"/>
      <c r="EA65" s="2"/>
    </row>
    <row r="66" spans="16:131" x14ac:dyDescent="0.25">
      <c r="P66" s="2"/>
      <c r="R66" s="1"/>
      <c r="T66" s="2"/>
      <c r="U66" s="1"/>
      <c r="W66" s="2"/>
      <c r="DG66" s="1"/>
      <c r="DH66" s="1"/>
      <c r="DZ66" s="2"/>
      <c r="EA66" s="2"/>
    </row>
    <row r="67" spans="16:131" x14ac:dyDescent="0.25">
      <c r="P67" s="2"/>
      <c r="R67" s="1"/>
      <c r="T67" s="2"/>
      <c r="U67" s="1"/>
      <c r="W67" s="2"/>
      <c r="DG67" s="1"/>
      <c r="DH67" s="1"/>
      <c r="DZ67" s="2"/>
      <c r="EA67" s="2"/>
    </row>
    <row r="68" spans="16:131" x14ac:dyDescent="0.25">
      <c r="P68" s="2"/>
      <c r="R68" s="1"/>
      <c r="T68" s="2"/>
      <c r="U68" s="1"/>
      <c r="W68" s="2"/>
      <c r="DG68" s="1"/>
      <c r="DH68" s="1"/>
      <c r="DZ68" s="2"/>
      <c r="EA68" s="2"/>
    </row>
    <row r="69" spans="16:131" x14ac:dyDescent="0.25">
      <c r="P69" s="2"/>
      <c r="R69" s="1"/>
      <c r="T69" s="2"/>
      <c r="U69" s="1"/>
      <c r="W69" s="2"/>
      <c r="DG69" s="1"/>
      <c r="DH69" s="1"/>
      <c r="DZ69" s="2"/>
      <c r="EA69" s="2"/>
    </row>
    <row r="70" spans="16:131" x14ac:dyDescent="0.25">
      <c r="P70" s="2"/>
      <c r="R70" s="1"/>
      <c r="T70" s="2"/>
      <c r="U70" s="1"/>
      <c r="W70" s="2"/>
      <c r="DG70" s="1"/>
      <c r="DH70" s="1"/>
      <c r="DZ70" s="2"/>
      <c r="EA70" s="2"/>
    </row>
    <row r="71" spans="16:131" x14ac:dyDescent="0.25">
      <c r="P71" s="2"/>
      <c r="R71" s="1"/>
      <c r="T71" s="2"/>
      <c r="U71" s="1"/>
      <c r="W71" s="2"/>
      <c r="DG71" s="1"/>
      <c r="DH71" s="1"/>
      <c r="DZ71" s="2"/>
      <c r="EA71" s="2"/>
    </row>
    <row r="72" spans="16:131" x14ac:dyDescent="0.25">
      <c r="P72" s="2"/>
      <c r="R72" s="1"/>
      <c r="T72" s="2"/>
      <c r="U72" s="1"/>
      <c r="W72" s="2"/>
      <c r="DG72" s="1"/>
      <c r="DH72" s="1"/>
      <c r="DZ72" s="2"/>
      <c r="EA72" s="2"/>
    </row>
    <row r="73" spans="16:131" x14ac:dyDescent="0.25">
      <c r="P73" s="2"/>
      <c r="R73" s="1"/>
      <c r="T73" s="2"/>
      <c r="U73" s="1"/>
      <c r="W73" s="2"/>
      <c r="DG73" s="1"/>
      <c r="DH73" s="1"/>
      <c r="DZ73" s="2"/>
      <c r="EA73" s="2"/>
    </row>
    <row r="74" spans="16:131" x14ac:dyDescent="0.25">
      <c r="P74" s="2"/>
      <c r="R74" s="1"/>
      <c r="T74" s="2"/>
      <c r="U74" s="1"/>
      <c r="W74" s="2"/>
      <c r="DG74" s="1"/>
      <c r="DH74" s="1"/>
      <c r="DZ74" s="2"/>
      <c r="EA74" s="2"/>
    </row>
    <row r="75" spans="16:131" x14ac:dyDescent="0.25">
      <c r="P75" s="2"/>
      <c r="R75" s="1"/>
      <c r="T75" s="2"/>
      <c r="U75" s="1"/>
      <c r="W75" s="2"/>
      <c r="DG75" s="1"/>
      <c r="DH75" s="1"/>
      <c r="DZ75" s="2"/>
      <c r="EA75" s="2"/>
    </row>
    <row r="76" spans="16:131" x14ac:dyDescent="0.25">
      <c r="P76" s="2"/>
      <c r="R76" s="1"/>
      <c r="T76" s="2"/>
      <c r="U76" s="1"/>
      <c r="W76" s="2"/>
      <c r="DG76" s="1"/>
      <c r="DH76" s="1"/>
      <c r="DZ76" s="2"/>
      <c r="EA76" s="2"/>
    </row>
    <row r="77" spans="16:131" x14ac:dyDescent="0.25">
      <c r="P77" s="2"/>
      <c r="R77" s="1"/>
      <c r="T77" s="2"/>
      <c r="U77" s="1"/>
      <c r="W77" s="2"/>
      <c r="DG77" s="1"/>
      <c r="DH77" s="1"/>
      <c r="DZ77" s="2"/>
      <c r="EA77" s="2"/>
    </row>
    <row r="78" spans="16:131" x14ac:dyDescent="0.25">
      <c r="P78" s="2"/>
      <c r="R78" s="1"/>
      <c r="T78" s="2"/>
      <c r="U78" s="1"/>
      <c r="W78" s="2"/>
      <c r="DG78" s="1"/>
      <c r="DH78" s="1"/>
      <c r="DZ78" s="2"/>
      <c r="EA78" s="2"/>
    </row>
    <row r="79" spans="16:131" x14ac:dyDescent="0.25">
      <c r="P79" s="2"/>
      <c r="R79" s="1"/>
      <c r="T79" s="2"/>
      <c r="U79" s="1"/>
      <c r="W79" s="2"/>
      <c r="DG79" s="1"/>
      <c r="DH79" s="1"/>
      <c r="DZ79" s="2"/>
      <c r="EA79" s="2"/>
    </row>
    <row r="80" spans="16:131" x14ac:dyDescent="0.25">
      <c r="P80" s="2"/>
      <c r="R80" s="1"/>
      <c r="T80" s="2"/>
      <c r="U80" s="1"/>
      <c r="W80" s="2"/>
      <c r="DG80" s="1"/>
      <c r="DH80" s="1"/>
      <c r="DZ80" s="2"/>
      <c r="EA80" s="2"/>
    </row>
    <row r="81" spans="16:131" x14ac:dyDescent="0.25">
      <c r="P81" s="2"/>
      <c r="R81" s="1"/>
      <c r="T81" s="2"/>
      <c r="U81" s="1"/>
      <c r="W81" s="2"/>
      <c r="DG81" s="1"/>
      <c r="DH81" s="1"/>
      <c r="DZ81" s="2"/>
      <c r="EA81" s="2"/>
    </row>
    <row r="82" spans="16:131" x14ac:dyDescent="0.25">
      <c r="P82" s="2"/>
      <c r="R82" s="1"/>
      <c r="T82" s="2"/>
      <c r="U82" s="1"/>
      <c r="W82" s="2"/>
      <c r="DG82" s="1"/>
      <c r="DH82" s="1"/>
      <c r="DZ82" s="2"/>
      <c r="EA82" s="2"/>
    </row>
    <row r="83" spans="16:131" x14ac:dyDescent="0.25">
      <c r="P83" s="2"/>
      <c r="R83" s="1"/>
      <c r="T83" s="2"/>
      <c r="U83" s="1"/>
      <c r="W83" s="2"/>
      <c r="DG83" s="1"/>
      <c r="DH83" s="1"/>
      <c r="DZ83" s="2"/>
      <c r="EA83" s="2"/>
    </row>
    <row r="84" spans="16:131" x14ac:dyDescent="0.25">
      <c r="P84" s="2"/>
      <c r="R84" s="1"/>
      <c r="T84" s="2"/>
      <c r="U84" s="1"/>
      <c r="W84" s="2"/>
      <c r="DG84" s="1"/>
      <c r="DH84" s="1"/>
      <c r="DZ84" s="2"/>
      <c r="EA84" s="2"/>
    </row>
    <row r="85" spans="16:131" x14ac:dyDescent="0.25">
      <c r="P85" s="2"/>
      <c r="R85" s="1"/>
      <c r="T85" s="2"/>
      <c r="U85" s="1"/>
      <c r="W85" s="2"/>
      <c r="DG85" s="1"/>
      <c r="DH85" s="1"/>
      <c r="DZ85" s="2"/>
      <c r="EA85" s="2"/>
    </row>
    <row r="86" spans="16:131" x14ac:dyDescent="0.25">
      <c r="P86" s="2"/>
      <c r="R86" s="1"/>
      <c r="T86" s="2"/>
      <c r="U86" s="1"/>
      <c r="W86" s="2"/>
      <c r="DG86" s="1"/>
      <c r="DH86" s="1"/>
      <c r="DZ86" s="2"/>
      <c r="EA86" s="2"/>
    </row>
    <row r="87" spans="16:131" x14ac:dyDescent="0.25">
      <c r="P87" s="2"/>
      <c r="R87" s="1"/>
      <c r="T87" s="2"/>
      <c r="U87" s="1"/>
      <c r="W87" s="2"/>
      <c r="DG87" s="1"/>
      <c r="DH87" s="1"/>
      <c r="DZ87" s="2"/>
      <c r="EA87" s="2"/>
    </row>
    <row r="88" spans="16:131" x14ac:dyDescent="0.25">
      <c r="P88" s="2"/>
      <c r="R88" s="1"/>
      <c r="T88" s="2"/>
      <c r="U88" s="1"/>
      <c r="W88" s="2"/>
      <c r="DG88" s="1"/>
      <c r="DH88" s="1"/>
      <c r="DZ88" s="2"/>
      <c r="EA88" s="2"/>
    </row>
    <row r="89" spans="16:131" x14ac:dyDescent="0.25">
      <c r="P89" s="2"/>
      <c r="R89" s="1"/>
      <c r="T89" s="2"/>
      <c r="U89" s="1"/>
      <c r="W89" s="2"/>
      <c r="DG89" s="1"/>
      <c r="DH89" s="1"/>
      <c r="DZ89" s="2"/>
      <c r="EA89" s="2"/>
    </row>
    <row r="90" spans="16:131" x14ac:dyDescent="0.25">
      <c r="P90" s="2"/>
      <c r="R90" s="1"/>
      <c r="T90" s="2"/>
      <c r="U90" s="1"/>
      <c r="W90" s="2"/>
      <c r="DG90" s="1"/>
      <c r="DH90" s="1"/>
      <c r="DZ90" s="2"/>
      <c r="EA90" s="2"/>
    </row>
    <row r="91" spans="16:131" x14ac:dyDescent="0.25">
      <c r="P91" s="2"/>
      <c r="R91" s="1"/>
      <c r="T91" s="2"/>
      <c r="U91" s="1"/>
      <c r="W91" s="2"/>
      <c r="DG91" s="1"/>
      <c r="DH91" s="1"/>
      <c r="DZ91" s="2"/>
      <c r="EA91" s="2"/>
    </row>
    <row r="92" spans="16:131" x14ac:dyDescent="0.25">
      <c r="P92" s="2"/>
      <c r="R92" s="1"/>
      <c r="T92" s="2"/>
      <c r="U92" s="1"/>
      <c r="W92" s="2"/>
      <c r="DG92" s="1"/>
      <c r="DH92" s="1"/>
      <c r="DZ92" s="2"/>
      <c r="EA92" s="2"/>
    </row>
    <row r="93" spans="16:131" x14ac:dyDescent="0.25">
      <c r="P93" s="2"/>
      <c r="R93" s="1"/>
      <c r="T93" s="2"/>
      <c r="U93" s="1"/>
      <c r="W93" s="2"/>
      <c r="DG93" s="1"/>
      <c r="DH93" s="1"/>
      <c r="DZ93" s="2"/>
      <c r="EA93" s="2"/>
    </row>
    <row r="94" spans="16:131" x14ac:dyDescent="0.25">
      <c r="P94" s="2"/>
      <c r="R94" s="1"/>
      <c r="T94" s="2"/>
      <c r="U94" s="1"/>
      <c r="W94" s="2"/>
      <c r="DG94" s="1"/>
      <c r="DH94" s="1"/>
      <c r="DZ94" s="2"/>
      <c r="EA94" s="2"/>
    </row>
    <row r="95" spans="16:131" x14ac:dyDescent="0.25">
      <c r="P95" s="2"/>
      <c r="R95" s="1"/>
      <c r="T95" s="2"/>
      <c r="U95" s="1"/>
      <c r="W95" s="2"/>
      <c r="DG95" s="1"/>
      <c r="DH95" s="1"/>
      <c r="DZ95" s="2"/>
      <c r="EA95" s="2"/>
    </row>
    <row r="96" spans="16:131" x14ac:dyDescent="0.25">
      <c r="P96" s="2"/>
      <c r="R96" s="1"/>
      <c r="T96" s="2"/>
      <c r="U96" s="1"/>
      <c r="W96" s="2"/>
      <c r="DG96" s="1"/>
      <c r="DH96" s="1"/>
      <c r="DZ96" s="2"/>
      <c r="EA96" s="2"/>
    </row>
    <row r="97" spans="16:131" x14ac:dyDescent="0.25">
      <c r="P97" s="2"/>
      <c r="R97" s="1"/>
      <c r="T97" s="2"/>
      <c r="U97" s="1"/>
      <c r="W97" s="2"/>
      <c r="DG97" s="1"/>
      <c r="DH97" s="1"/>
      <c r="DZ97" s="2"/>
      <c r="EA97" s="2"/>
    </row>
    <row r="98" spans="16:131" x14ac:dyDescent="0.25">
      <c r="P98" s="2"/>
      <c r="R98" s="1"/>
      <c r="T98" s="2"/>
      <c r="U98" s="1"/>
      <c r="W98" s="2"/>
      <c r="DG98" s="1"/>
      <c r="DH98" s="1"/>
      <c r="DZ98" s="2"/>
      <c r="EA98" s="2"/>
    </row>
    <row r="99" spans="16:131" x14ac:dyDescent="0.25">
      <c r="P99" s="2"/>
      <c r="R99" s="1"/>
      <c r="T99" s="2"/>
      <c r="U99" s="1"/>
      <c r="W99" s="2"/>
      <c r="DG99" s="1"/>
      <c r="DH99" s="1"/>
      <c r="DZ99" s="2"/>
      <c r="EA99" s="2"/>
    </row>
    <row r="100" spans="16:131" x14ac:dyDescent="0.25">
      <c r="P100" s="2"/>
      <c r="R100" s="1"/>
      <c r="T100" s="2"/>
      <c r="U100" s="1"/>
      <c r="W100" s="2"/>
      <c r="DG100" s="1"/>
      <c r="DH100" s="1"/>
      <c r="DZ100" s="2"/>
      <c r="EA100" s="2"/>
    </row>
    <row r="101" spans="16:131" x14ac:dyDescent="0.25">
      <c r="P101" s="2"/>
      <c r="R101" s="1"/>
      <c r="T101" s="2"/>
      <c r="U101" s="1"/>
      <c r="W101" s="2"/>
      <c r="DG101" s="1"/>
      <c r="DH101" s="1"/>
      <c r="DZ101" s="2"/>
      <c r="EA101" s="2"/>
    </row>
    <row r="102" spans="16:131" x14ac:dyDescent="0.25">
      <c r="P102" s="2"/>
      <c r="R102" s="1"/>
      <c r="T102" s="2"/>
      <c r="U102" s="1"/>
      <c r="W102" s="2"/>
      <c r="DG102" s="1"/>
      <c r="DH102" s="1"/>
      <c r="DZ102" s="2"/>
      <c r="EA102" s="2"/>
    </row>
    <row r="103" spans="16:131" x14ac:dyDescent="0.25">
      <c r="P103" s="2"/>
      <c r="R103" s="1"/>
      <c r="T103" s="2"/>
      <c r="U103" s="1"/>
      <c r="W103" s="2"/>
      <c r="DG103" s="1"/>
      <c r="DH103" s="1"/>
      <c r="DZ103" s="2"/>
      <c r="EA103" s="2"/>
    </row>
    <row r="104" spans="16:131" x14ac:dyDescent="0.25">
      <c r="P104" s="2"/>
      <c r="R104" s="1"/>
      <c r="T104" s="2"/>
      <c r="U104" s="1"/>
      <c r="W104" s="2"/>
      <c r="DG104" s="1"/>
      <c r="DH104" s="1"/>
      <c r="DZ104" s="2"/>
      <c r="EA104" s="2"/>
    </row>
    <row r="105" spans="16:131" x14ac:dyDescent="0.25">
      <c r="P105" s="2"/>
      <c r="R105" s="1"/>
      <c r="T105" s="2"/>
      <c r="U105" s="1"/>
      <c r="W105" s="2"/>
      <c r="DG105" s="1"/>
      <c r="DH105" s="1"/>
      <c r="DZ105" s="2"/>
      <c r="EA105" s="2"/>
    </row>
    <row r="106" spans="16:131" x14ac:dyDescent="0.25">
      <c r="P106" s="2"/>
      <c r="R106" s="1"/>
      <c r="T106" s="2"/>
      <c r="U106" s="1"/>
      <c r="W106" s="2"/>
      <c r="DG106" s="1"/>
      <c r="DH106" s="1"/>
      <c r="DZ106" s="2"/>
      <c r="EA106" s="2"/>
    </row>
    <row r="107" spans="16:131" x14ac:dyDescent="0.25">
      <c r="P107" s="2"/>
      <c r="R107" s="1"/>
      <c r="T107" s="2"/>
      <c r="U107" s="1"/>
      <c r="W107" s="2"/>
      <c r="DG107" s="1"/>
      <c r="DH107" s="1"/>
      <c r="DZ107" s="2"/>
      <c r="EA107" s="2"/>
    </row>
    <row r="108" spans="16:131" x14ac:dyDescent="0.25">
      <c r="P108" s="2"/>
      <c r="R108" s="1"/>
      <c r="T108" s="2"/>
      <c r="U108" s="1"/>
      <c r="W108" s="2"/>
      <c r="DG108" s="1"/>
      <c r="DH108" s="1"/>
      <c r="DZ108" s="2"/>
      <c r="EA108" s="2"/>
    </row>
    <row r="109" spans="16:131" x14ac:dyDescent="0.25">
      <c r="P109" s="2"/>
      <c r="R109" s="1"/>
      <c r="T109" s="2"/>
      <c r="U109" s="1"/>
      <c r="W109" s="2"/>
      <c r="DG109" s="1"/>
      <c r="DH109" s="1"/>
      <c r="DZ109" s="2"/>
      <c r="EA109" s="2"/>
    </row>
    <row r="110" spans="16:131" x14ac:dyDescent="0.25">
      <c r="P110" s="2"/>
      <c r="R110" s="1"/>
      <c r="T110" s="2"/>
      <c r="U110" s="1"/>
      <c r="W110" s="2"/>
      <c r="DG110" s="1"/>
      <c r="DH110" s="1"/>
      <c r="DZ110" s="2"/>
      <c r="EA110" s="2"/>
    </row>
    <row r="111" spans="16:131" x14ac:dyDescent="0.25">
      <c r="P111" s="2"/>
      <c r="R111" s="1"/>
      <c r="T111" s="2"/>
      <c r="U111" s="1"/>
      <c r="W111" s="2"/>
      <c r="DG111" s="1"/>
      <c r="DH111" s="1"/>
      <c r="DZ111" s="2"/>
      <c r="EA111" s="2"/>
    </row>
    <row r="112" spans="16:131" x14ac:dyDescent="0.25">
      <c r="P112" s="2"/>
      <c r="R112" s="1"/>
      <c r="T112" s="2"/>
      <c r="U112" s="1"/>
      <c r="W112" s="2"/>
      <c r="DG112" s="1"/>
      <c r="DH112" s="1"/>
      <c r="DZ112" s="2"/>
      <c r="EA112" s="2"/>
    </row>
    <row r="113" spans="16:131" x14ac:dyDescent="0.25">
      <c r="P113" s="2"/>
      <c r="R113" s="1"/>
      <c r="T113" s="2"/>
      <c r="U113" s="1"/>
      <c r="W113" s="2"/>
      <c r="DG113" s="1"/>
      <c r="DH113" s="1"/>
      <c r="DZ113" s="2"/>
      <c r="EA113" s="2"/>
    </row>
    <row r="114" spans="16:131" x14ac:dyDescent="0.25">
      <c r="P114" s="2"/>
      <c r="R114" s="1"/>
      <c r="T114" s="2"/>
      <c r="U114" s="1"/>
      <c r="W114" s="2"/>
      <c r="DG114" s="1"/>
      <c r="DH114" s="1"/>
      <c r="DZ114" s="2"/>
      <c r="EA114" s="2"/>
    </row>
    <row r="115" spans="16:131" x14ac:dyDescent="0.25">
      <c r="P115" s="2"/>
      <c r="R115" s="1"/>
      <c r="T115" s="2"/>
      <c r="U115" s="1"/>
      <c r="W115" s="2"/>
      <c r="DG115" s="1"/>
      <c r="DH115" s="1"/>
      <c r="DZ115" s="2"/>
      <c r="EA115" s="2"/>
    </row>
    <row r="116" spans="16:131" x14ac:dyDescent="0.25">
      <c r="P116" s="2"/>
      <c r="R116" s="1"/>
      <c r="T116" s="2"/>
      <c r="U116" s="1"/>
      <c r="W116" s="2"/>
      <c r="DG116" s="1"/>
      <c r="DH116" s="1"/>
      <c r="DZ116" s="2"/>
      <c r="EA116" s="2"/>
    </row>
    <row r="117" spans="16:131" x14ac:dyDescent="0.25">
      <c r="P117" s="2"/>
      <c r="R117" s="1"/>
      <c r="T117" s="2"/>
      <c r="U117" s="1"/>
      <c r="W117" s="2"/>
      <c r="DG117" s="1"/>
      <c r="DH117" s="1"/>
      <c r="DZ117" s="2"/>
      <c r="EA117" s="2"/>
    </row>
    <row r="118" spans="16:131" x14ac:dyDescent="0.25">
      <c r="P118" s="2"/>
      <c r="R118" s="1"/>
      <c r="T118" s="2"/>
      <c r="U118" s="1"/>
      <c r="W118" s="2"/>
      <c r="DG118" s="1"/>
      <c r="DH118" s="1"/>
      <c r="DZ118" s="2"/>
      <c r="EA118" s="2"/>
    </row>
    <row r="119" spans="16:131" x14ac:dyDescent="0.25">
      <c r="P119" s="2"/>
      <c r="R119" s="1"/>
      <c r="T119" s="2"/>
      <c r="U119" s="1"/>
      <c r="W119" s="2"/>
      <c r="DG119" s="1"/>
      <c r="DH119" s="1"/>
      <c r="DZ119" s="2"/>
      <c r="EA119" s="2"/>
    </row>
    <row r="120" spans="16:131" x14ac:dyDescent="0.25">
      <c r="P120" s="2"/>
      <c r="R120" s="1"/>
      <c r="T120" s="2"/>
      <c r="U120" s="1"/>
      <c r="W120" s="2"/>
      <c r="DG120" s="1"/>
      <c r="DH120" s="1"/>
      <c r="DZ120" s="2"/>
      <c r="EA120" s="2"/>
    </row>
    <row r="121" spans="16:131" x14ac:dyDescent="0.25">
      <c r="P121" s="2"/>
      <c r="R121" s="1"/>
      <c r="T121" s="2"/>
      <c r="U121" s="1"/>
      <c r="W121" s="2"/>
      <c r="DG121" s="1"/>
      <c r="DH121" s="1"/>
      <c r="DZ121" s="2"/>
      <c r="EA121" s="2"/>
    </row>
    <row r="122" spans="16:131" x14ac:dyDescent="0.25">
      <c r="P122" s="2"/>
      <c r="R122" s="1"/>
      <c r="T122" s="2"/>
      <c r="U122" s="1"/>
      <c r="W122" s="2"/>
      <c r="DG122" s="1"/>
      <c r="DH122" s="1"/>
      <c r="DZ122" s="2"/>
      <c r="EA122" s="2"/>
    </row>
    <row r="123" spans="16:131" x14ac:dyDescent="0.25">
      <c r="P123" s="2"/>
      <c r="R123" s="1"/>
      <c r="T123" s="2"/>
      <c r="U123" s="1"/>
      <c r="W123" s="2"/>
      <c r="DG123" s="1"/>
      <c r="DH123" s="1"/>
      <c r="DZ123" s="2"/>
      <c r="EA123" s="2"/>
    </row>
    <row r="124" spans="16:131" x14ac:dyDescent="0.25">
      <c r="P124" s="2"/>
      <c r="R124" s="1"/>
      <c r="T124" s="2"/>
      <c r="U124" s="1"/>
      <c r="W124" s="2"/>
      <c r="DG124" s="1"/>
      <c r="DH124" s="1"/>
      <c r="DZ124" s="2"/>
      <c r="EA124" s="2"/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39"/>
  <sheetViews>
    <sheetView zoomScale="82" zoomScaleNormal="82" zoomScaleSheetLayoutView="100" workbookViewId="0">
      <pane xSplit="2" ySplit="5" topLeftCell="C18" activePane="bottomRight" state="frozen"/>
      <selection activeCell="S13" sqref="S13"/>
      <selection pane="topRight" activeCell="S13" sqref="S13"/>
      <selection pane="bottomLeft" activeCell="S13" sqref="S13"/>
      <selection pane="bottomRight" activeCell="V30" sqref="V30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6" width="11.140625" style="2" customWidth="1"/>
    <col min="7" max="16" width="11.85546875" style="1" customWidth="1"/>
    <col min="17" max="17" width="9.140625" style="2" customWidth="1"/>
    <col min="18" max="18" width="10.85546875" style="2" customWidth="1"/>
    <col min="19" max="19" width="10.85546875" style="1" customWidth="1"/>
    <col min="20" max="20" width="11" style="2" customWidth="1"/>
    <col min="21" max="23" width="11.42578125" style="2" customWidth="1"/>
    <col min="24" max="51" width="9.140625" style="2" customWidth="1"/>
    <col min="52" max="52" width="12.42578125" style="2" customWidth="1"/>
    <col min="53" max="74" width="9.140625" style="2" customWidth="1"/>
    <col min="75" max="75" width="12.140625" style="2" customWidth="1"/>
    <col min="76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57" width="9.140625" style="2" customWidth="1"/>
    <col min="158" max="158" width="9.140625" style="2" hidden="1" customWidth="1"/>
    <col min="159" max="166" width="9.140625" style="2" customWidth="1"/>
    <col min="167" max="167" width="9.140625" style="2" hidden="1" customWidth="1"/>
    <col min="168" max="172" width="9.140625" style="2" customWidth="1"/>
    <col min="173" max="173" width="9.140625" style="2" hidden="1" customWidth="1"/>
    <col min="174" max="183" width="9.140625" style="2" customWidth="1"/>
    <col min="184" max="184" width="9.140625" style="2"/>
    <col min="185" max="187" width="8.85546875" style="2"/>
    <col min="188" max="188" width="12.7109375" style="2" bestFit="1" customWidth="1"/>
    <col min="189" max="16384" width="8.85546875" style="2"/>
  </cols>
  <sheetData>
    <row r="1" spans="1:188" ht="18.75" x14ac:dyDescent="0.3">
      <c r="A1" s="2" t="s">
        <v>53</v>
      </c>
      <c r="B1" s="6" t="s">
        <v>66</v>
      </c>
      <c r="R1" s="3"/>
    </row>
    <row r="2" spans="1:188" ht="15.75" x14ac:dyDescent="0.25">
      <c r="A2" s="7" t="s">
        <v>49</v>
      </c>
      <c r="I2" s="1" t="str">
        <f>[1]GSVA_cur!$I$3</f>
        <v>01.08.2025</v>
      </c>
    </row>
    <row r="3" spans="1:188" ht="15.75" x14ac:dyDescent="0.25">
      <c r="A3" s="7"/>
    </row>
    <row r="4" spans="1:188" ht="15.75" x14ac:dyDescent="0.25">
      <c r="A4" s="7"/>
      <c r="E4" s="8"/>
      <c r="F4" s="8" t="s">
        <v>57</v>
      </c>
    </row>
    <row r="5" spans="1:188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2" t="s">
        <v>65</v>
      </c>
      <c r="H5" s="12" t="s">
        <v>67</v>
      </c>
      <c r="I5" s="12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88" s="26" customFormat="1" ht="15.75" x14ac:dyDescent="0.25">
      <c r="A6" s="28" t="s">
        <v>26</v>
      </c>
      <c r="B6" s="33" t="s">
        <v>2</v>
      </c>
      <c r="C6" s="30">
        <f>SUM(C7:C10)</f>
        <v>7554867.838722283</v>
      </c>
      <c r="D6" s="30">
        <f t="shared" ref="D6:N6" si="0">SUM(D7:D10)</f>
        <v>7169531.6459512254</v>
      </c>
      <c r="E6" s="30">
        <f t="shared" si="0"/>
        <v>7687781.241619071</v>
      </c>
      <c r="F6" s="30">
        <f t="shared" si="0"/>
        <v>8017991.6252911221</v>
      </c>
      <c r="G6" s="30">
        <f t="shared" si="0"/>
        <v>7227764.1258307332</v>
      </c>
      <c r="H6" s="30">
        <f t="shared" si="0"/>
        <v>7452338.0018670708</v>
      </c>
      <c r="I6" s="30">
        <f t="shared" si="0"/>
        <v>9094110.1142764408</v>
      </c>
      <c r="J6" s="30">
        <f t="shared" si="0"/>
        <v>8765842.0578608271</v>
      </c>
      <c r="K6" s="30">
        <f t="shared" si="0"/>
        <v>10350666.016174736</v>
      </c>
      <c r="L6" s="30">
        <f t="shared" si="0"/>
        <v>11806231.418417957</v>
      </c>
      <c r="M6" s="30">
        <f t="shared" si="0"/>
        <v>12457143.599035155</v>
      </c>
      <c r="N6" s="30">
        <f t="shared" si="0"/>
        <v>12528222.379493907</v>
      </c>
      <c r="O6" s="30">
        <f t="shared" ref="O6:P6" si="1">SUM(O7:O10)</f>
        <v>11918979.24540882</v>
      </c>
      <c r="P6" s="30">
        <f t="shared" si="1"/>
        <v>12398624.29377277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F6" s="27"/>
    </row>
    <row r="7" spans="1:188" ht="15.75" x14ac:dyDescent="0.25">
      <c r="A7" s="15">
        <v>1.1000000000000001</v>
      </c>
      <c r="B7" s="16" t="s">
        <v>59</v>
      </c>
      <c r="C7" s="17">
        <v>5339455.5413543992</v>
      </c>
      <c r="D7" s="17">
        <v>4919527.4580969624</v>
      </c>
      <c r="E7" s="17">
        <v>5397980.4335446581</v>
      </c>
      <c r="F7" s="17">
        <v>5651755.8970641652</v>
      </c>
      <c r="G7" s="17">
        <v>4827054.9359727222</v>
      </c>
      <c r="H7" s="17">
        <v>4927234.3998801345</v>
      </c>
      <c r="I7" s="17">
        <v>6388026.6155944923</v>
      </c>
      <c r="J7" s="17">
        <v>5738701.0404658252</v>
      </c>
      <c r="K7" s="17">
        <v>6669336.1140088728</v>
      </c>
      <c r="L7" s="17">
        <v>7485268.9517334392</v>
      </c>
      <c r="M7" s="17">
        <v>7609739.6405599397</v>
      </c>
      <c r="N7" s="17">
        <v>7235450.2213030923</v>
      </c>
      <c r="O7" s="17">
        <v>6381831.1938317996</v>
      </c>
      <c r="P7" s="17">
        <v>6538356.9959843932</v>
      </c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1"/>
      <c r="GD7" s="1"/>
      <c r="GE7" s="1"/>
    </row>
    <row r="8" spans="1:188" ht="15.75" x14ac:dyDescent="0.25">
      <c r="A8" s="15">
        <v>1.2</v>
      </c>
      <c r="B8" s="16" t="s">
        <v>60</v>
      </c>
      <c r="C8" s="17">
        <v>1349661.6803449811</v>
      </c>
      <c r="D8" s="17">
        <v>1407783.4834563727</v>
      </c>
      <c r="E8" s="17">
        <v>1451498.4425341506</v>
      </c>
      <c r="F8" s="17">
        <v>1517455.6559562357</v>
      </c>
      <c r="G8" s="17">
        <v>1572748.4491939035</v>
      </c>
      <c r="H8" s="17">
        <v>1635957.104523235</v>
      </c>
      <c r="I8" s="17">
        <v>1756786.6383378343</v>
      </c>
      <c r="J8" s="17">
        <v>1987964.4761242399</v>
      </c>
      <c r="K8" s="17">
        <v>2472565.5666104546</v>
      </c>
      <c r="L8" s="17">
        <v>3127068.6773083569</v>
      </c>
      <c r="M8" s="17">
        <v>3405258.1315546921</v>
      </c>
      <c r="N8" s="17">
        <v>3739838.9664503802</v>
      </c>
      <c r="O8" s="17">
        <v>3944413.2853025775</v>
      </c>
      <c r="P8" s="17">
        <v>4188955.9210282089</v>
      </c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1"/>
      <c r="GD8" s="1"/>
      <c r="GE8" s="1"/>
    </row>
    <row r="9" spans="1:188" ht="15.75" x14ac:dyDescent="0.25">
      <c r="A9" s="15">
        <v>1.3</v>
      </c>
      <c r="B9" s="16" t="s">
        <v>61</v>
      </c>
      <c r="C9" s="17">
        <v>593457.7152382317</v>
      </c>
      <c r="D9" s="17">
        <v>576359.00908556744</v>
      </c>
      <c r="E9" s="17">
        <v>560553.52595412103</v>
      </c>
      <c r="F9" s="17">
        <v>538082.14645879657</v>
      </c>
      <c r="G9" s="17">
        <v>532444.71123451157</v>
      </c>
      <c r="H9" s="17">
        <v>607898.00813949364</v>
      </c>
      <c r="I9" s="17">
        <v>605159.56751888967</v>
      </c>
      <c r="J9" s="17">
        <v>736236.70901146811</v>
      </c>
      <c r="K9" s="17">
        <v>894656.90301644569</v>
      </c>
      <c r="L9" s="17">
        <v>895083.95411592373</v>
      </c>
      <c r="M9" s="17">
        <v>914040.27667032823</v>
      </c>
      <c r="N9" s="17">
        <v>931956.09035524761</v>
      </c>
      <c r="O9" s="17">
        <v>946378.36324335053</v>
      </c>
      <c r="P9" s="17">
        <v>964057.63234675536</v>
      </c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1"/>
      <c r="GD9" s="1"/>
      <c r="GE9" s="1"/>
    </row>
    <row r="10" spans="1:188" ht="15.75" x14ac:dyDescent="0.25">
      <c r="A10" s="15">
        <v>1.4</v>
      </c>
      <c r="B10" s="16" t="s">
        <v>62</v>
      </c>
      <c r="C10" s="17">
        <v>272292.90178467159</v>
      </c>
      <c r="D10" s="17">
        <v>265861.695312322</v>
      </c>
      <c r="E10" s="17">
        <v>277748.8395861414</v>
      </c>
      <c r="F10" s="17">
        <v>310697.92581192544</v>
      </c>
      <c r="G10" s="17">
        <v>295516.02942959621</v>
      </c>
      <c r="H10" s="17">
        <v>281248.48932420718</v>
      </c>
      <c r="I10" s="17">
        <v>344137.29282522312</v>
      </c>
      <c r="J10" s="17">
        <v>302939.83225929335</v>
      </c>
      <c r="K10" s="17">
        <v>314107.4325389617</v>
      </c>
      <c r="L10" s="17">
        <v>298809.8352602364</v>
      </c>
      <c r="M10" s="17">
        <v>528105.5502501959</v>
      </c>
      <c r="N10" s="17">
        <v>620977.10138518782</v>
      </c>
      <c r="O10" s="17">
        <v>646356.40303109214</v>
      </c>
      <c r="P10" s="17">
        <v>707253.74441341381</v>
      </c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1"/>
      <c r="GD10" s="1"/>
      <c r="GE10" s="1"/>
    </row>
    <row r="11" spans="1:188" ht="15.75" x14ac:dyDescent="0.25">
      <c r="A11" s="18" t="s">
        <v>31</v>
      </c>
      <c r="B11" s="16" t="s">
        <v>3</v>
      </c>
      <c r="C11" s="17">
        <v>450254.39643903158</v>
      </c>
      <c r="D11" s="17">
        <v>391982.37322448631</v>
      </c>
      <c r="E11" s="17">
        <v>559639.88788623188</v>
      </c>
      <c r="F11" s="17">
        <v>737327.04464690119</v>
      </c>
      <c r="G11" s="17">
        <v>904831.88808958407</v>
      </c>
      <c r="H11" s="17">
        <v>849988.80671797192</v>
      </c>
      <c r="I11" s="17">
        <v>837097.06104706915</v>
      </c>
      <c r="J11" s="17">
        <v>777571.57565236394</v>
      </c>
      <c r="K11" s="17">
        <v>812182.6371081901</v>
      </c>
      <c r="L11" s="17">
        <v>902258.35178240889</v>
      </c>
      <c r="M11" s="17">
        <v>932254.64568573714</v>
      </c>
      <c r="N11" s="17">
        <v>820023.52956892864</v>
      </c>
      <c r="O11" s="17">
        <v>1213103.1831774907</v>
      </c>
      <c r="P11" s="17">
        <v>1412643.7103545978</v>
      </c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1"/>
      <c r="GD11" s="1"/>
      <c r="GE11" s="1"/>
    </row>
    <row r="12" spans="1:188" s="27" customFormat="1" ht="15.75" x14ac:dyDescent="0.25">
      <c r="A12" s="21"/>
      <c r="B12" s="22" t="s">
        <v>28</v>
      </c>
      <c r="C12" s="23">
        <f>C6+C11</f>
        <v>8005122.2351613147</v>
      </c>
      <c r="D12" s="23">
        <f t="shared" ref="D12:N12" si="2">D6+D11</f>
        <v>7561514.019175712</v>
      </c>
      <c r="E12" s="23">
        <f t="shared" si="2"/>
        <v>8247421.1295053028</v>
      </c>
      <c r="F12" s="23">
        <f t="shared" si="2"/>
        <v>8755318.6699380241</v>
      </c>
      <c r="G12" s="23">
        <f t="shared" si="2"/>
        <v>8132596.0139203174</v>
      </c>
      <c r="H12" s="23">
        <f t="shared" si="2"/>
        <v>8302326.8085850431</v>
      </c>
      <c r="I12" s="23">
        <f t="shared" si="2"/>
        <v>9931207.1753235105</v>
      </c>
      <c r="J12" s="23">
        <f t="shared" si="2"/>
        <v>9543413.6335131917</v>
      </c>
      <c r="K12" s="23">
        <f t="shared" si="2"/>
        <v>11162848.653282925</v>
      </c>
      <c r="L12" s="23">
        <f t="shared" si="2"/>
        <v>12708489.770200366</v>
      </c>
      <c r="M12" s="23">
        <f t="shared" si="2"/>
        <v>13389398.244720893</v>
      </c>
      <c r="N12" s="23">
        <f t="shared" si="2"/>
        <v>13348245.909062836</v>
      </c>
      <c r="O12" s="23">
        <f t="shared" ref="O12:P12" si="3">O6+O11</f>
        <v>13132082.428586312</v>
      </c>
      <c r="P12" s="23">
        <f t="shared" si="3"/>
        <v>13811268.004127368</v>
      </c>
      <c r="Q12" s="4"/>
      <c r="R12" s="4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6"/>
      <c r="GD12" s="26"/>
      <c r="GE12" s="26"/>
    </row>
    <row r="13" spans="1:188" s="1" customFormat="1" ht="15.75" x14ac:dyDescent="0.25">
      <c r="A13" s="13" t="s">
        <v>32</v>
      </c>
      <c r="B13" s="14" t="s">
        <v>4</v>
      </c>
      <c r="C13" s="17">
        <v>9713888.359638378</v>
      </c>
      <c r="D13" s="17">
        <v>10278581.372488013</v>
      </c>
      <c r="E13" s="17">
        <v>10790065.986629725</v>
      </c>
      <c r="F13" s="17">
        <v>10737587.255750684</v>
      </c>
      <c r="G13" s="17">
        <v>13009331.542521834</v>
      </c>
      <c r="H13" s="17">
        <v>16646176.207275804</v>
      </c>
      <c r="I13" s="17">
        <v>16913664.558919359</v>
      </c>
      <c r="J13" s="17">
        <v>17987383.212128621</v>
      </c>
      <c r="K13" s="17">
        <v>16967695.507553607</v>
      </c>
      <c r="L13" s="17">
        <v>16797861.666489761</v>
      </c>
      <c r="M13" s="17">
        <v>19660672.487114854</v>
      </c>
      <c r="N13" s="17">
        <v>19929137.701813448</v>
      </c>
      <c r="O13" s="17">
        <v>21399630.825490225</v>
      </c>
      <c r="P13" s="17">
        <v>22779335.004983738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F13" s="2"/>
    </row>
    <row r="14" spans="1:188" ht="30" x14ac:dyDescent="0.25">
      <c r="A14" s="18" t="s">
        <v>33</v>
      </c>
      <c r="B14" s="16" t="s">
        <v>5</v>
      </c>
      <c r="C14" s="17">
        <v>1082881.59778616</v>
      </c>
      <c r="D14" s="17">
        <v>1057959.1492006187</v>
      </c>
      <c r="E14" s="17">
        <v>1116769.0409755106</v>
      </c>
      <c r="F14" s="17">
        <v>1236437.0450926772</v>
      </c>
      <c r="G14" s="17">
        <v>1366619.4696302034</v>
      </c>
      <c r="H14" s="17">
        <v>1174677.643868851</v>
      </c>
      <c r="I14" s="17">
        <v>1352938.5697852366</v>
      </c>
      <c r="J14" s="17">
        <v>1516913.6437414715</v>
      </c>
      <c r="K14" s="17">
        <v>1660023.6424495298</v>
      </c>
      <c r="L14" s="17">
        <v>1834507.2580183172</v>
      </c>
      <c r="M14" s="17">
        <v>1940240.9495330129</v>
      </c>
      <c r="N14" s="17">
        <v>2078338.3989560015</v>
      </c>
      <c r="O14" s="17">
        <v>2101250.4811076578</v>
      </c>
      <c r="P14" s="17">
        <v>2158168.8159084478</v>
      </c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3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3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3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1"/>
      <c r="GD14" s="1"/>
      <c r="GE14" s="1"/>
    </row>
    <row r="15" spans="1:188" ht="15.75" x14ac:dyDescent="0.25">
      <c r="A15" s="18" t="s">
        <v>34</v>
      </c>
      <c r="B15" s="16" t="s">
        <v>6</v>
      </c>
      <c r="C15" s="17">
        <v>5033145.3193633705</v>
      </c>
      <c r="D15" s="17">
        <v>4772392.2304591546</v>
      </c>
      <c r="E15" s="17">
        <v>5381966.9033279298</v>
      </c>
      <c r="F15" s="17">
        <v>5400227.618941132</v>
      </c>
      <c r="G15" s="17">
        <v>5549240.4798124069</v>
      </c>
      <c r="H15" s="17">
        <v>5579969.1517969631</v>
      </c>
      <c r="I15" s="17">
        <v>5810672.4246860538</v>
      </c>
      <c r="J15" s="17">
        <v>6295511.4331093077</v>
      </c>
      <c r="K15" s="17">
        <v>6262244.0518238544</v>
      </c>
      <c r="L15" s="17">
        <v>6044148.7809116077</v>
      </c>
      <c r="M15" s="17">
        <v>7084931.8649722673</v>
      </c>
      <c r="N15" s="17">
        <v>7843160.8202235224</v>
      </c>
      <c r="O15" s="17">
        <v>8186959.7850269191</v>
      </c>
      <c r="P15" s="17">
        <v>8474578.7519545201</v>
      </c>
      <c r="Q15" s="4"/>
      <c r="R15" s="4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3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3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3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1"/>
      <c r="GD15" s="1"/>
      <c r="GE15" s="1"/>
    </row>
    <row r="16" spans="1:188" s="27" customFormat="1" ht="15.75" x14ac:dyDescent="0.25">
      <c r="A16" s="21"/>
      <c r="B16" s="22" t="s">
        <v>29</v>
      </c>
      <c r="C16" s="23">
        <f>+C13+C14+C15</f>
        <v>15829915.276787909</v>
      </c>
      <c r="D16" s="23">
        <f t="shared" ref="D16:I16" si="4">+D13+D14+D15</f>
        <v>16108932.752147786</v>
      </c>
      <c r="E16" s="23">
        <f t="shared" si="4"/>
        <v>17288801.930933166</v>
      </c>
      <c r="F16" s="23">
        <f t="shared" si="4"/>
        <v>17374251.919784494</v>
      </c>
      <c r="G16" s="23">
        <f t="shared" si="4"/>
        <v>19925191.491964445</v>
      </c>
      <c r="H16" s="23">
        <f t="shared" si="4"/>
        <v>23400823.00294162</v>
      </c>
      <c r="I16" s="23">
        <f t="shared" si="4"/>
        <v>24077275.553390652</v>
      </c>
      <c r="J16" s="23">
        <f t="shared" ref="J16:K16" si="5">+J13+J14+J15</f>
        <v>25799808.288979396</v>
      </c>
      <c r="K16" s="23">
        <f t="shared" si="5"/>
        <v>24889963.20182699</v>
      </c>
      <c r="L16" s="23">
        <f t="shared" ref="L16:N16" si="6">+L13+L14+L15</f>
        <v>24676517.705419689</v>
      </c>
      <c r="M16" s="23">
        <f t="shared" si="6"/>
        <v>28685845.301620133</v>
      </c>
      <c r="N16" s="23">
        <f t="shared" si="6"/>
        <v>29850636.92099297</v>
      </c>
      <c r="O16" s="23">
        <f t="shared" ref="O16:P16" si="7">+O13+O14+O15</f>
        <v>31687841.0916248</v>
      </c>
      <c r="P16" s="23">
        <f t="shared" si="7"/>
        <v>33412082.572846703</v>
      </c>
      <c r="Q16" s="4"/>
      <c r="R16" s="4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4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4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4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6"/>
      <c r="GD16" s="26"/>
      <c r="GE16" s="26"/>
    </row>
    <row r="17" spans="1:188" s="26" customFormat="1" ht="15.75" x14ac:dyDescent="0.25">
      <c r="A17" s="28" t="s">
        <v>35</v>
      </c>
      <c r="B17" s="33" t="s">
        <v>7</v>
      </c>
      <c r="C17" s="30">
        <f>C18+C19</f>
        <v>6044366.9995430242</v>
      </c>
      <c r="D17" s="30">
        <f t="shared" ref="D17:I17" si="8">D18+D19</f>
        <v>6441601.6856466215</v>
      </c>
      <c r="E17" s="30">
        <f t="shared" si="8"/>
        <v>7093957.794866791</v>
      </c>
      <c r="F17" s="30">
        <f t="shared" si="8"/>
        <v>7560180.8915575091</v>
      </c>
      <c r="G17" s="30">
        <f t="shared" si="8"/>
        <v>7734152.4663601657</v>
      </c>
      <c r="H17" s="30">
        <f t="shared" si="8"/>
        <v>8557165.2977815568</v>
      </c>
      <c r="I17" s="30">
        <f t="shared" si="8"/>
        <v>9686849.9269641601</v>
      </c>
      <c r="J17" s="30">
        <f t="shared" ref="J17:K17" si="9">J18+J19</f>
        <v>11058684.182117753</v>
      </c>
      <c r="K17" s="30">
        <f t="shared" si="9"/>
        <v>11720487.390868409</v>
      </c>
      <c r="L17" s="30">
        <f t="shared" ref="L17:N17" si="10">L18+L19</f>
        <v>8758051.5031056572</v>
      </c>
      <c r="M17" s="30">
        <f t="shared" si="10"/>
        <v>10398481.898575382</v>
      </c>
      <c r="N17" s="30">
        <f t="shared" si="10"/>
        <v>12533065.872745266</v>
      </c>
      <c r="O17" s="30">
        <f t="shared" ref="O17:P17" si="11">O18+O19</f>
        <v>12975635.648943339</v>
      </c>
      <c r="P17" s="30">
        <f t="shared" si="11"/>
        <v>13736566.484778646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F17" s="27"/>
    </row>
    <row r="18" spans="1:188" ht="15.75" x14ac:dyDescent="0.25">
      <c r="A18" s="15">
        <v>6.1</v>
      </c>
      <c r="B18" s="16" t="s">
        <v>8</v>
      </c>
      <c r="C18" s="17">
        <v>4957018.5085412981</v>
      </c>
      <c r="D18" s="17">
        <v>5340549.9931312567</v>
      </c>
      <c r="E18" s="17">
        <v>5983018.6251683068</v>
      </c>
      <c r="F18" s="17">
        <v>6465043.9873534581</v>
      </c>
      <c r="G18" s="17">
        <v>6598018.4670306789</v>
      </c>
      <c r="H18" s="17">
        <v>7360361.4664543159</v>
      </c>
      <c r="I18" s="17">
        <v>8329964.02769899</v>
      </c>
      <c r="J18" s="17">
        <v>9519884.3761900365</v>
      </c>
      <c r="K18" s="17">
        <v>10159871.488884987</v>
      </c>
      <c r="L18" s="17">
        <v>8043379.9081931841</v>
      </c>
      <c r="M18" s="17">
        <v>9390597.7725881729</v>
      </c>
      <c r="N18" s="17">
        <v>10914199.747842893</v>
      </c>
      <c r="O18" s="17">
        <v>11338213.28917045</v>
      </c>
      <c r="P18" s="17">
        <v>12045851.757064862</v>
      </c>
      <c r="Q18" s="4"/>
      <c r="R18" s="4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1"/>
      <c r="GD18" s="1"/>
      <c r="GE18" s="1"/>
    </row>
    <row r="19" spans="1:188" ht="15.75" x14ac:dyDescent="0.25">
      <c r="A19" s="15">
        <v>6.2</v>
      </c>
      <c r="B19" s="16" t="s">
        <v>9</v>
      </c>
      <c r="C19" s="17">
        <v>1087348.4910017266</v>
      </c>
      <c r="D19" s="17">
        <v>1101051.6925153648</v>
      </c>
      <c r="E19" s="17">
        <v>1110939.1696984845</v>
      </c>
      <c r="F19" s="17">
        <v>1095136.9042040505</v>
      </c>
      <c r="G19" s="17">
        <v>1136133.9993294869</v>
      </c>
      <c r="H19" s="17">
        <v>1196803.8313272416</v>
      </c>
      <c r="I19" s="17">
        <v>1356885.8992651694</v>
      </c>
      <c r="J19" s="17">
        <v>1538799.8059277155</v>
      </c>
      <c r="K19" s="17">
        <v>1560615.9019834218</v>
      </c>
      <c r="L19" s="17">
        <v>714671.59491247381</v>
      </c>
      <c r="M19" s="17">
        <v>1007884.1259872098</v>
      </c>
      <c r="N19" s="17">
        <v>1618866.1249023734</v>
      </c>
      <c r="O19" s="17">
        <v>1637422.3597728887</v>
      </c>
      <c r="P19" s="17">
        <v>1690714.7277137847</v>
      </c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1"/>
      <c r="GD19" s="1"/>
      <c r="GE19" s="1"/>
    </row>
    <row r="20" spans="1:188" s="26" customFormat="1" ht="30" x14ac:dyDescent="0.25">
      <c r="A20" s="34" t="s">
        <v>36</v>
      </c>
      <c r="B20" s="35" t="s">
        <v>10</v>
      </c>
      <c r="C20" s="30">
        <f>SUM(C21:C27)</f>
        <v>3350992.3343946012</v>
      </c>
      <c r="D20" s="30">
        <f t="shared" ref="D20:N20" si="12">SUM(D21:D27)</f>
        <v>3631323.5835214751</v>
      </c>
      <c r="E20" s="30">
        <f t="shared" si="12"/>
        <v>3929180.0812818981</v>
      </c>
      <c r="F20" s="30">
        <f t="shared" si="12"/>
        <v>4409021.3818688057</v>
      </c>
      <c r="G20" s="30">
        <f t="shared" si="12"/>
        <v>5172117.6864877641</v>
      </c>
      <c r="H20" s="30">
        <f t="shared" si="12"/>
        <v>5377477.8573331479</v>
      </c>
      <c r="I20" s="30">
        <f t="shared" si="12"/>
        <v>5568476.2584479479</v>
      </c>
      <c r="J20" s="30">
        <f t="shared" si="12"/>
        <v>5984671.3247282896</v>
      </c>
      <c r="K20" s="30">
        <f t="shared" si="12"/>
        <v>7172872.9028351493</v>
      </c>
      <c r="L20" s="30">
        <f t="shared" si="12"/>
        <v>6878317.8590059988</v>
      </c>
      <c r="M20" s="30">
        <f t="shared" si="12"/>
        <v>7067136.188671886</v>
      </c>
      <c r="N20" s="30">
        <f t="shared" si="12"/>
        <v>7718918.0416783374</v>
      </c>
      <c r="O20" s="30">
        <f t="shared" ref="O20:P20" si="13">SUM(O21:O27)</f>
        <v>8099340.3193292543</v>
      </c>
      <c r="P20" s="30">
        <f t="shared" si="13"/>
        <v>8533709.6819433905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F20" s="27"/>
    </row>
    <row r="21" spans="1:188" ht="15.75" x14ac:dyDescent="0.25">
      <c r="A21" s="15">
        <v>7.1</v>
      </c>
      <c r="B21" s="16" t="s">
        <v>11</v>
      </c>
      <c r="C21" s="17">
        <v>202128</v>
      </c>
      <c r="D21" s="17">
        <v>219689</v>
      </c>
      <c r="E21" s="17">
        <v>214601.00000000003</v>
      </c>
      <c r="F21" s="17">
        <v>232230.00000000003</v>
      </c>
      <c r="G21" s="17">
        <v>293346</v>
      </c>
      <c r="H21" s="17">
        <v>207648</v>
      </c>
      <c r="I21" s="17">
        <v>228014</v>
      </c>
      <c r="J21" s="17">
        <v>229692</v>
      </c>
      <c r="K21" s="17">
        <v>264917</v>
      </c>
      <c r="L21" s="17">
        <v>234382.51727946431</v>
      </c>
      <c r="M21" s="17">
        <v>242988.59294058051</v>
      </c>
      <c r="N21" s="17">
        <v>308422.88399702194</v>
      </c>
      <c r="O21" s="17">
        <v>328191.89766698319</v>
      </c>
      <c r="P21" s="17">
        <v>393720.95672102453</v>
      </c>
      <c r="Q21" s="4"/>
      <c r="R21" s="4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1"/>
      <c r="GD21" s="1"/>
      <c r="GE21" s="1"/>
    </row>
    <row r="22" spans="1:188" ht="15.75" x14ac:dyDescent="0.25">
      <c r="A22" s="15">
        <v>7.2</v>
      </c>
      <c r="B22" s="16" t="s">
        <v>12</v>
      </c>
      <c r="C22" s="17">
        <v>2195730.8879469852</v>
      </c>
      <c r="D22" s="17">
        <v>2395682.9431923954</v>
      </c>
      <c r="E22" s="17">
        <v>2574600.5671468484</v>
      </c>
      <c r="F22" s="17">
        <v>2878306.353540313</v>
      </c>
      <c r="G22" s="17">
        <v>3319752.4943033918</v>
      </c>
      <c r="H22" s="17">
        <v>3587602.7561063753</v>
      </c>
      <c r="I22" s="17">
        <v>3835283.1003609323</v>
      </c>
      <c r="J22" s="17">
        <v>4162445.4077356756</v>
      </c>
      <c r="K22" s="17">
        <v>5103721.679197656</v>
      </c>
      <c r="L22" s="17">
        <v>5033002.6822729697</v>
      </c>
      <c r="M22" s="17">
        <v>5129943.6750068394</v>
      </c>
      <c r="N22" s="17">
        <v>5485074.7140301382</v>
      </c>
      <c r="O22" s="17">
        <v>5811919.5632213531</v>
      </c>
      <c r="P22" s="17">
        <v>6075499.3872561604</v>
      </c>
      <c r="Q22" s="4"/>
      <c r="R22" s="4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1"/>
      <c r="GD22" s="1"/>
      <c r="GE22" s="1"/>
    </row>
    <row r="23" spans="1:188" ht="15.75" x14ac:dyDescent="0.25">
      <c r="A23" s="15">
        <v>7.3</v>
      </c>
      <c r="B23" s="16" t="s">
        <v>13</v>
      </c>
      <c r="C23" s="17">
        <v>26907.299961269182</v>
      </c>
      <c r="D23" s="17">
        <v>23957.273196114947</v>
      </c>
      <c r="E23" s="17">
        <v>19596.787397843385</v>
      </c>
      <c r="F23" s="17">
        <v>19012.383712191044</v>
      </c>
      <c r="G23" s="17">
        <v>16891.54096602053</v>
      </c>
      <c r="H23" s="17">
        <v>24220.307173740883</v>
      </c>
      <c r="I23" s="17">
        <v>26174.09590162419</v>
      </c>
      <c r="J23" s="17">
        <v>33232.312680961171</v>
      </c>
      <c r="K23" s="17">
        <v>29504.175266653896</v>
      </c>
      <c r="L23" s="17">
        <v>27931.216762910015</v>
      </c>
      <c r="M23" s="17">
        <v>35497.002341223335</v>
      </c>
      <c r="N23" s="17">
        <v>45078.164304600228</v>
      </c>
      <c r="O23" s="17">
        <v>48146.689691956351</v>
      </c>
      <c r="P23" s="17">
        <v>51389.834164899141</v>
      </c>
      <c r="Q23" s="4"/>
      <c r="R23" s="4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1"/>
      <c r="GD23" s="1"/>
      <c r="GE23" s="1"/>
    </row>
    <row r="24" spans="1:188" ht="15.75" x14ac:dyDescent="0.25">
      <c r="A24" s="15">
        <v>7.4</v>
      </c>
      <c r="B24" s="16" t="s">
        <v>14</v>
      </c>
      <c r="C24" s="17">
        <v>37364.943985929305</v>
      </c>
      <c r="D24" s="17">
        <v>64131.16566368474</v>
      </c>
      <c r="E24" s="17">
        <v>49162.240738981505</v>
      </c>
      <c r="F24" s="17">
        <v>83828.70768307196</v>
      </c>
      <c r="G24" s="17">
        <v>158301.05248160625</v>
      </c>
      <c r="H24" s="17">
        <v>169538.9265370628</v>
      </c>
      <c r="I24" s="17">
        <v>177314.30676578148</v>
      </c>
      <c r="J24" s="17">
        <v>106758.54914450724</v>
      </c>
      <c r="K24" s="17">
        <v>182822.87955756014</v>
      </c>
      <c r="L24" s="17">
        <v>80512.322610839707</v>
      </c>
      <c r="M24" s="17">
        <v>66538.119399563089</v>
      </c>
      <c r="N24" s="17">
        <v>107236.01602198683</v>
      </c>
      <c r="O24" s="17">
        <v>86910.367598056517</v>
      </c>
      <c r="P24" s="17">
        <v>92052.89945347028</v>
      </c>
      <c r="Q24" s="4"/>
      <c r="R24" s="4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1"/>
      <c r="GD24" s="1"/>
      <c r="GE24" s="1"/>
    </row>
    <row r="25" spans="1:188" ht="15.75" x14ac:dyDescent="0.25">
      <c r="A25" s="15">
        <v>7.5</v>
      </c>
      <c r="B25" s="16" t="s">
        <v>15</v>
      </c>
      <c r="C25" s="17">
        <v>47206.400052103956</v>
      </c>
      <c r="D25" s="17">
        <v>37663.45725471351</v>
      </c>
      <c r="E25" s="17">
        <v>38953.6457240702</v>
      </c>
      <c r="F25" s="17">
        <v>46797.253027811203</v>
      </c>
      <c r="G25" s="17">
        <v>48444.972497954725</v>
      </c>
      <c r="H25" s="17">
        <v>81653.374435893435</v>
      </c>
      <c r="I25" s="17">
        <v>85346.749734959114</v>
      </c>
      <c r="J25" s="17">
        <v>96706.67415183103</v>
      </c>
      <c r="K25" s="17">
        <v>97637.560397460489</v>
      </c>
      <c r="L25" s="17">
        <v>53434.598274623269</v>
      </c>
      <c r="M25" s="17">
        <v>73326.445120710428</v>
      </c>
      <c r="N25" s="17">
        <v>85774.926406235798</v>
      </c>
      <c r="O25" s="17">
        <v>81092.190278617927</v>
      </c>
      <c r="P25" s="17">
        <v>87310.258769559645</v>
      </c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1"/>
      <c r="GD25" s="1"/>
      <c r="GE25" s="1"/>
    </row>
    <row r="26" spans="1:188" ht="15.75" x14ac:dyDescent="0.25">
      <c r="A26" s="15">
        <v>7.6</v>
      </c>
      <c r="B26" s="16" t="s">
        <v>16</v>
      </c>
      <c r="C26" s="17">
        <v>27641.751259532892</v>
      </c>
      <c r="D26" s="17">
        <v>29197.2126579289</v>
      </c>
      <c r="E26" s="17">
        <v>29948.09692298279</v>
      </c>
      <c r="F26" s="17">
        <v>31442.309190397315</v>
      </c>
      <c r="G26" s="17">
        <v>31669.660090325895</v>
      </c>
      <c r="H26" s="17">
        <v>31060.127324949241</v>
      </c>
      <c r="I26" s="17">
        <v>31345.198107006439</v>
      </c>
      <c r="J26" s="17">
        <v>112786.0093387252</v>
      </c>
      <c r="K26" s="17">
        <v>106192.41073285221</v>
      </c>
      <c r="L26" s="17">
        <v>103711.08624727308</v>
      </c>
      <c r="M26" s="17">
        <v>107683.46710291314</v>
      </c>
      <c r="N26" s="17">
        <v>115046.625096545</v>
      </c>
      <c r="O26" s="17">
        <v>116898.25995903944</v>
      </c>
      <c r="P26" s="17">
        <v>121239.88939892346</v>
      </c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1"/>
      <c r="GD26" s="1"/>
      <c r="GE26" s="1"/>
    </row>
    <row r="27" spans="1:188" ht="30" x14ac:dyDescent="0.25">
      <c r="A27" s="15">
        <v>7.7</v>
      </c>
      <c r="B27" s="16" t="s">
        <v>17</v>
      </c>
      <c r="C27" s="17">
        <v>814013.05118878058</v>
      </c>
      <c r="D27" s="17">
        <v>861002.53155663761</v>
      </c>
      <c r="E27" s="17">
        <v>1002317.7433511717</v>
      </c>
      <c r="F27" s="17">
        <v>1117404.3747150218</v>
      </c>
      <c r="G27" s="17">
        <v>1303711.9661484656</v>
      </c>
      <c r="H27" s="17">
        <v>1275754.3657551259</v>
      </c>
      <c r="I27" s="17">
        <v>1184998.8075776445</v>
      </c>
      <c r="J27" s="17">
        <v>1243050.3716765882</v>
      </c>
      <c r="K27" s="17">
        <v>1388077.1976829665</v>
      </c>
      <c r="L27" s="17">
        <v>1345343.4355579196</v>
      </c>
      <c r="M27" s="17">
        <v>1411158.886760056</v>
      </c>
      <c r="N27" s="17">
        <v>1572284.7118218099</v>
      </c>
      <c r="O27" s="17">
        <v>1626181.3509132483</v>
      </c>
      <c r="P27" s="17">
        <v>1712496.4561793539</v>
      </c>
      <c r="Q27" s="4"/>
      <c r="R27" s="4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1"/>
      <c r="GD27" s="1"/>
      <c r="GE27" s="1"/>
    </row>
    <row r="28" spans="1:188" ht="15.75" x14ac:dyDescent="0.25">
      <c r="A28" s="18" t="s">
        <v>37</v>
      </c>
      <c r="B28" s="16" t="s">
        <v>18</v>
      </c>
      <c r="C28" s="17">
        <v>2879395.0239842599</v>
      </c>
      <c r="D28" s="17">
        <v>3169902</v>
      </c>
      <c r="E28" s="17">
        <v>3481860</v>
      </c>
      <c r="F28" s="17">
        <v>3976689</v>
      </c>
      <c r="G28" s="17">
        <v>4538028</v>
      </c>
      <c r="H28" s="17">
        <v>4813754</v>
      </c>
      <c r="I28" s="17">
        <v>4740348.9605117682</v>
      </c>
      <c r="J28" s="17">
        <v>4954139</v>
      </c>
      <c r="K28" s="17">
        <v>5033593</v>
      </c>
      <c r="L28" s="17">
        <v>5591125.1977219349</v>
      </c>
      <c r="M28" s="17">
        <v>5622192.7005823553</v>
      </c>
      <c r="N28" s="17">
        <v>6122648.9364074292</v>
      </c>
      <c r="O28" s="17">
        <v>6975830.2989298692</v>
      </c>
      <c r="P28" s="17">
        <v>7120039.7485714667</v>
      </c>
      <c r="Q28" s="4"/>
      <c r="R28" s="4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1"/>
      <c r="GD28" s="1"/>
      <c r="GE28" s="1"/>
    </row>
    <row r="29" spans="1:188" ht="30" x14ac:dyDescent="0.25">
      <c r="A29" s="18" t="s">
        <v>38</v>
      </c>
      <c r="B29" s="16" t="s">
        <v>19</v>
      </c>
      <c r="C29" s="17">
        <v>14366758.814402254</v>
      </c>
      <c r="D29" s="17">
        <v>16384561.092776801</v>
      </c>
      <c r="E29" s="17">
        <v>18568376.819160096</v>
      </c>
      <c r="F29" s="36">
        <v>20283776.711944889</v>
      </c>
      <c r="G29" s="17">
        <v>23620501.096594501</v>
      </c>
      <c r="H29" s="17">
        <v>27089201.968196053</v>
      </c>
      <c r="I29" s="17">
        <v>28391984.121638849</v>
      </c>
      <c r="J29" s="17">
        <v>30322889.630096622</v>
      </c>
      <c r="K29" s="17">
        <v>33551959.313224036</v>
      </c>
      <c r="L29" s="17">
        <v>34214981.606086396</v>
      </c>
      <c r="M29" s="17">
        <v>37716775.809308335</v>
      </c>
      <c r="N29" s="17">
        <v>44170424.054470956</v>
      </c>
      <c r="O29" s="17">
        <v>48073364.537570141</v>
      </c>
      <c r="P29" s="17">
        <v>52715815.157159001</v>
      </c>
      <c r="Q29" s="4"/>
      <c r="R29" s="4"/>
      <c r="S29" s="3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1"/>
      <c r="GD29" s="1"/>
      <c r="GE29" s="1"/>
    </row>
    <row r="30" spans="1:188" ht="15.75" x14ac:dyDescent="0.25">
      <c r="A30" s="18" t="s">
        <v>39</v>
      </c>
      <c r="B30" s="16" t="s">
        <v>54</v>
      </c>
      <c r="C30" s="17">
        <v>1488762.3019821355</v>
      </c>
      <c r="D30" s="17">
        <v>1666149.0561933853</v>
      </c>
      <c r="E30" s="17">
        <v>1796173.2473210457</v>
      </c>
      <c r="F30" s="17">
        <v>1887868.4141324512</v>
      </c>
      <c r="G30" s="17">
        <v>1952165.6384097766</v>
      </c>
      <c r="H30" s="17">
        <v>1993021.6187508206</v>
      </c>
      <c r="I30" s="17">
        <v>2093362.4543211062</v>
      </c>
      <c r="J30" s="17">
        <v>2486213.0473480094</v>
      </c>
      <c r="K30" s="17">
        <v>2641986.2098658299</v>
      </c>
      <c r="L30" s="17">
        <v>2607988.0772755202</v>
      </c>
      <c r="M30" s="17">
        <v>2646484.0727394507</v>
      </c>
      <c r="N30" s="17">
        <v>2842823.6984993294</v>
      </c>
      <c r="O30" s="17">
        <v>3159663.3886986645</v>
      </c>
      <c r="P30" s="17">
        <v>3780763.7997955359</v>
      </c>
      <c r="Q30" s="4"/>
      <c r="R30" s="4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1"/>
      <c r="GD30" s="1"/>
      <c r="GE30" s="1"/>
    </row>
    <row r="31" spans="1:188" ht="15.75" x14ac:dyDescent="0.25">
      <c r="A31" s="18" t="s">
        <v>40</v>
      </c>
      <c r="B31" s="16" t="s">
        <v>20</v>
      </c>
      <c r="C31" s="17">
        <v>3256051.018741684</v>
      </c>
      <c r="D31" s="17">
        <v>3548366.9899040558</v>
      </c>
      <c r="E31" s="17">
        <v>3794977.2565370155</v>
      </c>
      <c r="F31" s="17">
        <v>4147328.2309297314</v>
      </c>
      <c r="G31" s="17">
        <v>4455900.7614147486</v>
      </c>
      <c r="H31" s="17">
        <v>4985826.7182820803</v>
      </c>
      <c r="I31" s="17">
        <v>5487512.40053875</v>
      </c>
      <c r="J31" s="17">
        <v>5655096.2235395946</v>
      </c>
      <c r="K31" s="17">
        <v>6364767.5977649186</v>
      </c>
      <c r="L31" s="17">
        <v>5182861.7275347449</v>
      </c>
      <c r="M31" s="17">
        <v>6025376.1443135897</v>
      </c>
      <c r="N31" s="17">
        <v>6856177.0385838961</v>
      </c>
      <c r="O31" s="17">
        <v>7306863.5792720914</v>
      </c>
      <c r="P31" s="17">
        <v>8385761.7286948301</v>
      </c>
      <c r="Q31" s="4"/>
      <c r="R31" s="4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1"/>
      <c r="GD31" s="1"/>
      <c r="GE31" s="1"/>
    </row>
    <row r="32" spans="1:188" s="27" customFormat="1" ht="15.75" x14ac:dyDescent="0.25">
      <c r="A32" s="21"/>
      <c r="B32" s="22" t="s">
        <v>30</v>
      </c>
      <c r="C32" s="23">
        <f>C17+C20+C28+C29+C30+C31</f>
        <v>31386326.49304796</v>
      </c>
      <c r="D32" s="23">
        <f t="shared" ref="D32:G32" si="14">D17+D20+D28+D29+D30+D31</f>
        <v>34841904.408042341</v>
      </c>
      <c r="E32" s="23">
        <f t="shared" si="14"/>
        <v>38664525.199166842</v>
      </c>
      <c r="F32" s="23">
        <f t="shared" si="14"/>
        <v>42264864.630433388</v>
      </c>
      <c r="G32" s="23">
        <f t="shared" si="14"/>
        <v>47472865.649266958</v>
      </c>
      <c r="H32" s="23">
        <f t="shared" ref="H32:I32" si="15">H17+H20+H28+H29+H30+H31</f>
        <v>52816447.460343659</v>
      </c>
      <c r="I32" s="23">
        <f t="shared" si="15"/>
        <v>55968534.122422583</v>
      </c>
      <c r="J32" s="23">
        <f t="shared" ref="J32:K32" si="16">J17+J20+J28+J29+J30+J31</f>
        <v>60461693.407830268</v>
      </c>
      <c r="K32" s="23">
        <f t="shared" si="16"/>
        <v>66485666.414558336</v>
      </c>
      <c r="L32" s="23">
        <f t="shared" ref="L32:M32" si="17">L17+L20+L28+L29+L30+L31</f>
        <v>63233325.97073026</v>
      </c>
      <c r="M32" s="23">
        <f t="shared" si="17"/>
        <v>69476446.814190999</v>
      </c>
      <c r="N32" s="23">
        <f t="shared" ref="N32" si="18">N17+N20+N28+N29+N30+N31</f>
        <v>80244057.6423852</v>
      </c>
      <c r="O32" s="23">
        <f t="shared" ref="O32:P32" si="19">O17+O20+O28+O29+O30+O31</f>
        <v>86590697.772743359</v>
      </c>
      <c r="P32" s="23">
        <f t="shared" si="19"/>
        <v>94272656.600942865</v>
      </c>
      <c r="Q32" s="4"/>
      <c r="R32" s="4"/>
      <c r="S32" s="3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6"/>
      <c r="GD32" s="26"/>
      <c r="GE32" s="26"/>
    </row>
    <row r="33" spans="1:188" s="26" customFormat="1" ht="15.75" x14ac:dyDescent="0.25">
      <c r="A33" s="28" t="s">
        <v>27</v>
      </c>
      <c r="B33" s="29" t="s">
        <v>41</v>
      </c>
      <c r="C33" s="30">
        <f t="shared" ref="C33:G33" si="20">C6+C11+C13+C14+C15+C17+C20+C28+C29+C30+C31</f>
        <v>55221364.004997171</v>
      </c>
      <c r="D33" s="30">
        <f t="shared" si="20"/>
        <v>58512351.179365836</v>
      </c>
      <c r="E33" s="30">
        <f t="shared" si="20"/>
        <v>64200748.259605318</v>
      </c>
      <c r="F33" s="30">
        <f t="shared" si="20"/>
        <v>68394435.220155895</v>
      </c>
      <c r="G33" s="30">
        <f t="shared" si="20"/>
        <v>75530653.155151725</v>
      </c>
      <c r="H33" s="30">
        <f t="shared" ref="H33:I33" si="21">H6+H11+H13+H14+H15+H17+H20+H28+H29+H30+H31</f>
        <v>84519597.271870315</v>
      </c>
      <c r="I33" s="30">
        <f t="shared" si="21"/>
        <v>89977016.851136744</v>
      </c>
      <c r="J33" s="30">
        <f t="shared" ref="J33:K33" si="22">J6+J11+J13+J14+J15+J17+J20+J28+J29+J30+J31</f>
        <v>95804915.330322847</v>
      </c>
      <c r="K33" s="30">
        <f t="shared" si="22"/>
        <v>102538478.26966825</v>
      </c>
      <c r="L33" s="30">
        <f t="shared" ref="L33:M33" si="23">L6+L11+L13+L14+L15+L17+L20+L28+L29+L30+L31</f>
        <v>100618333.44635029</v>
      </c>
      <c r="M33" s="30">
        <f t="shared" si="23"/>
        <v>111551690.36053203</v>
      </c>
      <c r="N33" s="30">
        <f t="shared" ref="N33" si="24">N6+N11+N13+N14+N15+N17+N20+N28+N29+N30+N31</f>
        <v>123442940.47244103</v>
      </c>
      <c r="O33" s="30">
        <f t="shared" ref="O33:P33" si="25">O6+O11+O13+O14+O15+O17+O20+O28+O29+O30+O31</f>
        <v>131410621.29295447</v>
      </c>
      <c r="P33" s="30">
        <f t="shared" si="25"/>
        <v>141496007.17791694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F33" s="27"/>
    </row>
    <row r="34" spans="1:188" ht="15.75" x14ac:dyDescent="0.25">
      <c r="A34" s="19" t="s">
        <v>43</v>
      </c>
      <c r="B34" s="20" t="s">
        <v>25</v>
      </c>
      <c r="C34" s="17">
        <v>7019220.6330578076</v>
      </c>
      <c r="D34" s="17">
        <v>7456237.7287568636</v>
      </c>
      <c r="E34" s="17">
        <v>8045314.5811906196</v>
      </c>
      <c r="F34" s="17">
        <v>8492577.4395943973</v>
      </c>
      <c r="G34" s="17">
        <v>9514634.9780048411</v>
      </c>
      <c r="H34" s="17">
        <v>11393480.589601627</v>
      </c>
      <c r="I34" s="17">
        <v>13686518.04160882</v>
      </c>
      <c r="J34" s="17">
        <v>14490213.773876412</v>
      </c>
      <c r="K34" s="17">
        <v>14544055.306682259</v>
      </c>
      <c r="L34" s="17">
        <v>14208339.41610468</v>
      </c>
      <c r="M34" s="17">
        <v>16447093.711176718</v>
      </c>
      <c r="N34" s="17">
        <v>17724584.360331081</v>
      </c>
      <c r="O34" s="17">
        <v>19249570.860549599</v>
      </c>
      <c r="P34" s="17">
        <v>20836529.219772805</v>
      </c>
      <c r="Q34" s="4"/>
      <c r="R34" s="4"/>
      <c r="S34" s="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</row>
    <row r="35" spans="1:188" ht="15.75" x14ac:dyDescent="0.25">
      <c r="A35" s="19" t="s">
        <v>44</v>
      </c>
      <c r="B35" s="20" t="s">
        <v>24</v>
      </c>
      <c r="C35" s="17">
        <v>1639604</v>
      </c>
      <c r="D35" s="17">
        <v>1665286.7279591653</v>
      </c>
      <c r="E35" s="17">
        <v>1799458.7346908476</v>
      </c>
      <c r="F35" s="17">
        <v>2044099.625334844</v>
      </c>
      <c r="G35" s="17">
        <v>1913109.8164427506</v>
      </c>
      <c r="H35" s="17">
        <v>1735661.8561812444</v>
      </c>
      <c r="I35" s="17">
        <v>1691180.7263744897</v>
      </c>
      <c r="J35" s="17">
        <v>1785065.8472202376</v>
      </c>
      <c r="K35" s="17">
        <v>1943213.0853401083</v>
      </c>
      <c r="L35" s="17">
        <v>2395605.1404272248</v>
      </c>
      <c r="M35" s="17">
        <v>3133414.9067517086</v>
      </c>
      <c r="N35" s="17">
        <v>3160983.1240541344</v>
      </c>
      <c r="O35" s="17">
        <v>4402423.3042218816</v>
      </c>
      <c r="P35" s="17">
        <v>5302759.2222018782</v>
      </c>
      <c r="Q35" s="4"/>
      <c r="R35" s="4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</row>
    <row r="36" spans="1:188" s="27" customFormat="1" ht="15.75" x14ac:dyDescent="0.25">
      <c r="A36" s="31" t="s">
        <v>45</v>
      </c>
      <c r="B36" s="32" t="s">
        <v>55</v>
      </c>
      <c r="C36" s="23">
        <f>C33+C34-C35</f>
        <v>60600980.638054982</v>
      </c>
      <c r="D36" s="23">
        <f t="shared" ref="D36:N36" si="26">D33+D34-D35</f>
        <v>64303302.18016354</v>
      </c>
      <c r="E36" s="23">
        <f t="shared" si="26"/>
        <v>70446604.106105089</v>
      </c>
      <c r="F36" s="23">
        <f t="shared" si="26"/>
        <v>74842913.034415454</v>
      </c>
      <c r="G36" s="23">
        <f t="shared" si="26"/>
        <v>83132178.31671381</v>
      </c>
      <c r="H36" s="23">
        <f t="shared" si="26"/>
        <v>94177416.005290687</v>
      </c>
      <c r="I36" s="23">
        <f t="shared" si="26"/>
        <v>101972354.16637108</v>
      </c>
      <c r="J36" s="23">
        <f t="shared" si="26"/>
        <v>108510063.25697902</v>
      </c>
      <c r="K36" s="23">
        <f t="shared" si="26"/>
        <v>115139320.4910104</v>
      </c>
      <c r="L36" s="23">
        <f t="shared" si="26"/>
        <v>112431067.72202773</v>
      </c>
      <c r="M36" s="23">
        <f t="shared" si="26"/>
        <v>124865369.16495705</v>
      </c>
      <c r="N36" s="23">
        <f t="shared" si="26"/>
        <v>138006541.70871797</v>
      </c>
      <c r="O36" s="23">
        <f t="shared" ref="O36:P36" si="27">O33+O34-O35</f>
        <v>146257768.84928221</v>
      </c>
      <c r="P36" s="23">
        <f t="shared" si="27"/>
        <v>157029777.17548788</v>
      </c>
      <c r="Q36" s="4"/>
      <c r="R36" s="4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</row>
    <row r="37" spans="1:188" s="27" customFormat="1" ht="15.75" x14ac:dyDescent="0.25">
      <c r="A37" s="31" t="s">
        <v>46</v>
      </c>
      <c r="B37" s="32" t="s">
        <v>42</v>
      </c>
      <c r="C37" s="23">
        <f>GSVA_cur!C37</f>
        <v>614820</v>
      </c>
      <c r="D37" s="23">
        <f>GSVA_cur!D37</f>
        <v>621510</v>
      </c>
      <c r="E37" s="23">
        <f>GSVA_cur!E37</f>
        <v>628270</v>
      </c>
      <c r="F37" s="23">
        <f>GSVA_cur!F37</f>
        <v>635100</v>
      </c>
      <c r="G37" s="23">
        <f>GSVA_cur!G37</f>
        <v>642010</v>
      </c>
      <c r="H37" s="23">
        <f>GSVA_cur!H37</f>
        <v>649000</v>
      </c>
      <c r="I37" s="23">
        <f>GSVA_cur!I37</f>
        <v>650570</v>
      </c>
      <c r="J37" s="23">
        <f>GSVA_cur!J37</f>
        <v>655800</v>
      </c>
      <c r="K37" s="23">
        <f>GSVA_cur!K37</f>
        <v>661040</v>
      </c>
      <c r="L37" s="23">
        <f>GSVA_cur!L37</f>
        <v>666270</v>
      </c>
      <c r="M37" s="23">
        <f>GSVA_cur!M37</f>
        <v>670920</v>
      </c>
      <c r="N37" s="23">
        <f>GSVA_cur!N37</f>
        <v>675150</v>
      </c>
      <c r="O37" s="23">
        <f>GSVA_cur!O37</f>
        <v>679390</v>
      </c>
      <c r="P37" s="23">
        <f>GSVA_cur!P37</f>
        <v>683620</v>
      </c>
      <c r="Q37" s="2"/>
      <c r="R37" s="2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</row>
    <row r="38" spans="1:188" s="27" customFormat="1" ht="15.75" x14ac:dyDescent="0.25">
      <c r="A38" s="31" t="s">
        <v>47</v>
      </c>
      <c r="B38" s="32" t="s">
        <v>58</v>
      </c>
      <c r="C38" s="23">
        <f>C36/C37*1000</f>
        <v>98567.02878575027</v>
      </c>
      <c r="D38" s="23">
        <f t="shared" ref="D38:N38" si="28">D36/D37*1000</f>
        <v>103463.02099751178</v>
      </c>
      <c r="E38" s="23">
        <f t="shared" si="28"/>
        <v>112127.91332724002</v>
      </c>
      <c r="F38" s="23">
        <f t="shared" si="28"/>
        <v>117844.29701529752</v>
      </c>
      <c r="G38" s="23">
        <f t="shared" si="28"/>
        <v>129487.35738806843</v>
      </c>
      <c r="H38" s="23">
        <f t="shared" si="28"/>
        <v>145111.58090183465</v>
      </c>
      <c r="I38" s="23">
        <f t="shared" si="28"/>
        <v>156743.09323573339</v>
      </c>
      <c r="J38" s="23">
        <f t="shared" si="28"/>
        <v>165462.12756477436</v>
      </c>
      <c r="K38" s="23">
        <f t="shared" si="28"/>
        <v>174179.05193484569</v>
      </c>
      <c r="L38" s="23">
        <f t="shared" si="28"/>
        <v>168747.00605164233</v>
      </c>
      <c r="M38" s="23">
        <f t="shared" si="28"/>
        <v>186110.66768758875</v>
      </c>
      <c r="N38" s="23">
        <f t="shared" si="28"/>
        <v>204408.71170661034</v>
      </c>
      <c r="O38" s="23">
        <f t="shared" ref="O38:P38" si="29">O36/O37*1000</f>
        <v>215278.07128347814</v>
      </c>
      <c r="P38" s="23">
        <f t="shared" si="29"/>
        <v>229703.31057530188</v>
      </c>
      <c r="Q38" s="2"/>
      <c r="R38" s="2"/>
      <c r="S38" s="3"/>
      <c r="T38" s="3"/>
      <c r="U38" s="3"/>
      <c r="V38" s="3"/>
      <c r="W38" s="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BX38" s="25"/>
      <c r="BY38" s="25"/>
      <c r="BZ38" s="25"/>
      <c r="CA38" s="25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</row>
    <row r="39" spans="1:188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3" max="1048575" man="1"/>
    <brk id="35" max="1048575" man="1"/>
    <brk id="51" max="1048575" man="1"/>
    <brk id="115" max="95" man="1"/>
    <brk id="151" max="1048575" man="1"/>
    <brk id="175" max="1048575" man="1"/>
    <brk id="183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39"/>
  <sheetViews>
    <sheetView zoomScale="82" zoomScaleNormal="82" zoomScaleSheetLayoutView="100" workbookViewId="0">
      <pane xSplit="2" ySplit="5" topLeftCell="C6" activePane="bottomRight" state="frozen"/>
      <selection activeCell="S13" sqref="S13"/>
      <selection pane="topRight" activeCell="S13" sqref="S13"/>
      <selection pane="bottomLeft" activeCell="S13" sqref="S13"/>
      <selection pane="bottomRight" activeCell="S13" sqref="S13"/>
    </sheetView>
  </sheetViews>
  <sheetFormatPr defaultColWidth="8.85546875" defaultRowHeight="15" x14ac:dyDescent="0.25"/>
  <cols>
    <col min="1" max="1" width="11" style="2" customWidth="1"/>
    <col min="2" max="2" width="37.28515625" style="2" customWidth="1"/>
    <col min="3" max="6" width="11.28515625" style="2" customWidth="1"/>
    <col min="7" max="16" width="11.85546875" style="1" customWidth="1"/>
    <col min="17" max="17" width="9.140625" style="2" customWidth="1"/>
    <col min="18" max="18" width="11.85546875" style="2" customWidth="1"/>
    <col min="19" max="19" width="11.28515625" style="2" customWidth="1"/>
    <col min="20" max="20" width="11.7109375" style="1" customWidth="1"/>
    <col min="21" max="21" width="9.140625" style="2" customWidth="1"/>
    <col min="22" max="22" width="10.85546875" style="2" customWidth="1"/>
    <col min="23" max="23" width="10.85546875" style="1" customWidth="1"/>
    <col min="24" max="24" width="11" style="2" customWidth="1"/>
    <col min="25" max="27" width="11.42578125" style="2" customWidth="1"/>
    <col min="28" max="55" width="9.140625" style="2" customWidth="1"/>
    <col min="56" max="56" width="12.42578125" style="2" customWidth="1"/>
    <col min="57" max="78" width="9.140625" style="2" customWidth="1"/>
    <col min="79" max="79" width="12.140625" style="2" customWidth="1"/>
    <col min="80" max="83" width="9.140625" style="2" customWidth="1"/>
    <col min="84" max="88" width="9.140625" style="2" hidden="1" customWidth="1"/>
    <col min="89" max="89" width="9.140625" style="2" customWidth="1"/>
    <col min="90" max="94" width="9.140625" style="2" hidden="1" customWidth="1"/>
    <col min="95" max="95" width="9.140625" style="2" customWidth="1"/>
    <col min="96" max="100" width="9.140625" style="2" hidden="1" customWidth="1"/>
    <col min="101" max="101" width="9.140625" style="2" customWidth="1"/>
    <col min="102" max="106" width="9.140625" style="2" hidden="1" customWidth="1"/>
    <col min="107" max="107" width="9.140625" style="2" customWidth="1"/>
    <col min="108" max="112" width="9.140625" style="2" hidden="1" customWidth="1"/>
    <col min="113" max="113" width="9.140625" style="1" customWidth="1"/>
    <col min="114" max="118" width="9.140625" style="1" hidden="1" customWidth="1"/>
    <col min="119" max="119" width="9.140625" style="1" customWidth="1"/>
    <col min="120" max="124" width="9.140625" style="1" hidden="1" customWidth="1"/>
    <col min="125" max="125" width="9.140625" style="1" customWidth="1"/>
    <col min="126" max="130" width="9.140625" style="1" hidden="1" customWidth="1"/>
    <col min="131" max="131" width="9.140625" style="1" customWidth="1"/>
    <col min="132" max="161" width="9.140625" style="2" customWidth="1"/>
    <col min="162" max="162" width="9.140625" style="2" hidden="1" customWidth="1"/>
    <col min="163" max="170" width="9.140625" style="2" customWidth="1"/>
    <col min="171" max="171" width="9.140625" style="2" hidden="1" customWidth="1"/>
    <col min="172" max="176" width="9.140625" style="2" customWidth="1"/>
    <col min="177" max="177" width="9.140625" style="2" hidden="1" customWidth="1"/>
    <col min="178" max="187" width="9.140625" style="2" customWidth="1"/>
    <col min="188" max="191" width="8.85546875" style="2"/>
    <col min="192" max="192" width="12.7109375" style="2" bestFit="1" customWidth="1"/>
    <col min="193" max="16384" width="8.85546875" style="2"/>
  </cols>
  <sheetData>
    <row r="1" spans="1:192" ht="18.75" x14ac:dyDescent="0.3">
      <c r="A1" s="2" t="s">
        <v>53</v>
      </c>
      <c r="B1" s="6" t="s">
        <v>66</v>
      </c>
      <c r="V1" s="3"/>
    </row>
    <row r="2" spans="1:192" ht="15.75" x14ac:dyDescent="0.25">
      <c r="A2" s="7" t="s">
        <v>50</v>
      </c>
      <c r="I2" s="1" t="str">
        <f>[1]GSVA_cur!$I$3</f>
        <v>01.08.2025</v>
      </c>
    </row>
    <row r="3" spans="1:192" ht="15.75" x14ac:dyDescent="0.25">
      <c r="A3" s="7"/>
    </row>
    <row r="4" spans="1:192" ht="15.75" x14ac:dyDescent="0.25">
      <c r="A4" s="7"/>
      <c r="E4" s="8"/>
      <c r="F4" s="8" t="s">
        <v>57</v>
      </c>
    </row>
    <row r="5" spans="1:192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2" t="s">
        <v>65</v>
      </c>
      <c r="H5" s="12" t="s">
        <v>67</v>
      </c>
      <c r="I5" s="12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92" s="26" customFormat="1" ht="15.75" x14ac:dyDescent="0.25">
      <c r="A6" s="28" t="s">
        <v>26</v>
      </c>
      <c r="B6" s="33" t="s">
        <v>2</v>
      </c>
      <c r="C6" s="30">
        <f>SUM(C7:C10)</f>
        <v>6964391.8637563679</v>
      </c>
      <c r="D6" s="30">
        <f t="shared" ref="D6:N6" si="0">SUM(D7:D10)</f>
        <v>7510315.9416741887</v>
      </c>
      <c r="E6" s="30">
        <f t="shared" si="0"/>
        <v>8897659.6823612861</v>
      </c>
      <c r="F6" s="30">
        <f t="shared" si="0"/>
        <v>10097582.385099217</v>
      </c>
      <c r="G6" s="30">
        <f t="shared" si="0"/>
        <v>10395311.134434059</v>
      </c>
      <c r="H6" s="30">
        <f t="shared" si="0"/>
        <v>11001386.833181478</v>
      </c>
      <c r="I6" s="30">
        <f t="shared" si="0"/>
        <v>14026844.321040476</v>
      </c>
      <c r="J6" s="30">
        <f t="shared" si="0"/>
        <v>14218309.520356286</v>
      </c>
      <c r="K6" s="30">
        <f t="shared" si="0"/>
        <v>17141121.467580568</v>
      </c>
      <c r="L6" s="30">
        <f t="shared" si="0"/>
        <v>21614723.984177221</v>
      </c>
      <c r="M6" s="30">
        <f t="shared" si="0"/>
        <v>25306808.202983752</v>
      </c>
      <c r="N6" s="30">
        <f t="shared" si="0"/>
        <v>25465613.924862575</v>
      </c>
      <c r="O6" s="30">
        <f t="shared" ref="O6:P6" si="1">SUM(O7:O10)</f>
        <v>26412624.754246052</v>
      </c>
      <c r="P6" s="30">
        <f t="shared" si="1"/>
        <v>28999280.731359635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J6" s="27"/>
    </row>
    <row r="7" spans="1:192" ht="15.75" x14ac:dyDescent="0.25">
      <c r="A7" s="15">
        <v>1.1000000000000001</v>
      </c>
      <c r="B7" s="16" t="s">
        <v>59</v>
      </c>
      <c r="C7" s="17">
        <v>4807446.0422259727</v>
      </c>
      <c r="D7" s="17">
        <v>5143509.2256610114</v>
      </c>
      <c r="E7" s="17">
        <v>6293219.1503556073</v>
      </c>
      <c r="F7" s="17">
        <v>7144327.802679088</v>
      </c>
      <c r="G7" s="17">
        <v>7202738.0442000013</v>
      </c>
      <c r="H7" s="17">
        <v>7379227.8279846488</v>
      </c>
      <c r="I7" s="17">
        <v>9985398.6736347862</v>
      </c>
      <c r="J7" s="17">
        <v>9600024.2303673942</v>
      </c>
      <c r="K7" s="17">
        <v>11112429.936405471</v>
      </c>
      <c r="L7" s="17">
        <v>14078408.331126688</v>
      </c>
      <c r="M7" s="17">
        <v>16177011.938659847</v>
      </c>
      <c r="N7" s="17">
        <v>15058323.424047314</v>
      </c>
      <c r="O7" s="17">
        <v>15240938.965790942</v>
      </c>
      <c r="P7" s="17">
        <v>16815569.739165012</v>
      </c>
      <c r="Q7" s="4"/>
      <c r="R7" s="4"/>
      <c r="S7" s="4"/>
      <c r="T7" s="3"/>
      <c r="U7" s="4"/>
      <c r="V7" s="4"/>
      <c r="W7" s="3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1"/>
      <c r="GH7" s="1"/>
      <c r="GI7" s="1"/>
    </row>
    <row r="8" spans="1:192" ht="15.75" x14ac:dyDescent="0.25">
      <c r="A8" s="15">
        <v>1.2</v>
      </c>
      <c r="B8" s="16" t="s">
        <v>60</v>
      </c>
      <c r="C8" s="17">
        <v>1329695.0605227009</v>
      </c>
      <c r="D8" s="17">
        <v>1484130.531382852</v>
      </c>
      <c r="E8" s="17">
        <v>1608825.1556250618</v>
      </c>
      <c r="F8" s="17">
        <v>1844195.504049089</v>
      </c>
      <c r="G8" s="17">
        <v>1950450.3854649356</v>
      </c>
      <c r="H8" s="17">
        <v>2259473.7322490998</v>
      </c>
      <c r="I8" s="17">
        <v>2600257.1752728242</v>
      </c>
      <c r="J8" s="17">
        <v>3133664.8074685712</v>
      </c>
      <c r="K8" s="17">
        <v>4208242.5768156732</v>
      </c>
      <c r="L8" s="17">
        <v>5620511.2211382762</v>
      </c>
      <c r="M8" s="17">
        <v>6510475.7741294159</v>
      </c>
      <c r="N8" s="17">
        <v>7724229.4363691621</v>
      </c>
      <c r="O8" s="17">
        <v>8401768.353298286</v>
      </c>
      <c r="P8" s="17">
        <v>9246694.4359412137</v>
      </c>
      <c r="Q8" s="4"/>
      <c r="R8" s="4"/>
      <c r="S8" s="4"/>
      <c r="T8" s="3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1"/>
      <c r="GH8" s="1"/>
      <c r="GI8" s="1"/>
    </row>
    <row r="9" spans="1:192" ht="15.75" x14ac:dyDescent="0.25">
      <c r="A9" s="15">
        <v>1.3</v>
      </c>
      <c r="B9" s="16" t="s">
        <v>61</v>
      </c>
      <c r="C9" s="17">
        <v>586959.38511839288</v>
      </c>
      <c r="D9" s="17">
        <v>598145.40889911714</v>
      </c>
      <c r="E9" s="17">
        <v>651242.97146774817</v>
      </c>
      <c r="F9" s="17">
        <v>655290.60534174868</v>
      </c>
      <c r="G9" s="17">
        <v>832281.53973045631</v>
      </c>
      <c r="H9" s="17">
        <v>960388.5145149841</v>
      </c>
      <c r="I9" s="17">
        <v>866894.90234310995</v>
      </c>
      <c r="J9" s="17">
        <v>1032296.8180546098</v>
      </c>
      <c r="K9" s="17">
        <v>1325029.1917262087</v>
      </c>
      <c r="L9" s="17">
        <v>1425320.9278370065</v>
      </c>
      <c r="M9" s="17">
        <v>1653814.7329229475</v>
      </c>
      <c r="N9" s="17">
        <v>1592073.7591800147</v>
      </c>
      <c r="O9" s="17">
        <v>1630774.3116658172</v>
      </c>
      <c r="P9" s="17">
        <v>1668563.3805191254</v>
      </c>
      <c r="Q9" s="4"/>
      <c r="R9" s="4"/>
      <c r="S9" s="4"/>
      <c r="T9" s="3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1"/>
      <c r="GH9" s="1"/>
      <c r="GI9" s="1"/>
    </row>
    <row r="10" spans="1:192" ht="15.75" x14ac:dyDescent="0.25">
      <c r="A10" s="15">
        <v>1.4</v>
      </c>
      <c r="B10" s="16" t="s">
        <v>62</v>
      </c>
      <c r="C10" s="17">
        <v>240291.37588930136</v>
      </c>
      <c r="D10" s="17">
        <v>284530.77573120809</v>
      </c>
      <c r="E10" s="17">
        <v>344372.40491286915</v>
      </c>
      <c r="F10" s="17">
        <v>453768.47302929201</v>
      </c>
      <c r="G10" s="17">
        <v>409841.1650386671</v>
      </c>
      <c r="H10" s="17">
        <v>402296.75843274343</v>
      </c>
      <c r="I10" s="17">
        <v>574293.56978975574</v>
      </c>
      <c r="J10" s="17">
        <v>452323.6644657118</v>
      </c>
      <c r="K10" s="17">
        <v>495419.76263321668</v>
      </c>
      <c r="L10" s="17">
        <v>490483.50407524611</v>
      </c>
      <c r="M10" s="17">
        <v>965505.7572715386</v>
      </c>
      <c r="N10" s="17">
        <v>1090987.3052660874</v>
      </c>
      <c r="O10" s="17">
        <v>1139143.1234910062</v>
      </c>
      <c r="P10" s="17">
        <v>1268453.1757342818</v>
      </c>
      <c r="Q10" s="4"/>
      <c r="R10" s="4"/>
      <c r="S10" s="4"/>
      <c r="T10" s="3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1"/>
      <c r="GH10" s="1"/>
      <c r="GI10" s="1"/>
    </row>
    <row r="11" spans="1:192" ht="15.75" x14ac:dyDescent="0.25">
      <c r="A11" s="18" t="s">
        <v>31</v>
      </c>
      <c r="B11" s="16" t="s">
        <v>3</v>
      </c>
      <c r="C11" s="17">
        <v>395905.82543950673</v>
      </c>
      <c r="D11" s="17">
        <v>357911.71627432236</v>
      </c>
      <c r="E11" s="17">
        <v>528514.18782400002</v>
      </c>
      <c r="F11" s="17">
        <v>723797.07459600002</v>
      </c>
      <c r="G11" s="17">
        <v>510603.84945907211</v>
      </c>
      <c r="H11" s="17">
        <v>570277.51797516539</v>
      </c>
      <c r="I11" s="17">
        <v>756923.84496000002</v>
      </c>
      <c r="J11" s="17">
        <v>756442.78120000008</v>
      </c>
      <c r="K11" s="17">
        <v>720774.82329709455</v>
      </c>
      <c r="L11" s="17">
        <v>883003.44313905749</v>
      </c>
      <c r="M11" s="17">
        <v>1332773.7356292868</v>
      </c>
      <c r="N11" s="17">
        <v>978719.03648771916</v>
      </c>
      <c r="O11" s="17">
        <v>1290558.0485704092</v>
      </c>
      <c r="P11" s="17">
        <v>1613180.142292721</v>
      </c>
      <c r="Q11" s="4"/>
      <c r="R11" s="4"/>
      <c r="S11" s="4"/>
      <c r="T11" s="3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1"/>
      <c r="GH11" s="1"/>
      <c r="GI11" s="1"/>
    </row>
    <row r="12" spans="1:192" s="27" customFormat="1" ht="15.75" x14ac:dyDescent="0.25">
      <c r="A12" s="21"/>
      <c r="B12" s="22" t="s">
        <v>28</v>
      </c>
      <c r="C12" s="23">
        <f>C6+C11</f>
        <v>7360297.6891958751</v>
      </c>
      <c r="D12" s="23">
        <f t="shared" ref="D12:N12" si="2">D6+D11</f>
        <v>7868227.6579485107</v>
      </c>
      <c r="E12" s="23">
        <f t="shared" si="2"/>
        <v>9426173.8701852858</v>
      </c>
      <c r="F12" s="23">
        <f t="shared" si="2"/>
        <v>10821379.459695218</v>
      </c>
      <c r="G12" s="23">
        <f t="shared" si="2"/>
        <v>10905914.983893132</v>
      </c>
      <c r="H12" s="23">
        <f t="shared" si="2"/>
        <v>11571664.351156643</v>
      </c>
      <c r="I12" s="23">
        <f t="shared" si="2"/>
        <v>14783768.166000476</v>
      </c>
      <c r="J12" s="23">
        <f t="shared" si="2"/>
        <v>14974752.301556285</v>
      </c>
      <c r="K12" s="23">
        <f t="shared" si="2"/>
        <v>17861896.290877663</v>
      </c>
      <c r="L12" s="23">
        <f t="shared" si="2"/>
        <v>22497727.427316278</v>
      </c>
      <c r="M12" s="23">
        <f t="shared" si="2"/>
        <v>26639581.938613039</v>
      </c>
      <c r="N12" s="23">
        <f t="shared" si="2"/>
        <v>26444332.961350296</v>
      </c>
      <c r="O12" s="23">
        <f t="shared" ref="O12:P12" si="3">O6+O11</f>
        <v>27703182.802816462</v>
      </c>
      <c r="P12" s="23">
        <f t="shared" si="3"/>
        <v>30612460.873652354</v>
      </c>
      <c r="Q12" s="4"/>
      <c r="R12" s="4"/>
      <c r="S12" s="4"/>
      <c r="T12" s="3"/>
      <c r="U12" s="4"/>
      <c r="V12" s="4"/>
      <c r="W12" s="3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6"/>
      <c r="GH12" s="26"/>
      <c r="GI12" s="26"/>
    </row>
    <row r="13" spans="1:192" s="1" customFormat="1" ht="15.75" x14ac:dyDescent="0.25">
      <c r="A13" s="13" t="s">
        <v>32</v>
      </c>
      <c r="B13" s="14" t="s">
        <v>4</v>
      </c>
      <c r="C13" s="17">
        <v>8343501.3432913413</v>
      </c>
      <c r="D13" s="17">
        <v>9292604.0087183975</v>
      </c>
      <c r="E13" s="17">
        <v>9971262.4460000005</v>
      </c>
      <c r="F13" s="17">
        <v>10098360.850378029</v>
      </c>
      <c r="G13" s="17">
        <v>12358288.449109005</v>
      </c>
      <c r="H13" s="17">
        <v>16256230.031520212</v>
      </c>
      <c r="I13" s="17">
        <v>17022746.957768533</v>
      </c>
      <c r="J13" s="17">
        <v>18803429.903480493</v>
      </c>
      <c r="K13" s="17">
        <v>17508934.345416058</v>
      </c>
      <c r="L13" s="17">
        <v>17402967.966357671</v>
      </c>
      <c r="M13" s="17">
        <v>23048150.439156566</v>
      </c>
      <c r="N13" s="17">
        <v>24075811.469172861</v>
      </c>
      <c r="O13" s="17">
        <v>25938953.199346431</v>
      </c>
      <c r="P13" s="17">
        <v>28185198.445786588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J13" s="2"/>
    </row>
    <row r="14" spans="1:192" ht="30" x14ac:dyDescent="0.25">
      <c r="A14" s="18" t="s">
        <v>33</v>
      </c>
      <c r="B14" s="16" t="s">
        <v>5</v>
      </c>
      <c r="C14" s="17">
        <v>719384.26684064069</v>
      </c>
      <c r="D14" s="17">
        <v>750505.43196773599</v>
      </c>
      <c r="E14" s="17">
        <v>837634.63331240532</v>
      </c>
      <c r="F14" s="17">
        <v>937348.45008317183</v>
      </c>
      <c r="G14" s="17">
        <v>1117304.544562032</v>
      </c>
      <c r="H14" s="17">
        <v>1014757.6485301749</v>
      </c>
      <c r="I14" s="17">
        <v>1259576.7907641451</v>
      </c>
      <c r="J14" s="17">
        <v>1438499.4344669241</v>
      </c>
      <c r="K14" s="17">
        <v>1579250.2685936857</v>
      </c>
      <c r="L14" s="17">
        <v>1609218.1189051243</v>
      </c>
      <c r="M14" s="17">
        <v>1813767.2938246152</v>
      </c>
      <c r="N14" s="17">
        <v>2042610.9056349639</v>
      </c>
      <c r="O14" s="17">
        <v>2238636.0483581889</v>
      </c>
      <c r="P14" s="17">
        <v>2493855.5103467004</v>
      </c>
      <c r="Q14" s="4"/>
      <c r="R14" s="4"/>
      <c r="S14" s="4"/>
      <c r="T14" s="3"/>
      <c r="U14" s="4"/>
      <c r="V14" s="4"/>
      <c r="W14" s="3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3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3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3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1"/>
      <c r="GH14" s="1"/>
      <c r="GI14" s="1"/>
    </row>
    <row r="15" spans="1:192" ht="15.75" x14ac:dyDescent="0.25">
      <c r="A15" s="18" t="s">
        <v>34</v>
      </c>
      <c r="B15" s="16" t="s">
        <v>6</v>
      </c>
      <c r="C15" s="17">
        <v>4801597.8171082055</v>
      </c>
      <c r="D15" s="17">
        <v>4965441.933527749</v>
      </c>
      <c r="E15" s="17">
        <v>5579221.4703135891</v>
      </c>
      <c r="F15" s="17">
        <v>5776508.0414000005</v>
      </c>
      <c r="G15" s="17">
        <v>5747323.2327042911</v>
      </c>
      <c r="H15" s="17">
        <v>6037324.0309834369</v>
      </c>
      <c r="I15" s="17">
        <v>6675953.7125599487</v>
      </c>
      <c r="J15" s="17">
        <v>7662009.5359460972</v>
      </c>
      <c r="K15" s="17">
        <v>7716491.9516579788</v>
      </c>
      <c r="L15" s="17">
        <v>7408525.3582066651</v>
      </c>
      <c r="M15" s="17">
        <v>9996713.3861249909</v>
      </c>
      <c r="N15" s="17">
        <v>11434345.533788877</v>
      </c>
      <c r="O15" s="17">
        <v>12494867.798792914</v>
      </c>
      <c r="P15" s="17">
        <v>13483773.216368631</v>
      </c>
      <c r="Q15" s="4"/>
      <c r="R15" s="4"/>
      <c r="S15" s="4"/>
      <c r="T15" s="3"/>
      <c r="U15" s="4"/>
      <c r="V15" s="4"/>
      <c r="W15" s="3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3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3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3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1"/>
      <c r="GH15" s="1"/>
      <c r="GI15" s="1"/>
    </row>
    <row r="16" spans="1:192" s="27" customFormat="1" ht="15.75" x14ac:dyDescent="0.25">
      <c r="A16" s="21"/>
      <c r="B16" s="22" t="s">
        <v>29</v>
      </c>
      <c r="C16" s="23">
        <f>+C13+C14+C15</f>
        <v>13864483.427240189</v>
      </c>
      <c r="D16" s="23">
        <f t="shared" ref="D16:I16" si="4">+D13+D14+D15</f>
        <v>15008551.374213882</v>
      </c>
      <c r="E16" s="23">
        <f t="shared" si="4"/>
        <v>16388118.549625997</v>
      </c>
      <c r="F16" s="23">
        <f t="shared" si="4"/>
        <v>16812217.341861203</v>
      </c>
      <c r="G16" s="23">
        <f t="shared" si="4"/>
        <v>19222916.226375327</v>
      </c>
      <c r="H16" s="23">
        <f t="shared" si="4"/>
        <v>23308311.711033825</v>
      </c>
      <c r="I16" s="23">
        <f t="shared" si="4"/>
        <v>24958277.461092629</v>
      </c>
      <c r="J16" s="23">
        <f t="shared" ref="J16:K16" si="5">+J13+J14+J15</f>
        <v>27903938.873893514</v>
      </c>
      <c r="K16" s="23">
        <f t="shared" si="5"/>
        <v>26804676.565667726</v>
      </c>
      <c r="L16" s="23">
        <f t="shared" ref="L16:N16" si="6">+L13+L14+L15</f>
        <v>26420711.443469457</v>
      </c>
      <c r="M16" s="23">
        <f t="shared" si="6"/>
        <v>34858631.119106174</v>
      </c>
      <c r="N16" s="23">
        <f t="shared" si="6"/>
        <v>37552767.908596702</v>
      </c>
      <c r="O16" s="23">
        <f t="shared" ref="O16:P16" si="7">+O13+O14+O15</f>
        <v>40672457.046497531</v>
      </c>
      <c r="P16" s="23">
        <f t="shared" si="7"/>
        <v>44162827.172501922</v>
      </c>
      <c r="Q16" s="4"/>
      <c r="R16" s="4"/>
      <c r="S16" s="4"/>
      <c r="T16" s="3"/>
      <c r="U16" s="4"/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4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4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4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6"/>
      <c r="GH16" s="26"/>
      <c r="GI16" s="26"/>
    </row>
    <row r="17" spans="1:192" s="26" customFormat="1" ht="15.75" x14ac:dyDescent="0.25">
      <c r="A17" s="28" t="s">
        <v>35</v>
      </c>
      <c r="B17" s="33" t="s">
        <v>7</v>
      </c>
      <c r="C17" s="30">
        <f>C18+C19</f>
        <v>5794547.1372169759</v>
      </c>
      <c r="D17" s="30">
        <f t="shared" ref="D17:I17" si="8">D18+D19</f>
        <v>6673157.0267323181</v>
      </c>
      <c r="E17" s="30">
        <f t="shared" si="8"/>
        <v>7969885.2286999999</v>
      </c>
      <c r="F17" s="30">
        <f t="shared" si="8"/>
        <v>9028827.4294999987</v>
      </c>
      <c r="G17" s="30">
        <f t="shared" si="8"/>
        <v>9666400.1630000006</v>
      </c>
      <c r="H17" s="30">
        <f t="shared" si="8"/>
        <v>11135564.2664</v>
      </c>
      <c r="I17" s="30">
        <f t="shared" si="8"/>
        <v>12821124.364700001</v>
      </c>
      <c r="J17" s="30">
        <f t="shared" ref="J17:K17" si="9">J18+J19</f>
        <v>15450959.522399999</v>
      </c>
      <c r="K17" s="30">
        <f t="shared" si="9"/>
        <v>16971315.78515134</v>
      </c>
      <c r="L17" s="30">
        <f t="shared" ref="L17:N17" si="10">L18+L19</f>
        <v>13340137.299973477</v>
      </c>
      <c r="M17" s="30">
        <f t="shared" si="10"/>
        <v>17062847.276026394</v>
      </c>
      <c r="N17" s="30">
        <f t="shared" si="10"/>
        <v>21643943.738514353</v>
      </c>
      <c r="O17" s="30">
        <f t="shared" ref="O17:P17" si="11">O18+O19</f>
        <v>23467488.608396903</v>
      </c>
      <c r="P17" s="30">
        <f t="shared" si="11"/>
        <v>25904799.698408939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J17" s="27"/>
    </row>
    <row r="18" spans="1:192" ht="15.75" x14ac:dyDescent="0.25">
      <c r="A18" s="15">
        <v>6.1</v>
      </c>
      <c r="B18" s="16" t="s">
        <v>8</v>
      </c>
      <c r="C18" s="17">
        <v>4752139.8708662549</v>
      </c>
      <c r="D18" s="17">
        <v>5532638.4991402309</v>
      </c>
      <c r="E18" s="17">
        <v>6737004.9451000001</v>
      </c>
      <c r="F18" s="17">
        <v>7737797.4119999995</v>
      </c>
      <c r="G18" s="17">
        <v>8283977.7090000007</v>
      </c>
      <c r="H18" s="17">
        <v>9616745.8763999995</v>
      </c>
      <c r="I18" s="17">
        <v>11048296.571</v>
      </c>
      <c r="J18" s="17">
        <v>13348725.4024</v>
      </c>
      <c r="K18" s="17">
        <v>14763901.718410693</v>
      </c>
      <c r="L18" s="17">
        <v>12353936.834138853</v>
      </c>
      <c r="M18" s="17">
        <v>15518985.032380704</v>
      </c>
      <c r="N18" s="17">
        <v>18956710.699428774</v>
      </c>
      <c r="O18" s="17">
        <v>20626282.345383093</v>
      </c>
      <c r="P18" s="17">
        <v>22852242.583925899</v>
      </c>
      <c r="Q18" s="4"/>
      <c r="R18" s="4"/>
      <c r="S18" s="4"/>
      <c r="T18" s="3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1"/>
      <c r="GH18" s="1"/>
      <c r="GI18" s="1"/>
    </row>
    <row r="19" spans="1:192" ht="15.75" x14ac:dyDescent="0.25">
      <c r="A19" s="15">
        <v>6.2</v>
      </c>
      <c r="B19" s="16" t="s">
        <v>9</v>
      </c>
      <c r="C19" s="17">
        <v>1042407.266350721</v>
      </c>
      <c r="D19" s="17">
        <v>1140518.5275920874</v>
      </c>
      <c r="E19" s="17">
        <v>1232880.2836</v>
      </c>
      <c r="F19" s="17">
        <v>1291030.0175000001</v>
      </c>
      <c r="G19" s="17">
        <v>1382422.4539999999</v>
      </c>
      <c r="H19" s="17">
        <v>1518818.39</v>
      </c>
      <c r="I19" s="17">
        <v>1772827.7936999998</v>
      </c>
      <c r="J19" s="17">
        <v>2102234.12</v>
      </c>
      <c r="K19" s="17">
        <v>2207414.0667406474</v>
      </c>
      <c r="L19" s="17">
        <v>986200.46583462413</v>
      </c>
      <c r="M19" s="17">
        <v>1543862.243645689</v>
      </c>
      <c r="N19" s="17">
        <v>2687233.0390855791</v>
      </c>
      <c r="O19" s="17">
        <v>2841206.2630138085</v>
      </c>
      <c r="P19" s="17">
        <v>3052557.1144830389</v>
      </c>
      <c r="Q19" s="4"/>
      <c r="R19" s="4"/>
      <c r="S19" s="4"/>
      <c r="T19" s="3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1"/>
      <c r="GH19" s="1"/>
      <c r="GI19" s="1"/>
    </row>
    <row r="20" spans="1:192" s="26" customFormat="1" ht="30" x14ac:dyDescent="0.25">
      <c r="A20" s="34" t="s">
        <v>36</v>
      </c>
      <c r="B20" s="35" t="s">
        <v>10</v>
      </c>
      <c r="C20" s="30">
        <f>SUM(C21:C27)</f>
        <v>2940286.2767409445</v>
      </c>
      <c r="D20" s="30">
        <f t="shared" ref="D20:N20" si="12">SUM(D21:D27)</f>
        <v>3394690.0892944192</v>
      </c>
      <c r="E20" s="30">
        <f t="shared" si="12"/>
        <v>3893865.5642233985</v>
      </c>
      <c r="F20" s="30">
        <f t="shared" si="12"/>
        <v>4418574.9315000009</v>
      </c>
      <c r="G20" s="30">
        <f t="shared" si="12"/>
        <v>5156946.7398366844</v>
      </c>
      <c r="H20" s="30">
        <f t="shared" si="12"/>
        <v>5407177.7280000001</v>
      </c>
      <c r="I20" s="30">
        <f t="shared" si="12"/>
        <v>5468198.442862994</v>
      </c>
      <c r="J20" s="30">
        <f t="shared" si="12"/>
        <v>5859863.7141999993</v>
      </c>
      <c r="K20" s="30">
        <f t="shared" si="12"/>
        <v>6913101.502076068</v>
      </c>
      <c r="L20" s="30">
        <f t="shared" si="12"/>
        <v>5513823.3554171696</v>
      </c>
      <c r="M20" s="30">
        <f t="shared" si="12"/>
        <v>7945764.2515351474</v>
      </c>
      <c r="N20" s="30">
        <f t="shared" si="12"/>
        <v>8525070.9986425135</v>
      </c>
      <c r="O20" s="30">
        <f t="shared" ref="O20:P20" si="13">SUM(O21:O27)</f>
        <v>9014270.6137642972</v>
      </c>
      <c r="P20" s="30">
        <f t="shared" si="13"/>
        <v>9729353.5070238188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J20" s="27"/>
    </row>
    <row r="21" spans="1:192" ht="15.75" x14ac:dyDescent="0.25">
      <c r="A21" s="15">
        <v>7.1</v>
      </c>
      <c r="B21" s="16" t="s">
        <v>11</v>
      </c>
      <c r="C21" s="17">
        <v>157682.53690188372</v>
      </c>
      <c r="D21" s="17">
        <v>179679.44982949673</v>
      </c>
      <c r="E21" s="17">
        <v>167621</v>
      </c>
      <c r="F21" s="17">
        <v>189386</v>
      </c>
      <c r="G21" s="17">
        <v>251017.99999999997</v>
      </c>
      <c r="H21" s="17">
        <v>174498</v>
      </c>
      <c r="I21" s="17">
        <v>201223</v>
      </c>
      <c r="J21" s="17">
        <v>197429</v>
      </c>
      <c r="K21" s="17">
        <v>314664</v>
      </c>
      <c r="L21" s="17">
        <v>327452.43382610998</v>
      </c>
      <c r="M21" s="17">
        <v>295220.00706041616</v>
      </c>
      <c r="N21" s="17">
        <v>373572.94084765657</v>
      </c>
      <c r="O21" s="17">
        <v>396816.19108119793</v>
      </c>
      <c r="P21" s="17">
        <v>431095.91504801693</v>
      </c>
      <c r="Q21" s="4"/>
      <c r="R21" s="4"/>
      <c r="S21" s="4"/>
      <c r="T21" s="3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1"/>
      <c r="GH21" s="1"/>
      <c r="GI21" s="1"/>
    </row>
    <row r="22" spans="1:192" ht="15.75" x14ac:dyDescent="0.25">
      <c r="A22" s="15">
        <v>7.2</v>
      </c>
      <c r="B22" s="16" t="s">
        <v>12</v>
      </c>
      <c r="C22" s="17">
        <v>1996702.6050015881</v>
      </c>
      <c r="D22" s="17">
        <v>2318108.0264747129</v>
      </c>
      <c r="E22" s="17">
        <v>2648772.8111999999</v>
      </c>
      <c r="F22" s="17">
        <v>3042512.5783000002</v>
      </c>
      <c r="G22" s="17">
        <v>3448588.3906000005</v>
      </c>
      <c r="H22" s="17">
        <v>3745282.7384000001</v>
      </c>
      <c r="I22" s="17">
        <v>3936506.0335999997</v>
      </c>
      <c r="J22" s="17">
        <v>4270318.1482999995</v>
      </c>
      <c r="K22" s="17">
        <v>5020957.9729427164</v>
      </c>
      <c r="L22" s="17">
        <v>3691423.8565452471</v>
      </c>
      <c r="M22" s="17">
        <v>5838331.4970355416</v>
      </c>
      <c r="N22" s="17">
        <v>5972986.7305777771</v>
      </c>
      <c r="O22" s="17">
        <v>6356469.4193436122</v>
      </c>
      <c r="P22" s="17">
        <v>6854053.8514948729</v>
      </c>
      <c r="Q22" s="4"/>
      <c r="R22" s="4"/>
      <c r="S22" s="4"/>
      <c r="T22" s="3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1"/>
      <c r="GH22" s="1"/>
      <c r="GI22" s="1"/>
    </row>
    <row r="23" spans="1:192" ht="15.75" x14ac:dyDescent="0.25">
      <c r="A23" s="15">
        <v>7.3</v>
      </c>
      <c r="B23" s="16" t="s">
        <v>13</v>
      </c>
      <c r="C23" s="17">
        <v>24468.333629199504</v>
      </c>
      <c r="D23" s="17">
        <v>23181.509659352923</v>
      </c>
      <c r="E23" s="17">
        <v>12482.852800000001</v>
      </c>
      <c r="F23" s="17">
        <v>14479.719299999999</v>
      </c>
      <c r="G23" s="17">
        <v>12261.326000000001</v>
      </c>
      <c r="H23" s="17">
        <v>20562.305700000001</v>
      </c>
      <c r="I23" s="17">
        <v>22573.470399999998</v>
      </c>
      <c r="J23" s="17">
        <v>32298.461799999997</v>
      </c>
      <c r="K23" s="17">
        <v>29317.894564389018</v>
      </c>
      <c r="L23" s="17">
        <v>30142.56645083558</v>
      </c>
      <c r="M23" s="17">
        <v>46067.230071425787</v>
      </c>
      <c r="N23" s="17">
        <v>62969.779333860592</v>
      </c>
      <c r="O23" s="17">
        <v>68804.484227271445</v>
      </c>
      <c r="P23" s="17">
        <v>74963.753023123107</v>
      </c>
      <c r="Q23" s="4"/>
      <c r="R23" s="4"/>
      <c r="S23" s="4"/>
      <c r="T23" s="3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1"/>
      <c r="GH23" s="1"/>
      <c r="GI23" s="1"/>
    </row>
    <row r="24" spans="1:192" ht="15.75" x14ac:dyDescent="0.25">
      <c r="A24" s="15">
        <v>7.4</v>
      </c>
      <c r="B24" s="16" t="s">
        <v>14</v>
      </c>
      <c r="C24" s="17">
        <v>33978.062339962307</v>
      </c>
      <c r="D24" s="17">
        <v>62054.526161155765</v>
      </c>
      <c r="E24" s="17">
        <v>27526.7808</v>
      </c>
      <c r="F24" s="17">
        <v>67355.740000000005</v>
      </c>
      <c r="G24" s="17">
        <v>155849.91459999999</v>
      </c>
      <c r="H24" s="17">
        <v>174932.1923</v>
      </c>
      <c r="I24" s="17">
        <v>180910.0816</v>
      </c>
      <c r="J24" s="17">
        <v>94467.476200000005</v>
      </c>
      <c r="K24" s="17">
        <v>164019.40651769037</v>
      </c>
      <c r="L24" s="17">
        <v>14737.730519085599</v>
      </c>
      <c r="M24" s="17">
        <v>7541.2789962888919</v>
      </c>
      <c r="N24" s="17">
        <v>55765.472645166505</v>
      </c>
      <c r="O24" s="17">
        <v>18197.418826905443</v>
      </c>
      <c r="P24" s="17">
        <v>19747.519992848334</v>
      </c>
      <c r="Q24" s="4"/>
      <c r="R24" s="4"/>
      <c r="S24" s="4"/>
      <c r="T24" s="3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1"/>
      <c r="GH24" s="1"/>
      <c r="GI24" s="1"/>
    </row>
    <row r="25" spans="1:192" ht="15.75" x14ac:dyDescent="0.25">
      <c r="A25" s="15">
        <v>7.5</v>
      </c>
      <c r="B25" s="16" t="s">
        <v>15</v>
      </c>
      <c r="C25" s="17">
        <v>42927.456399228307</v>
      </c>
      <c r="D25" s="17">
        <v>36443.8720136294</v>
      </c>
      <c r="E25" s="17">
        <v>38621.7232</v>
      </c>
      <c r="F25" s="17">
        <v>49625.195099999997</v>
      </c>
      <c r="G25" s="17">
        <v>50656.346400000002</v>
      </c>
      <c r="H25" s="17">
        <v>86917.747300000003</v>
      </c>
      <c r="I25" s="17">
        <v>89329.292799999996</v>
      </c>
      <c r="J25" s="17">
        <v>102250.9008</v>
      </c>
      <c r="K25" s="17">
        <v>105377.17621863316</v>
      </c>
      <c r="L25" s="17">
        <v>60206.185802911306</v>
      </c>
      <c r="M25" s="17">
        <v>96598.787311369029</v>
      </c>
      <c r="N25" s="17">
        <v>118729.14699795122</v>
      </c>
      <c r="O25" s="17">
        <v>112166.61265003336</v>
      </c>
      <c r="P25" s="17">
        <v>123536.2606888788</v>
      </c>
      <c r="Q25" s="4"/>
      <c r="R25" s="4"/>
      <c r="S25" s="4"/>
      <c r="T25" s="3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1"/>
      <c r="GH25" s="1"/>
      <c r="GI25" s="1"/>
    </row>
    <row r="26" spans="1:192" ht="15.75" x14ac:dyDescent="0.25">
      <c r="A26" s="15">
        <v>7.6</v>
      </c>
      <c r="B26" s="16" t="s">
        <v>16</v>
      </c>
      <c r="C26" s="17">
        <v>23663.989187820229</v>
      </c>
      <c r="D26" s="17">
        <v>27285.661879593936</v>
      </c>
      <c r="E26" s="17">
        <v>29664.846522854117</v>
      </c>
      <c r="F26" s="17">
        <v>32883.583299999998</v>
      </c>
      <c r="G26" s="17">
        <v>34457.381999999998</v>
      </c>
      <c r="H26" s="17">
        <v>35138.150699999998</v>
      </c>
      <c r="I26" s="17">
        <v>36308.1535</v>
      </c>
      <c r="J26" s="17">
        <v>149491.80410000001</v>
      </c>
      <c r="K26" s="17">
        <v>144462.97828716738</v>
      </c>
      <c r="L26" s="17">
        <v>148489.64261509426</v>
      </c>
      <c r="M26" s="17">
        <v>163384.91119054749</v>
      </c>
      <c r="N26" s="17">
        <v>182846.12755837769</v>
      </c>
      <c r="O26" s="17">
        <v>194222.58937445586</v>
      </c>
      <c r="P26" s="17">
        <v>209684.50922130191</v>
      </c>
      <c r="Q26" s="4"/>
      <c r="R26" s="4"/>
      <c r="S26" s="4"/>
      <c r="T26" s="3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1"/>
      <c r="GH26" s="1"/>
      <c r="GI26" s="1"/>
    </row>
    <row r="27" spans="1:192" ht="30" x14ac:dyDescent="0.25">
      <c r="A27" s="15">
        <v>7.7</v>
      </c>
      <c r="B27" s="16" t="s">
        <v>17</v>
      </c>
      <c r="C27" s="17">
        <v>660863.29328126216</v>
      </c>
      <c r="D27" s="17">
        <v>747937.04327647772</v>
      </c>
      <c r="E27" s="17">
        <v>969175.54970054445</v>
      </c>
      <c r="F27" s="17">
        <v>1022332.1155000002</v>
      </c>
      <c r="G27" s="17">
        <v>1204115.3802366836</v>
      </c>
      <c r="H27" s="17">
        <v>1169846.5936</v>
      </c>
      <c r="I27" s="17">
        <v>1001348.4109629942</v>
      </c>
      <c r="J27" s="17">
        <v>1013607.923</v>
      </c>
      <c r="K27" s="17">
        <v>1134302.0735454715</v>
      </c>
      <c r="L27" s="17">
        <v>1241370.9396578851</v>
      </c>
      <c r="M27" s="17">
        <v>1498620.5398695599</v>
      </c>
      <c r="N27" s="17">
        <v>1758200.8006817247</v>
      </c>
      <c r="O27" s="17">
        <v>1867593.8982608218</v>
      </c>
      <c r="P27" s="17">
        <v>2016271.6975547774</v>
      </c>
      <c r="Q27" s="4"/>
      <c r="R27" s="4"/>
      <c r="S27" s="4"/>
      <c r="T27" s="3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1"/>
      <c r="GH27" s="1"/>
      <c r="GI27" s="1"/>
    </row>
    <row r="28" spans="1:192" ht="15.75" x14ac:dyDescent="0.25">
      <c r="A28" s="18" t="s">
        <v>37</v>
      </c>
      <c r="B28" s="16" t="s">
        <v>18</v>
      </c>
      <c r="C28" s="17">
        <v>2833927.1554829152</v>
      </c>
      <c r="D28" s="17">
        <v>3155050.4262483297</v>
      </c>
      <c r="E28" s="17">
        <v>3542558.1496788696</v>
      </c>
      <c r="F28" s="17">
        <v>4117711</v>
      </c>
      <c r="G28" s="17">
        <v>4799058</v>
      </c>
      <c r="H28" s="17">
        <v>5075041</v>
      </c>
      <c r="I28" s="17">
        <v>5378171.939991382</v>
      </c>
      <c r="J28" s="17">
        <v>6010300</v>
      </c>
      <c r="K28" s="17">
        <v>6433175</v>
      </c>
      <c r="L28" s="17">
        <v>7175042.8144453475</v>
      </c>
      <c r="M28" s="17">
        <v>7725792.4997716546</v>
      </c>
      <c r="N28" s="17">
        <v>9638863.6084923111</v>
      </c>
      <c r="O28" s="17">
        <v>10807973.976046821</v>
      </c>
      <c r="P28" s="17">
        <v>11150483.246666815</v>
      </c>
      <c r="Q28" s="4"/>
      <c r="R28" s="4"/>
      <c r="S28" s="4"/>
      <c r="T28" s="3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1"/>
      <c r="GH28" s="1"/>
      <c r="GI28" s="1"/>
    </row>
    <row r="29" spans="1:192" ht="30" x14ac:dyDescent="0.25">
      <c r="A29" s="18" t="s">
        <v>38</v>
      </c>
      <c r="B29" s="16" t="s">
        <v>19</v>
      </c>
      <c r="C29" s="17">
        <v>13359757.534623539</v>
      </c>
      <c r="D29" s="17">
        <v>16352977.327915125</v>
      </c>
      <c r="E29" s="17">
        <v>20207282.647808086</v>
      </c>
      <c r="F29" s="17">
        <v>22538677.872183628</v>
      </c>
      <c r="G29" s="17">
        <v>27571500.044431757</v>
      </c>
      <c r="H29" s="17">
        <v>32762654.080436837</v>
      </c>
      <c r="I29" s="17">
        <v>34575613.784003302</v>
      </c>
      <c r="J29" s="17">
        <v>39494987.923031524</v>
      </c>
      <c r="K29" s="17">
        <v>45442082.893345989</v>
      </c>
      <c r="L29" s="17">
        <v>48410296.616292514</v>
      </c>
      <c r="M29" s="17">
        <v>57826003.758634135</v>
      </c>
      <c r="N29" s="17">
        <v>71024031.483232439</v>
      </c>
      <c r="O29" s="17">
        <v>80704469.913727522</v>
      </c>
      <c r="P29" s="17">
        <v>92085983.110196233</v>
      </c>
      <c r="Q29" s="4"/>
      <c r="R29" s="4"/>
      <c r="S29" s="4"/>
      <c r="T29" s="3"/>
      <c r="U29" s="4"/>
      <c r="V29" s="4"/>
      <c r="W29" s="3"/>
      <c r="X29" s="5"/>
      <c r="Y29" s="5"/>
      <c r="Z29" s="5"/>
      <c r="AA29" s="5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1"/>
      <c r="GH29" s="1"/>
      <c r="GI29" s="1"/>
    </row>
    <row r="30" spans="1:192" ht="15.75" x14ac:dyDescent="0.25">
      <c r="A30" s="18" t="s">
        <v>39</v>
      </c>
      <c r="B30" s="16" t="s">
        <v>54</v>
      </c>
      <c r="C30" s="17">
        <v>1148694.932827201</v>
      </c>
      <c r="D30" s="17">
        <v>1388450</v>
      </c>
      <c r="E30" s="17">
        <v>1612487</v>
      </c>
      <c r="F30" s="17">
        <v>1807940.0000000002</v>
      </c>
      <c r="G30" s="17">
        <v>1958322</v>
      </c>
      <c r="H30" s="17">
        <v>2093618.9999999998</v>
      </c>
      <c r="I30" s="17">
        <v>2285656.85</v>
      </c>
      <c r="J30" s="17">
        <v>2861719.18</v>
      </c>
      <c r="K30" s="17">
        <v>3168385</v>
      </c>
      <c r="L30" s="17">
        <v>3287639.1758793509</v>
      </c>
      <c r="M30" s="17">
        <v>3570890.3812786355</v>
      </c>
      <c r="N30" s="17">
        <v>4031920.4604776264</v>
      </c>
      <c r="O30" s="17">
        <v>4714950.572072004</v>
      </c>
      <c r="P30" s="17">
        <v>5853302.1389495432</v>
      </c>
      <c r="Q30" s="4"/>
      <c r="R30" s="4"/>
      <c r="S30" s="4"/>
      <c r="T30" s="3"/>
      <c r="U30" s="4"/>
      <c r="V30" s="4"/>
      <c r="W30" s="3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1"/>
      <c r="GH30" s="1"/>
      <c r="GI30" s="1"/>
    </row>
    <row r="31" spans="1:192" ht="15.75" x14ac:dyDescent="0.25">
      <c r="A31" s="18" t="s">
        <v>40</v>
      </c>
      <c r="B31" s="16" t="s">
        <v>20</v>
      </c>
      <c r="C31" s="17">
        <v>2813609.475655762</v>
      </c>
      <c r="D31" s="17">
        <v>3365765.0678254054</v>
      </c>
      <c r="E31" s="17">
        <v>3987261.9919366823</v>
      </c>
      <c r="F31" s="17">
        <v>4772210.5409064218</v>
      </c>
      <c r="G31" s="17">
        <v>5555643.1956232367</v>
      </c>
      <c r="H31" s="17">
        <v>6488266.049856307</v>
      </c>
      <c r="I31" s="17">
        <v>7224302.4056693437</v>
      </c>
      <c r="J31" s="17">
        <v>7976075.6409484679</v>
      </c>
      <c r="K31" s="17">
        <v>9350823.1739468277</v>
      </c>
      <c r="L31" s="17">
        <v>7776300.7596816998</v>
      </c>
      <c r="M31" s="17">
        <v>9519376.1199093908</v>
      </c>
      <c r="N31" s="17">
        <v>11384062.633848876</v>
      </c>
      <c r="O31" s="17">
        <v>12805674.5539729</v>
      </c>
      <c r="P31" s="17">
        <v>15381177.019477952</v>
      </c>
      <c r="Q31" s="4"/>
      <c r="R31" s="4"/>
      <c r="S31" s="4"/>
      <c r="T31" s="3"/>
      <c r="U31" s="4"/>
      <c r="V31" s="4"/>
      <c r="W31" s="3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1"/>
      <c r="GH31" s="1"/>
      <c r="GI31" s="1"/>
    </row>
    <row r="32" spans="1:192" s="27" customFormat="1" ht="15.75" x14ac:dyDescent="0.25">
      <c r="A32" s="21"/>
      <c r="B32" s="22" t="s">
        <v>30</v>
      </c>
      <c r="C32" s="23">
        <f>C17+C20+C28+C29+C30+C31</f>
        <v>28890822.512547337</v>
      </c>
      <c r="D32" s="23">
        <f t="shared" ref="D32:G32" si="14">D17+D20+D28+D29+D30+D31</f>
        <v>34330089.938015595</v>
      </c>
      <c r="E32" s="23">
        <f t="shared" si="14"/>
        <v>41213340.582347035</v>
      </c>
      <c r="F32" s="23">
        <f t="shared" si="14"/>
        <v>46683941.774090052</v>
      </c>
      <c r="G32" s="23">
        <f t="shared" si="14"/>
        <v>54707870.142891675</v>
      </c>
      <c r="H32" s="23">
        <f t="shared" ref="H32:I32" si="15">H17+H20+H28+H29+H30+H31</f>
        <v>62962322.12469314</v>
      </c>
      <c r="I32" s="23">
        <f t="shared" si="15"/>
        <v>67753067.78722702</v>
      </c>
      <c r="J32" s="23">
        <f t="shared" ref="J32:K32" si="16">J17+J20+J28+J29+J30+J31</f>
        <v>77653905.980580002</v>
      </c>
      <c r="K32" s="23">
        <f t="shared" si="16"/>
        <v>88278883.354520231</v>
      </c>
      <c r="L32" s="23">
        <f t="shared" ref="L32:M32" si="17">L17+L20+L28+L29+L30+L31</f>
        <v>85503240.021689549</v>
      </c>
      <c r="M32" s="23">
        <f t="shared" si="17"/>
        <v>103650674.28715536</v>
      </c>
      <c r="N32" s="23">
        <f t="shared" ref="N32" si="18">N17+N20+N28+N29+N30+N31</f>
        <v>126247892.92320812</v>
      </c>
      <c r="O32" s="23">
        <f t="shared" ref="O32" si="19">O17+O20+O28+O29+O30+O31</f>
        <v>141514828.23798043</v>
      </c>
      <c r="P32" s="23">
        <f t="shared" ref="P32" si="20">P17+P20+P28+P29+P30+P31</f>
        <v>160105098.7207233</v>
      </c>
      <c r="Q32" s="4"/>
      <c r="R32" s="4"/>
      <c r="S32" s="4"/>
      <c r="T32" s="3"/>
      <c r="U32" s="4"/>
      <c r="V32" s="4"/>
      <c r="W32" s="3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6"/>
      <c r="GH32" s="26"/>
      <c r="GI32" s="26"/>
    </row>
    <row r="33" spans="1:192" s="26" customFormat="1" ht="15.75" x14ac:dyDescent="0.25">
      <c r="A33" s="28" t="s">
        <v>27</v>
      </c>
      <c r="B33" s="29" t="s">
        <v>51</v>
      </c>
      <c r="C33" s="30">
        <f t="shared" ref="C33:G33" si="21">C6+C11+C13+C14+C15+C17+C20+C28+C29+C30+C31</f>
        <v>50115603.628983408</v>
      </c>
      <c r="D33" s="30">
        <f t="shared" si="21"/>
        <v>57206868.970177993</v>
      </c>
      <c r="E33" s="30">
        <f t="shared" si="21"/>
        <v>67027633.002158329</v>
      </c>
      <c r="F33" s="30">
        <f t="shared" si="21"/>
        <v>74317538.57564649</v>
      </c>
      <c r="G33" s="30">
        <f t="shared" si="21"/>
        <v>84836701.353160143</v>
      </c>
      <c r="H33" s="30">
        <f t="shared" ref="H33:I33" si="22">H6+H11+H13+H14+H15+H17+H20+H28+H29+H30+H31</f>
        <v>97842298.186883613</v>
      </c>
      <c r="I33" s="30">
        <f t="shared" si="22"/>
        <v>107495113.41432013</v>
      </c>
      <c r="J33" s="30">
        <f t="shared" ref="J33:K33" si="23">J6+J11+J13+J14+J15+J17+J20+J28+J29+J30+J31</f>
        <v>120532597.15602979</v>
      </c>
      <c r="K33" s="30">
        <f t="shared" si="23"/>
        <v>132945456.21106562</v>
      </c>
      <c r="L33" s="30">
        <f t="shared" ref="L33:M33" si="24">L6+L11+L13+L14+L15+L17+L20+L28+L29+L30+L31</f>
        <v>134421678.89247528</v>
      </c>
      <c r="M33" s="30">
        <f t="shared" si="24"/>
        <v>165148887.34487456</v>
      </c>
      <c r="N33" s="30">
        <f t="shared" ref="N33" si="25">N6+N11+N13+N14+N15+N17+N20+N28+N29+N30+N31</f>
        <v>190244993.79315513</v>
      </c>
      <c r="O33" s="30">
        <f t="shared" ref="O33" si="26">O6+O11+O13+O14+O15+O17+O20+O28+O29+O30+O31</f>
        <v>209890468.08729443</v>
      </c>
      <c r="P33" s="30">
        <f t="shared" ref="P33" si="27">P6+P11+P13+P14+P15+P17+P20+P28+P29+P30+P31</f>
        <v>234880386.76687759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J33" s="27"/>
    </row>
    <row r="34" spans="1:192" s="27" customFormat="1" ht="15.75" x14ac:dyDescent="0.25">
      <c r="A34" s="31" t="s">
        <v>43</v>
      </c>
      <c r="B34" s="32" t="s">
        <v>25</v>
      </c>
      <c r="C34" s="23">
        <f>GSVA_cur!C34</f>
        <v>7019220.6330578076</v>
      </c>
      <c r="D34" s="23">
        <f>GSVA_cur!D34</f>
        <v>8182953.1675144779</v>
      </c>
      <c r="E34" s="23">
        <f>GSVA_cur!E34</f>
        <v>9704436</v>
      </c>
      <c r="F34" s="23">
        <f>GSVA_cur!F34</f>
        <v>10745258</v>
      </c>
      <c r="G34" s="23">
        <f>GSVA_cur!G34</f>
        <v>12637616</v>
      </c>
      <c r="H34" s="23">
        <f>GSVA_cur!H34</f>
        <v>14646146.999999996</v>
      </c>
      <c r="I34" s="23">
        <f>GSVA_cur!I34</f>
        <v>15660744</v>
      </c>
      <c r="J34" s="23">
        <f>GSVA_cur!J34</f>
        <v>16561600</v>
      </c>
      <c r="K34" s="23">
        <f>GSVA_cur!K34</f>
        <v>16697457</v>
      </c>
      <c r="L34" s="23">
        <f>GSVA_cur!L34</f>
        <v>16869553</v>
      </c>
      <c r="M34" s="23">
        <f>GSVA_cur!M34</f>
        <v>20469399.370589823</v>
      </c>
      <c r="N34" s="23">
        <f>GSVA_cur!N34</f>
        <v>24717642.696020838</v>
      </c>
      <c r="O34" s="23">
        <f>GSVA_cur!O34</f>
        <v>28839759.799994901</v>
      </c>
      <c r="P34" s="23">
        <f>GSVA_cur!P34</f>
        <v>33526533.021163393</v>
      </c>
      <c r="Q34" s="4"/>
      <c r="R34" s="4"/>
      <c r="S34" s="4"/>
      <c r="T34" s="3"/>
      <c r="U34" s="4"/>
      <c r="V34" s="4"/>
      <c r="W34" s="3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</row>
    <row r="35" spans="1:192" s="27" customFormat="1" ht="15.75" x14ac:dyDescent="0.25">
      <c r="A35" s="31" t="s">
        <v>44</v>
      </c>
      <c r="B35" s="32" t="s">
        <v>24</v>
      </c>
      <c r="C35" s="23">
        <f>GSVA_cur!C35</f>
        <v>1639604</v>
      </c>
      <c r="D35" s="23">
        <f>GSVA_cur!D35</f>
        <v>1797441</v>
      </c>
      <c r="E35" s="23">
        <f>GSVA_cur!E35</f>
        <v>2075165.0000000002</v>
      </c>
      <c r="F35" s="23">
        <f>GSVA_cur!F35</f>
        <v>2484548</v>
      </c>
      <c r="G35" s="23">
        <f>GSVA_cur!G35</f>
        <v>2387678</v>
      </c>
      <c r="H35" s="23">
        <f>GSVA_cur!H35</f>
        <v>2224817</v>
      </c>
      <c r="I35" s="23">
        <f>GSVA_cur!I35</f>
        <v>2253927</v>
      </c>
      <c r="J35" s="23">
        <f>GSVA_cur!J35</f>
        <v>2494341</v>
      </c>
      <c r="K35" s="23">
        <f>GSVA_cur!K35</f>
        <v>2798768</v>
      </c>
      <c r="L35" s="23">
        <f>GSVA_cur!L35</f>
        <v>3590419.9999999995</v>
      </c>
      <c r="M35" s="23">
        <f>GSVA_cur!M35</f>
        <v>5165608</v>
      </c>
      <c r="N35" s="23">
        <f>GSVA_cur!N35</f>
        <v>5446536</v>
      </c>
      <c r="O35" s="23">
        <f>GSVA_cur!O35</f>
        <v>7864382.573078935</v>
      </c>
      <c r="P35" s="23">
        <f>GSVA_cur!P35</f>
        <v>8012164.0381400315</v>
      </c>
      <c r="Q35" s="4"/>
      <c r="R35" s="4"/>
      <c r="S35" s="4"/>
      <c r="T35" s="3"/>
      <c r="U35" s="4"/>
      <c r="V35" s="4"/>
      <c r="W35" s="3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</row>
    <row r="36" spans="1:192" s="27" customFormat="1" ht="15.75" x14ac:dyDescent="0.25">
      <c r="A36" s="31" t="s">
        <v>45</v>
      </c>
      <c r="B36" s="32" t="s">
        <v>63</v>
      </c>
      <c r="C36" s="23">
        <f>C33+C34-C35</f>
        <v>55495220.262041219</v>
      </c>
      <c r="D36" s="23">
        <f t="shared" ref="D36:N36" si="28">D33+D34-D35</f>
        <v>63592381.137692474</v>
      </c>
      <c r="E36" s="23">
        <f t="shared" si="28"/>
        <v>74656904.002158329</v>
      </c>
      <c r="F36" s="23">
        <f t="shared" si="28"/>
        <v>82578248.57564649</v>
      </c>
      <c r="G36" s="23">
        <f t="shared" si="28"/>
        <v>95086639.353160143</v>
      </c>
      <c r="H36" s="23">
        <f t="shared" si="28"/>
        <v>110263628.18688361</v>
      </c>
      <c r="I36" s="23">
        <f t="shared" si="28"/>
        <v>120901930.41432013</v>
      </c>
      <c r="J36" s="23">
        <f t="shared" si="28"/>
        <v>134599856.15602979</v>
      </c>
      <c r="K36" s="23">
        <f t="shared" si="28"/>
        <v>146844145.21106562</v>
      </c>
      <c r="L36" s="23">
        <f t="shared" si="28"/>
        <v>147700811.89247528</v>
      </c>
      <c r="M36" s="23">
        <f t="shared" si="28"/>
        <v>180452678.71546438</v>
      </c>
      <c r="N36" s="23">
        <f t="shared" si="28"/>
        <v>209516100.48917598</v>
      </c>
      <c r="O36" s="23">
        <f t="shared" ref="O36" si="29">O33+O34-O35</f>
        <v>230865845.31421041</v>
      </c>
      <c r="P36" s="23">
        <f t="shared" ref="P36" si="30">P33+P34-P35</f>
        <v>260394755.74990097</v>
      </c>
      <c r="Q36" s="4"/>
      <c r="R36" s="4"/>
      <c r="S36" s="4"/>
      <c r="T36" s="3"/>
      <c r="U36" s="4"/>
      <c r="V36" s="4"/>
      <c r="W36" s="3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</row>
    <row r="37" spans="1:192" s="27" customFormat="1" ht="15.75" x14ac:dyDescent="0.25">
      <c r="A37" s="31" t="s">
        <v>46</v>
      </c>
      <c r="B37" s="32" t="s">
        <v>42</v>
      </c>
      <c r="C37" s="23">
        <f>GSVA_cur!C37</f>
        <v>614820</v>
      </c>
      <c r="D37" s="23">
        <f>GSVA_cur!D37</f>
        <v>621510</v>
      </c>
      <c r="E37" s="23">
        <f>GSVA_cur!E37</f>
        <v>628270</v>
      </c>
      <c r="F37" s="23">
        <f>GSVA_cur!F37</f>
        <v>635100</v>
      </c>
      <c r="G37" s="23">
        <f>GSVA_cur!G37</f>
        <v>642010</v>
      </c>
      <c r="H37" s="23">
        <f>GSVA_cur!H37</f>
        <v>649000</v>
      </c>
      <c r="I37" s="23">
        <f>GSVA_cur!I37</f>
        <v>650570</v>
      </c>
      <c r="J37" s="23">
        <f>GSVA_cur!J37</f>
        <v>655800</v>
      </c>
      <c r="K37" s="23">
        <f>GSVA_cur!K37</f>
        <v>661040</v>
      </c>
      <c r="L37" s="23">
        <f>GSVA_cur!L37</f>
        <v>666270</v>
      </c>
      <c r="M37" s="23">
        <f>GSVA_cur!M37</f>
        <v>670920</v>
      </c>
      <c r="N37" s="23">
        <f>GSVA_cur!N37</f>
        <v>675150</v>
      </c>
      <c r="O37" s="23">
        <f>GSVA_cur!O37</f>
        <v>679390</v>
      </c>
      <c r="P37" s="23">
        <f>GSVA_cur!P37</f>
        <v>683620</v>
      </c>
      <c r="Q37" s="2"/>
      <c r="R37" s="2"/>
      <c r="S37" s="2"/>
      <c r="T37" s="1"/>
      <c r="U37" s="2"/>
      <c r="V37" s="2"/>
      <c r="W37" s="1"/>
      <c r="X37" s="1"/>
      <c r="Y37" s="1"/>
      <c r="Z37" s="1"/>
      <c r="AA37" s="1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</row>
    <row r="38" spans="1:192" s="27" customFormat="1" ht="15.75" x14ac:dyDescent="0.25">
      <c r="A38" s="31" t="s">
        <v>47</v>
      </c>
      <c r="B38" s="32" t="s">
        <v>64</v>
      </c>
      <c r="C38" s="23">
        <f>C36/C37*1000</f>
        <v>90262.548814354144</v>
      </c>
      <c r="D38" s="23">
        <f t="shared" ref="D38:N38" si="31">D36/D37*1000</f>
        <v>102319.1600098027</v>
      </c>
      <c r="E38" s="23">
        <f t="shared" si="31"/>
        <v>118829.33134187265</v>
      </c>
      <c r="F38" s="23">
        <f t="shared" si="31"/>
        <v>130024.00972389623</v>
      </c>
      <c r="G38" s="23">
        <f t="shared" si="31"/>
        <v>148107.72317122808</v>
      </c>
      <c r="H38" s="23">
        <f t="shared" si="31"/>
        <v>169897.73218317967</v>
      </c>
      <c r="I38" s="23">
        <f t="shared" si="31"/>
        <v>185840.00248139343</v>
      </c>
      <c r="J38" s="23">
        <f t="shared" si="31"/>
        <v>205245.28233612349</v>
      </c>
      <c r="K38" s="23">
        <f t="shared" si="31"/>
        <v>222141.08860441973</v>
      </c>
      <c r="L38" s="23">
        <f t="shared" si="31"/>
        <v>221683.11929469326</v>
      </c>
      <c r="M38" s="23">
        <f t="shared" si="31"/>
        <v>268963.03391680733</v>
      </c>
      <c r="N38" s="23">
        <f t="shared" si="31"/>
        <v>310325.26177764346</v>
      </c>
      <c r="O38" s="23">
        <f t="shared" ref="O38" si="32">O36/O37*1000</f>
        <v>339813.42868486495</v>
      </c>
      <c r="P38" s="23">
        <f t="shared" ref="P38" si="33">P36/P37*1000</f>
        <v>380905.70163234102</v>
      </c>
      <c r="Q38" s="2"/>
      <c r="R38" s="2"/>
      <c r="S38" s="2"/>
      <c r="T38" s="1"/>
      <c r="U38" s="2"/>
      <c r="V38" s="2"/>
      <c r="W38" s="3"/>
      <c r="X38" s="3"/>
      <c r="Y38" s="3"/>
      <c r="Z38" s="3"/>
      <c r="AA38" s="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CB38" s="25"/>
      <c r="CC38" s="25"/>
      <c r="CD38" s="25"/>
      <c r="CE38" s="25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</row>
    <row r="39" spans="1:192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7" max="1048575" man="1"/>
    <brk id="39" max="1048575" man="1"/>
    <brk id="55" max="1048575" man="1"/>
    <brk id="119" max="95" man="1"/>
    <brk id="155" max="1048575" man="1"/>
    <brk id="179" max="1048575" man="1"/>
    <brk id="187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39"/>
  <sheetViews>
    <sheetView zoomScale="82" zoomScaleNormal="82" zoomScaleSheetLayoutView="100" workbookViewId="0">
      <pane xSplit="2" ySplit="5" topLeftCell="C6" activePane="bottomRight" state="frozen"/>
      <selection activeCell="S13" sqref="S13"/>
      <selection pane="topRight" activeCell="S13" sqref="S13"/>
      <selection pane="bottomLeft" activeCell="S13" sqref="S13"/>
      <selection pane="bottomRight" activeCell="S13" sqref="S13"/>
    </sheetView>
  </sheetViews>
  <sheetFormatPr defaultColWidth="8.85546875" defaultRowHeight="15" x14ac:dyDescent="0.25"/>
  <cols>
    <col min="1" max="1" width="8.42578125" style="2" customWidth="1"/>
    <col min="2" max="2" width="30.28515625" style="2" customWidth="1"/>
    <col min="3" max="6" width="10.85546875" style="2" customWidth="1"/>
    <col min="7" max="16" width="11.85546875" style="1" customWidth="1"/>
    <col min="17" max="17" width="9.140625" style="2" customWidth="1"/>
    <col min="18" max="18" width="10.85546875" style="2" customWidth="1"/>
    <col min="19" max="19" width="10.85546875" style="1" customWidth="1"/>
    <col min="20" max="20" width="11" style="2" customWidth="1"/>
    <col min="21" max="23" width="11.42578125" style="2" customWidth="1"/>
    <col min="24" max="51" width="9.140625" style="2" customWidth="1"/>
    <col min="52" max="52" width="12.42578125" style="2" customWidth="1"/>
    <col min="53" max="74" width="9.140625" style="2" customWidth="1"/>
    <col min="75" max="75" width="12.140625" style="2" customWidth="1"/>
    <col min="76" max="79" width="9.140625" style="2" customWidth="1"/>
    <col min="80" max="84" width="9.140625" style="2" hidden="1" customWidth="1"/>
    <col min="85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1" customWidth="1"/>
    <col min="110" max="114" width="9.140625" style="1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57" width="9.140625" style="2" customWidth="1"/>
    <col min="158" max="158" width="9.140625" style="2" hidden="1" customWidth="1"/>
    <col min="159" max="166" width="9.140625" style="2" customWidth="1"/>
    <col min="167" max="167" width="9.140625" style="2" hidden="1" customWidth="1"/>
    <col min="168" max="172" width="9.140625" style="2" customWidth="1"/>
    <col min="173" max="173" width="9.140625" style="2" hidden="1" customWidth="1"/>
    <col min="174" max="183" width="9.140625" style="2" customWidth="1"/>
    <col min="184" max="187" width="8.85546875" style="2"/>
    <col min="188" max="188" width="12.7109375" style="2" bestFit="1" customWidth="1"/>
    <col min="189" max="16384" width="8.85546875" style="2"/>
  </cols>
  <sheetData>
    <row r="1" spans="1:188" ht="18.75" x14ac:dyDescent="0.3">
      <c r="A1" s="2" t="s">
        <v>53</v>
      </c>
      <c r="B1" s="6" t="s">
        <v>66</v>
      </c>
      <c r="R1" s="3"/>
    </row>
    <row r="2" spans="1:188" ht="15.75" x14ac:dyDescent="0.25">
      <c r="A2" s="7" t="s">
        <v>52</v>
      </c>
      <c r="I2" s="1" t="str">
        <f>[1]GSVA_cur!$I$3</f>
        <v>01.08.2025</v>
      </c>
    </row>
    <row r="3" spans="1:188" ht="15.75" x14ac:dyDescent="0.25">
      <c r="A3" s="7"/>
    </row>
    <row r="4" spans="1:188" ht="15.75" x14ac:dyDescent="0.25">
      <c r="A4" s="7"/>
      <c r="E4" s="8"/>
      <c r="F4" s="8" t="s">
        <v>57</v>
      </c>
    </row>
    <row r="5" spans="1:188" ht="15.75" x14ac:dyDescent="0.25">
      <c r="A5" s="9" t="s">
        <v>0</v>
      </c>
      <c r="B5" s="10" t="s">
        <v>1</v>
      </c>
      <c r="C5" s="11" t="s">
        <v>21</v>
      </c>
      <c r="D5" s="11" t="s">
        <v>22</v>
      </c>
      <c r="E5" s="11" t="s">
        <v>23</v>
      </c>
      <c r="F5" s="11" t="s">
        <v>56</v>
      </c>
      <c r="G5" s="12" t="s">
        <v>65</v>
      </c>
      <c r="H5" s="12" t="s">
        <v>67</v>
      </c>
      <c r="I5" s="12" t="s">
        <v>68</v>
      </c>
      <c r="J5" s="12" t="s">
        <v>69</v>
      </c>
      <c r="K5" s="12" t="s">
        <v>70</v>
      </c>
      <c r="L5" s="12" t="s">
        <v>71</v>
      </c>
      <c r="M5" s="12" t="s">
        <v>72</v>
      </c>
      <c r="N5" s="12" t="s">
        <v>73</v>
      </c>
      <c r="O5" s="12" t="s">
        <v>74</v>
      </c>
      <c r="P5" s="12" t="s">
        <v>76</v>
      </c>
    </row>
    <row r="6" spans="1:188" s="26" customFormat="1" ht="15.75" x14ac:dyDescent="0.25">
      <c r="A6" s="28" t="s">
        <v>26</v>
      </c>
      <c r="B6" s="33" t="s">
        <v>2</v>
      </c>
      <c r="C6" s="30">
        <f>SUM(C7:C10)</f>
        <v>6964391.6400628062</v>
      </c>
      <c r="D6" s="30">
        <f t="shared" ref="D6:N6" si="0">SUM(D7:D10)</f>
        <v>6548062.4205912305</v>
      </c>
      <c r="E6" s="30">
        <f t="shared" si="0"/>
        <v>7032798.0503345151</v>
      </c>
      <c r="F6" s="30">
        <f t="shared" si="0"/>
        <v>7365070.6252911221</v>
      </c>
      <c r="G6" s="30">
        <f t="shared" si="0"/>
        <v>6563560.1258307332</v>
      </c>
      <c r="H6" s="30">
        <f t="shared" si="0"/>
        <v>6765262.6679514796</v>
      </c>
      <c r="I6" s="30">
        <f t="shared" si="0"/>
        <v>8369507.1142764399</v>
      </c>
      <c r="J6" s="30">
        <f t="shared" si="0"/>
        <v>8024753.0578608271</v>
      </c>
      <c r="K6" s="30">
        <f t="shared" si="0"/>
        <v>9739571.0161747355</v>
      </c>
      <c r="L6" s="30">
        <f t="shared" si="0"/>
        <v>10961015.311396912</v>
      </c>
      <c r="M6" s="30">
        <f t="shared" si="0"/>
        <v>11520549.123908151</v>
      </c>
      <c r="N6" s="30">
        <f t="shared" si="0"/>
        <v>11515454.754741253</v>
      </c>
      <c r="O6" s="30">
        <f t="shared" ref="O6:P6" si="1">SUM(O7:O10)</f>
        <v>11004552.349428702</v>
      </c>
      <c r="P6" s="30">
        <f t="shared" si="1"/>
        <v>11454901.786026806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F6" s="27"/>
    </row>
    <row r="7" spans="1:188" ht="15.75" x14ac:dyDescent="0.25">
      <c r="A7" s="15">
        <v>1.1000000000000001</v>
      </c>
      <c r="B7" s="16" t="s">
        <v>59</v>
      </c>
      <c r="C7" s="17">
        <v>4807445.9983334821</v>
      </c>
      <c r="D7" s="17">
        <v>4358183.5570912305</v>
      </c>
      <c r="E7" s="17">
        <v>4807504.2422601022</v>
      </c>
      <c r="F7" s="17">
        <v>5069295.8970641652</v>
      </c>
      <c r="G7" s="17">
        <v>4228125.9359727222</v>
      </c>
      <c r="H7" s="17">
        <v>4303892.7472698176</v>
      </c>
      <c r="I7" s="17">
        <v>5735860.6155944923</v>
      </c>
      <c r="J7" s="17">
        <v>5061953.0404658252</v>
      </c>
      <c r="K7" s="17">
        <v>6132925.1140088728</v>
      </c>
      <c r="L7" s="17">
        <v>6722104.9517334392</v>
      </c>
      <c r="M7" s="17">
        <v>6791452.2325925948</v>
      </c>
      <c r="N7" s="17">
        <v>6352955.7915552622</v>
      </c>
      <c r="O7" s="17">
        <v>5603451.0919874655</v>
      </c>
      <c r="P7" s="17">
        <v>5740885.7326661302</v>
      </c>
      <c r="Q7" s="4"/>
      <c r="R7" s="4"/>
      <c r="S7" s="3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1"/>
      <c r="GD7" s="1"/>
      <c r="GE7" s="1"/>
    </row>
    <row r="8" spans="1:188" ht="15.75" x14ac:dyDescent="0.25">
      <c r="A8" s="15">
        <v>1.2</v>
      </c>
      <c r="B8" s="16" t="s">
        <v>60</v>
      </c>
      <c r="C8" s="17">
        <v>1329695.0603399535</v>
      </c>
      <c r="D8" s="17">
        <v>1386606.110411057</v>
      </c>
      <c r="E8" s="17">
        <v>1429126.4425341506</v>
      </c>
      <c r="F8" s="17">
        <v>1493795.6559562357</v>
      </c>
      <c r="G8" s="17">
        <v>1549628.4491939035</v>
      </c>
      <c r="H8" s="17">
        <v>1611588.4232179602</v>
      </c>
      <c r="I8" s="17">
        <v>1731609.6383378343</v>
      </c>
      <c r="J8" s="17">
        <v>1961002.4761242399</v>
      </c>
      <c r="K8" s="17">
        <v>2439424.5666104546</v>
      </c>
      <c r="L8" s="17">
        <v>3086633.6773083569</v>
      </c>
      <c r="M8" s="17">
        <v>3359604.6821406237</v>
      </c>
      <c r="N8" s="17">
        <v>3687428.0522671803</v>
      </c>
      <c r="O8" s="17">
        <v>3889135.4222572381</v>
      </c>
      <c r="P8" s="17">
        <v>4130250.984461756</v>
      </c>
      <c r="Q8" s="4"/>
      <c r="R8" s="4"/>
      <c r="S8" s="3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1"/>
      <c r="GD8" s="1"/>
      <c r="GE8" s="1"/>
    </row>
    <row r="9" spans="1:188" ht="15.75" x14ac:dyDescent="0.25">
      <c r="A9" s="15">
        <v>1.3</v>
      </c>
      <c r="B9" s="16" t="s">
        <v>61</v>
      </c>
      <c r="C9" s="17">
        <v>586959.20551059721</v>
      </c>
      <c r="D9" s="17">
        <v>570121.8843812698</v>
      </c>
      <c r="E9" s="17">
        <v>554011.52595412103</v>
      </c>
      <c r="F9" s="17">
        <v>532477.14645879657</v>
      </c>
      <c r="G9" s="17">
        <v>525505.71123451157</v>
      </c>
      <c r="H9" s="17">
        <v>600321.00813949364</v>
      </c>
      <c r="I9" s="17">
        <v>598235.56751888967</v>
      </c>
      <c r="J9" s="17">
        <v>728884.70901146811</v>
      </c>
      <c r="K9" s="17">
        <v>886293.90301644581</v>
      </c>
      <c r="L9" s="17">
        <v>885030.95411592373</v>
      </c>
      <c r="M9" s="17">
        <v>902713.22421536874</v>
      </c>
      <c r="N9" s="17">
        <v>921104.32499161421</v>
      </c>
      <c r="O9" s="17">
        <v>935358.66387186875</v>
      </c>
      <c r="P9" s="17">
        <v>952832.07426358515</v>
      </c>
      <c r="Q9" s="4"/>
      <c r="R9" s="4"/>
      <c r="S9" s="3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1"/>
      <c r="GD9" s="1"/>
      <c r="GE9" s="1"/>
    </row>
    <row r="10" spans="1:188" ht="15.75" x14ac:dyDescent="0.25">
      <c r="A10" s="15">
        <v>1.4</v>
      </c>
      <c r="B10" s="16" t="s">
        <v>62</v>
      </c>
      <c r="C10" s="17">
        <v>240291.37587877258</v>
      </c>
      <c r="D10" s="17">
        <v>233150.86870767272</v>
      </c>
      <c r="E10" s="17">
        <v>242155.83958614137</v>
      </c>
      <c r="F10" s="17">
        <v>269501.92581192544</v>
      </c>
      <c r="G10" s="17">
        <v>260300.02942959624</v>
      </c>
      <c r="H10" s="17">
        <v>249460.48932420718</v>
      </c>
      <c r="I10" s="17">
        <v>303801.29282522312</v>
      </c>
      <c r="J10" s="17">
        <v>272912.83225929335</v>
      </c>
      <c r="K10" s="17">
        <v>280927.4325389617</v>
      </c>
      <c r="L10" s="17">
        <v>267245.72823919164</v>
      </c>
      <c r="M10" s="17">
        <v>466778.98495956499</v>
      </c>
      <c r="N10" s="17">
        <v>553966.58592719783</v>
      </c>
      <c r="O10" s="17">
        <v>576607.17131212854</v>
      </c>
      <c r="P10" s="17">
        <v>630932.99463533377</v>
      </c>
      <c r="Q10" s="4"/>
      <c r="R10" s="4"/>
      <c r="S10" s="3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1"/>
      <c r="GD10" s="1"/>
      <c r="GE10" s="1"/>
    </row>
    <row r="11" spans="1:188" ht="15.75" x14ac:dyDescent="0.25">
      <c r="A11" s="18" t="s">
        <v>31</v>
      </c>
      <c r="B11" s="16" t="s">
        <v>3</v>
      </c>
      <c r="C11" s="17">
        <v>395905.82489653834</v>
      </c>
      <c r="D11" s="17">
        <v>344917.78402784257</v>
      </c>
      <c r="E11" s="17">
        <v>478435.88788623194</v>
      </c>
      <c r="F11" s="17">
        <v>627236.04464690119</v>
      </c>
      <c r="G11" s="17">
        <v>821457.88808958384</v>
      </c>
      <c r="H11" s="17">
        <v>760355.80671797204</v>
      </c>
      <c r="I11" s="17">
        <v>720779.06104706915</v>
      </c>
      <c r="J11" s="17">
        <v>668548.57565236394</v>
      </c>
      <c r="K11" s="17">
        <v>696002.6371081901</v>
      </c>
      <c r="L11" s="17">
        <v>773164.23704938462</v>
      </c>
      <c r="M11" s="17">
        <v>749793.14086298004</v>
      </c>
      <c r="N11" s="17">
        <v>699746.01023836096</v>
      </c>
      <c r="O11" s="17">
        <v>1035170.4333193183</v>
      </c>
      <c r="P11" s="17">
        <v>1205443.2154264851</v>
      </c>
      <c r="Q11" s="4"/>
      <c r="R11" s="4"/>
      <c r="S11" s="3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1"/>
      <c r="GD11" s="1"/>
      <c r="GE11" s="1"/>
    </row>
    <row r="12" spans="1:188" s="27" customFormat="1" ht="15.75" x14ac:dyDescent="0.25">
      <c r="A12" s="21"/>
      <c r="B12" s="22" t="s">
        <v>28</v>
      </c>
      <c r="C12" s="23">
        <f>C6+C11</f>
        <v>7360297.4649593448</v>
      </c>
      <c r="D12" s="23">
        <f t="shared" ref="D12:N12" si="2">D6+D11</f>
        <v>6892980.2046190733</v>
      </c>
      <c r="E12" s="23">
        <f t="shared" si="2"/>
        <v>7511233.9382207468</v>
      </c>
      <c r="F12" s="23">
        <f t="shared" si="2"/>
        <v>7992306.6699380232</v>
      </c>
      <c r="G12" s="23">
        <f t="shared" si="2"/>
        <v>7385018.0139203174</v>
      </c>
      <c r="H12" s="23">
        <f t="shared" si="2"/>
        <v>7525618.4746694518</v>
      </c>
      <c r="I12" s="23">
        <f t="shared" si="2"/>
        <v>9090286.1753235087</v>
      </c>
      <c r="J12" s="23">
        <f t="shared" si="2"/>
        <v>8693301.6335131917</v>
      </c>
      <c r="K12" s="23">
        <f t="shared" si="2"/>
        <v>10435573.653282925</v>
      </c>
      <c r="L12" s="23">
        <f t="shared" si="2"/>
        <v>11734179.548446296</v>
      </c>
      <c r="M12" s="23">
        <f t="shared" si="2"/>
        <v>12270342.264771132</v>
      </c>
      <c r="N12" s="23">
        <f t="shared" si="2"/>
        <v>12215200.764979614</v>
      </c>
      <c r="O12" s="23">
        <f t="shared" ref="O12:P12" si="3">O6+O11</f>
        <v>12039722.782748021</v>
      </c>
      <c r="P12" s="23">
        <f t="shared" si="3"/>
        <v>12660345.001453292</v>
      </c>
      <c r="Q12" s="4"/>
      <c r="R12" s="4"/>
      <c r="S12" s="3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6"/>
      <c r="GD12" s="26"/>
      <c r="GE12" s="26"/>
    </row>
    <row r="13" spans="1:188" s="1" customFormat="1" ht="15.75" x14ac:dyDescent="0.25">
      <c r="A13" s="13" t="s">
        <v>32</v>
      </c>
      <c r="B13" s="14" t="s">
        <v>4</v>
      </c>
      <c r="C13" s="17">
        <v>8343501.2574879741</v>
      </c>
      <c r="D13" s="17">
        <v>8778246.9163748343</v>
      </c>
      <c r="E13" s="17">
        <v>9081836.9866297245</v>
      </c>
      <c r="F13" s="17">
        <v>9019470.2557506841</v>
      </c>
      <c r="G13" s="17">
        <v>11302091.542521834</v>
      </c>
      <c r="H13" s="17">
        <v>14887347.207275804</v>
      </c>
      <c r="I13" s="17">
        <v>15068955.558919359</v>
      </c>
      <c r="J13" s="17">
        <v>16013984.212128621</v>
      </c>
      <c r="K13" s="17">
        <v>14873270.507553607</v>
      </c>
      <c r="L13" s="17">
        <v>14752747.666489761</v>
      </c>
      <c r="M13" s="17">
        <v>17366406.510991879</v>
      </c>
      <c r="N13" s="17">
        <v>17523917.676835317</v>
      </c>
      <c r="O13" s="17">
        <v>18816939.022225458</v>
      </c>
      <c r="P13" s="17">
        <v>20030128.615352206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F13" s="2"/>
    </row>
    <row r="14" spans="1:188" ht="30" x14ac:dyDescent="0.25">
      <c r="A14" s="18" t="s">
        <v>33</v>
      </c>
      <c r="B14" s="16" t="s">
        <v>5</v>
      </c>
      <c r="C14" s="17">
        <v>719384.2459188709</v>
      </c>
      <c r="D14" s="17">
        <v>694460.79733332968</v>
      </c>
      <c r="E14" s="17">
        <v>705974.04097551061</v>
      </c>
      <c r="F14" s="17">
        <v>781504.04509267723</v>
      </c>
      <c r="G14" s="17">
        <v>871824.46963020344</v>
      </c>
      <c r="H14" s="17">
        <v>719491.64386885101</v>
      </c>
      <c r="I14" s="17">
        <v>866991.56978523661</v>
      </c>
      <c r="J14" s="17">
        <v>943425.64374147146</v>
      </c>
      <c r="K14" s="17">
        <v>1069525.6424495298</v>
      </c>
      <c r="L14" s="17">
        <v>1189785.2580183172</v>
      </c>
      <c r="M14" s="17">
        <v>1280788.9834876449</v>
      </c>
      <c r="N14" s="17">
        <v>1333435.024420341</v>
      </c>
      <c r="O14" s="17">
        <v>1348135.119861373</v>
      </c>
      <c r="P14" s="17">
        <v>1384653.1869832533</v>
      </c>
      <c r="Q14" s="4"/>
      <c r="R14" s="4"/>
      <c r="S14" s="3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3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3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3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1"/>
      <c r="GD14" s="1"/>
      <c r="GE14" s="1"/>
    </row>
    <row r="15" spans="1:188" ht="15.75" x14ac:dyDescent="0.25">
      <c r="A15" s="18" t="s">
        <v>34</v>
      </c>
      <c r="B15" s="16" t="s">
        <v>6</v>
      </c>
      <c r="C15" s="17">
        <v>4801597.7839072272</v>
      </c>
      <c r="D15" s="17">
        <v>4516224.3448872641</v>
      </c>
      <c r="E15" s="17">
        <v>5042356.9033279298</v>
      </c>
      <c r="F15" s="17">
        <v>5065439.618941132</v>
      </c>
      <c r="G15" s="17">
        <v>5210481.4798124069</v>
      </c>
      <c r="H15" s="17">
        <v>5203669.1517969631</v>
      </c>
      <c r="I15" s="17">
        <v>5387818.4246860538</v>
      </c>
      <c r="J15" s="17">
        <v>5794779.4331093077</v>
      </c>
      <c r="K15" s="17">
        <v>5693694.0518238544</v>
      </c>
      <c r="L15" s="17">
        <v>5389894.7809116077</v>
      </c>
      <c r="M15" s="17">
        <v>6374373.6175217144</v>
      </c>
      <c r="N15" s="17">
        <v>7090455.6018807068</v>
      </c>
      <c r="O15" s="17">
        <v>7401260.3082722239</v>
      </c>
      <c r="P15" s="17">
        <v>7661276.5902284114</v>
      </c>
      <c r="Q15" s="4"/>
      <c r="R15" s="4"/>
      <c r="S15" s="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3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3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3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1"/>
      <c r="GD15" s="1"/>
      <c r="GE15" s="1"/>
    </row>
    <row r="16" spans="1:188" s="27" customFormat="1" ht="15.75" x14ac:dyDescent="0.25">
      <c r="A16" s="21"/>
      <c r="B16" s="22" t="s">
        <v>29</v>
      </c>
      <c r="C16" s="23">
        <f>+C13+C14+C15</f>
        <v>13864483.287314072</v>
      </c>
      <c r="D16" s="23">
        <f t="shared" ref="D16:I16" si="4">+D13+D14+D15</f>
        <v>13988932.058595428</v>
      </c>
      <c r="E16" s="23">
        <f t="shared" si="4"/>
        <v>14830167.930933166</v>
      </c>
      <c r="F16" s="23">
        <f t="shared" si="4"/>
        <v>14866413.919784494</v>
      </c>
      <c r="G16" s="23">
        <f t="shared" si="4"/>
        <v>17384397.491964445</v>
      </c>
      <c r="H16" s="23">
        <f t="shared" si="4"/>
        <v>20810508.002941616</v>
      </c>
      <c r="I16" s="23">
        <f t="shared" si="4"/>
        <v>21323765.553390652</v>
      </c>
      <c r="J16" s="23">
        <f t="shared" ref="J16:K16" si="5">+J13+J14+J15</f>
        <v>22752189.288979396</v>
      </c>
      <c r="K16" s="23">
        <f t="shared" si="5"/>
        <v>21636490.20182699</v>
      </c>
      <c r="L16" s="23">
        <f t="shared" ref="L16:N16" si="6">+L13+L14+L15</f>
        <v>21332427.705419686</v>
      </c>
      <c r="M16" s="23">
        <f t="shared" si="6"/>
        <v>25021569.112001237</v>
      </c>
      <c r="N16" s="23">
        <f t="shared" si="6"/>
        <v>25947808.303136364</v>
      </c>
      <c r="O16" s="23">
        <f t="shared" ref="O16:P16" si="7">+O13+O14+O15</f>
        <v>27566334.450359054</v>
      </c>
      <c r="P16" s="23">
        <f t="shared" si="7"/>
        <v>29076058.392563872</v>
      </c>
      <c r="Q16" s="4"/>
      <c r="R16" s="4"/>
      <c r="S16" s="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4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4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4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6"/>
      <c r="GD16" s="26"/>
      <c r="GE16" s="26"/>
    </row>
    <row r="17" spans="1:188" s="26" customFormat="1" ht="30" x14ac:dyDescent="0.25">
      <c r="A17" s="28" t="s">
        <v>35</v>
      </c>
      <c r="B17" s="33" t="s">
        <v>7</v>
      </c>
      <c r="C17" s="30">
        <f>C18+C19</f>
        <v>5794547.0999939172</v>
      </c>
      <c r="D17" s="30">
        <f t="shared" ref="D17:I17" si="8">D18+D19</f>
        <v>6166059.7775286818</v>
      </c>
      <c r="E17" s="30">
        <f t="shared" si="8"/>
        <v>6784889.794866791</v>
      </c>
      <c r="F17" s="30">
        <f t="shared" si="8"/>
        <v>7209469.8915575091</v>
      </c>
      <c r="G17" s="30">
        <f t="shared" si="8"/>
        <v>7372682.4663601648</v>
      </c>
      <c r="H17" s="30">
        <f t="shared" si="8"/>
        <v>8156100.2977815578</v>
      </c>
      <c r="I17" s="30">
        <f t="shared" si="8"/>
        <v>9176950.9269641601</v>
      </c>
      <c r="J17" s="30">
        <f t="shared" ref="J17:K17" si="9">J18+J19</f>
        <v>10556854.182117753</v>
      </c>
      <c r="K17" s="30">
        <f t="shared" si="9"/>
        <v>11180187.390868409</v>
      </c>
      <c r="L17" s="30">
        <f t="shared" ref="L17:N17" si="10">L18+L19</f>
        <v>8164017.5031056572</v>
      </c>
      <c r="M17" s="30">
        <f t="shared" si="10"/>
        <v>9754426.5498396754</v>
      </c>
      <c r="N17" s="30">
        <f t="shared" si="10"/>
        <v>11832096.87292652</v>
      </c>
      <c r="O17" s="30">
        <f t="shared" ref="O17:P17" si="11">O18+O19</f>
        <v>12249913.911325119</v>
      </c>
      <c r="P17" s="30">
        <f t="shared" si="11"/>
        <v>12968286.211815406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F17" s="27"/>
    </row>
    <row r="18" spans="1:188" ht="15.75" x14ac:dyDescent="0.25">
      <c r="A18" s="15">
        <v>6.1</v>
      </c>
      <c r="B18" s="16" t="s">
        <v>8</v>
      </c>
      <c r="C18" s="17">
        <v>4752139.8395325374</v>
      </c>
      <c r="D18" s="17">
        <v>5112105.9807072068</v>
      </c>
      <c r="E18" s="17">
        <v>5736688.6251683068</v>
      </c>
      <c r="F18" s="17">
        <v>6182797.9873534581</v>
      </c>
      <c r="G18" s="17">
        <v>6326607.4670306779</v>
      </c>
      <c r="H18" s="17">
        <v>7054666.4664543159</v>
      </c>
      <c r="I18" s="17">
        <v>7915105.02769899</v>
      </c>
      <c r="J18" s="17">
        <v>9129946.3761900365</v>
      </c>
      <c r="K18" s="17">
        <v>9737042.4888849873</v>
      </c>
      <c r="L18" s="17">
        <v>7583482.9081931831</v>
      </c>
      <c r="M18" s="17">
        <v>8892589.6036735531</v>
      </c>
      <c r="N18" s="17">
        <v>10375725.10628145</v>
      </c>
      <c r="O18" s="17">
        <v>10780723.938516762</v>
      </c>
      <c r="P18" s="17">
        <v>11455669.531161033</v>
      </c>
      <c r="Q18" s="4"/>
      <c r="R18" s="4"/>
      <c r="S18" s="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1"/>
      <c r="GD18" s="1"/>
      <c r="GE18" s="1"/>
    </row>
    <row r="19" spans="1:188" ht="15.75" x14ac:dyDescent="0.25">
      <c r="A19" s="15">
        <v>6.2</v>
      </c>
      <c r="B19" s="16" t="s">
        <v>9</v>
      </c>
      <c r="C19" s="17">
        <v>1042407.26046138</v>
      </c>
      <c r="D19" s="17">
        <v>1053953.7968214748</v>
      </c>
      <c r="E19" s="17">
        <v>1048201.1696984844</v>
      </c>
      <c r="F19" s="17">
        <v>1026671.9042040505</v>
      </c>
      <c r="G19" s="17">
        <v>1046074.9993294869</v>
      </c>
      <c r="H19" s="17">
        <v>1101433.8313272416</v>
      </c>
      <c r="I19" s="17">
        <v>1261845.8992651694</v>
      </c>
      <c r="J19" s="17">
        <v>1426907.8059277155</v>
      </c>
      <c r="K19" s="17">
        <v>1443144.9019834218</v>
      </c>
      <c r="L19" s="17">
        <v>580534.59491247381</v>
      </c>
      <c r="M19" s="17">
        <v>861836.94616612152</v>
      </c>
      <c r="N19" s="17">
        <v>1456371.7666450695</v>
      </c>
      <c r="O19" s="17">
        <v>1469189.9728083573</v>
      </c>
      <c r="P19" s="17">
        <v>1512616.6806543728</v>
      </c>
      <c r="Q19" s="4"/>
      <c r="R19" s="4"/>
      <c r="S19" s="3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1"/>
      <c r="GD19" s="1"/>
      <c r="GE19" s="1"/>
    </row>
    <row r="20" spans="1:188" s="26" customFormat="1" ht="45" x14ac:dyDescent="0.25">
      <c r="A20" s="34" t="s">
        <v>36</v>
      </c>
      <c r="B20" s="35" t="s">
        <v>10</v>
      </c>
      <c r="C20" s="30">
        <f>SUM(C21:C27)</f>
        <v>2940286.2670095195</v>
      </c>
      <c r="D20" s="30">
        <f t="shared" ref="D20:N20" si="12">SUM(D21:D27)</f>
        <v>3203295.3373199198</v>
      </c>
      <c r="E20" s="30">
        <f t="shared" si="12"/>
        <v>3449628.3863554201</v>
      </c>
      <c r="F20" s="30">
        <f t="shared" si="12"/>
        <v>3802259.3818688062</v>
      </c>
      <c r="G20" s="30">
        <f t="shared" si="12"/>
        <v>4499029.6864877641</v>
      </c>
      <c r="H20" s="30">
        <f t="shared" si="12"/>
        <v>4623308.8573331479</v>
      </c>
      <c r="I20" s="30">
        <f t="shared" si="12"/>
        <v>4752264.2584479488</v>
      </c>
      <c r="J20" s="30">
        <f t="shared" si="12"/>
        <v>4990025.3247282887</v>
      </c>
      <c r="K20" s="30">
        <f t="shared" si="12"/>
        <v>6042576.9028351493</v>
      </c>
      <c r="L20" s="30">
        <f t="shared" si="12"/>
        <v>5708535.8590059988</v>
      </c>
      <c r="M20" s="30">
        <f t="shared" si="12"/>
        <v>5824459.2822834589</v>
      </c>
      <c r="N20" s="30">
        <f t="shared" si="12"/>
        <v>6379669.2012455938</v>
      </c>
      <c r="O20" s="30">
        <f t="shared" ref="O20:P20" si="13">SUM(O21:O27)</f>
        <v>6699999.4635040825</v>
      </c>
      <c r="P20" s="30">
        <f t="shared" si="13"/>
        <v>7047406.6853270112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F20" s="27"/>
    </row>
    <row r="21" spans="1:188" ht="15.75" x14ac:dyDescent="0.25">
      <c r="A21" s="15">
        <v>7.1</v>
      </c>
      <c r="B21" s="16" t="s">
        <v>11</v>
      </c>
      <c r="C21" s="17">
        <v>157682.53690188372</v>
      </c>
      <c r="D21" s="17">
        <v>172832.5030524155</v>
      </c>
      <c r="E21" s="17">
        <v>158329</v>
      </c>
      <c r="F21" s="17">
        <v>165592</v>
      </c>
      <c r="G21" s="17">
        <v>211704</v>
      </c>
      <c r="H21" s="17">
        <v>125784.99999999999</v>
      </c>
      <c r="I21" s="17">
        <v>143921</v>
      </c>
      <c r="J21" s="17">
        <v>139457</v>
      </c>
      <c r="K21" s="17">
        <v>170624</v>
      </c>
      <c r="L21" s="17">
        <v>131914.51727946431</v>
      </c>
      <c r="M21" s="17">
        <v>137316.35325877136</v>
      </c>
      <c r="N21" s="17">
        <v>197890.95568374632</v>
      </c>
      <c r="O21" s="17">
        <v>210575.19284985575</v>
      </c>
      <c r="P21" s="17">
        <v>252620.08897820566</v>
      </c>
      <c r="Q21" s="4"/>
      <c r="R21" s="4"/>
      <c r="S21" s="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1"/>
      <c r="GD21" s="1"/>
      <c r="GE21" s="1"/>
    </row>
    <row r="22" spans="1:188" ht="15.75" x14ac:dyDescent="0.25">
      <c r="A22" s="15">
        <v>7.2</v>
      </c>
      <c r="B22" s="16" t="s">
        <v>12</v>
      </c>
      <c r="C22" s="17">
        <v>1996702.5986694277</v>
      </c>
      <c r="D22" s="17">
        <v>2189848.7260340825</v>
      </c>
      <c r="E22" s="17">
        <v>2369791.5671468484</v>
      </c>
      <c r="F22" s="17">
        <v>2663805.353540313</v>
      </c>
      <c r="G22" s="17">
        <v>3075329.4943033918</v>
      </c>
      <c r="H22" s="17">
        <v>3301694.7561063762</v>
      </c>
      <c r="I22" s="17">
        <v>3533695.1003609328</v>
      </c>
      <c r="J22" s="17">
        <v>3779479.4077356756</v>
      </c>
      <c r="K22" s="17">
        <v>4689774.679197656</v>
      </c>
      <c r="L22" s="17">
        <v>4607382.6822729697</v>
      </c>
      <c r="M22" s="17">
        <v>4681364.8305496778</v>
      </c>
      <c r="N22" s="17">
        <v>5007189.058581627</v>
      </c>
      <c r="O22" s="17">
        <v>5308574.2624487001</v>
      </c>
      <c r="P22" s="17">
        <v>5548925.6867206777</v>
      </c>
      <c r="Q22" s="4"/>
      <c r="R22" s="4"/>
      <c r="S22" s="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1"/>
      <c r="GD22" s="1"/>
      <c r="GE22" s="1"/>
    </row>
    <row r="23" spans="1:188" ht="15.75" x14ac:dyDescent="0.25">
      <c r="A23" s="15">
        <v>7.3</v>
      </c>
      <c r="B23" s="16" t="s">
        <v>13</v>
      </c>
      <c r="C23" s="17">
        <v>24468.333551602864</v>
      </c>
      <c r="D23" s="17">
        <v>21898.892896842546</v>
      </c>
      <c r="E23" s="17">
        <v>10324.787397843385</v>
      </c>
      <c r="F23" s="17">
        <v>11189.383712191044</v>
      </c>
      <c r="G23" s="17">
        <v>9496.5409660205296</v>
      </c>
      <c r="H23" s="17">
        <v>15862.307173740883</v>
      </c>
      <c r="I23" s="17">
        <v>17916.09590162419</v>
      </c>
      <c r="J23" s="17">
        <v>25046.312680961171</v>
      </c>
      <c r="K23" s="17">
        <v>22648.1752666539</v>
      </c>
      <c r="L23" s="17">
        <v>20654.216762910015</v>
      </c>
      <c r="M23" s="17">
        <v>27702.172569318049</v>
      </c>
      <c r="N23" s="17">
        <v>37043.519463442484</v>
      </c>
      <c r="O23" s="17">
        <v>39683.99432107652</v>
      </c>
      <c r="P23" s="17">
        <v>42536.601977952669</v>
      </c>
      <c r="Q23" s="4"/>
      <c r="R23" s="4"/>
      <c r="S23" s="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1"/>
      <c r="GD23" s="1"/>
      <c r="GE23" s="1"/>
    </row>
    <row r="24" spans="1:188" ht="15.75" x14ac:dyDescent="0.25">
      <c r="A24" s="15">
        <v>7.4</v>
      </c>
      <c r="B24" s="16" t="s">
        <v>14</v>
      </c>
      <c r="C24" s="17">
        <v>33978.062232207383</v>
      </c>
      <c r="D24" s="17">
        <v>58621.092505905246</v>
      </c>
      <c r="E24" s="17">
        <v>22387.240738981505</v>
      </c>
      <c r="F24" s="17">
        <v>52563.70768307196</v>
      </c>
      <c r="G24" s="17">
        <v>127562.05248160625</v>
      </c>
      <c r="H24" s="17">
        <v>139821.9265370628</v>
      </c>
      <c r="I24" s="17">
        <v>146768.30676578148</v>
      </c>
      <c r="J24" s="17">
        <v>72748.54914450724</v>
      </c>
      <c r="K24" s="17">
        <v>125451.87955756014</v>
      </c>
      <c r="L24" s="17">
        <v>2752.3226108397066</v>
      </c>
      <c r="M24" s="17">
        <v>-7330.5421714467511</v>
      </c>
      <c r="N24" s="17">
        <v>20534.135622640126</v>
      </c>
      <c r="O24" s="17">
        <v>-4410.6075548914814</v>
      </c>
      <c r="P24" s="17">
        <v>-3482.3598386720114</v>
      </c>
      <c r="Q24" s="4"/>
      <c r="R24" s="4"/>
      <c r="S24" s="3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1"/>
      <c r="GD24" s="1"/>
      <c r="GE24" s="1"/>
    </row>
    <row r="25" spans="1:188" ht="15.75" x14ac:dyDescent="0.25">
      <c r="A25" s="15">
        <v>7.5</v>
      </c>
      <c r="B25" s="16" t="s">
        <v>15</v>
      </c>
      <c r="C25" s="17">
        <v>42927.456263092085</v>
      </c>
      <c r="D25" s="17">
        <v>34427.457991318108</v>
      </c>
      <c r="E25" s="17">
        <v>33282.6457240702</v>
      </c>
      <c r="F25" s="17">
        <v>40903.253027811203</v>
      </c>
      <c r="G25" s="17">
        <v>42102.972497954725</v>
      </c>
      <c r="H25" s="17">
        <v>70257.374435893435</v>
      </c>
      <c r="I25" s="17">
        <v>73158.749734959114</v>
      </c>
      <c r="J25" s="17">
        <v>81257.67415183103</v>
      </c>
      <c r="K25" s="17">
        <v>82369.560397460489</v>
      </c>
      <c r="L25" s="17">
        <v>41480.598274623277</v>
      </c>
      <c r="M25" s="17">
        <v>58502.871195673069</v>
      </c>
      <c r="N25" s="17">
        <v>69962.065188437657</v>
      </c>
      <c r="O25" s="17">
        <v>64436.889381840141</v>
      </c>
      <c r="P25" s="17">
        <v>69886.348357988114</v>
      </c>
      <c r="Q25" s="4"/>
      <c r="R25" s="4"/>
      <c r="S25" s="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1"/>
      <c r="GD25" s="1"/>
      <c r="GE25" s="1"/>
    </row>
    <row r="26" spans="1:188" ht="15.75" x14ac:dyDescent="0.25">
      <c r="A26" s="15">
        <v>7.6</v>
      </c>
      <c r="B26" s="16" t="s">
        <v>16</v>
      </c>
      <c r="C26" s="17">
        <v>23663.989158811095</v>
      </c>
      <c r="D26" s="17">
        <v>25210.772523202977</v>
      </c>
      <c r="E26" s="17">
        <v>25130.074711179404</v>
      </c>
      <c r="F26" s="17">
        <v>26055.309190397315</v>
      </c>
      <c r="G26" s="17">
        <v>25827.660090325895</v>
      </c>
      <c r="H26" s="17">
        <v>25161.127324949241</v>
      </c>
      <c r="I26" s="17">
        <v>25596.198107006439</v>
      </c>
      <c r="J26" s="17">
        <v>102031.0093387252</v>
      </c>
      <c r="K26" s="17">
        <v>94671.410732852193</v>
      </c>
      <c r="L26" s="17">
        <v>90635.086247273081</v>
      </c>
      <c r="M26" s="17">
        <v>92961.017841212248</v>
      </c>
      <c r="N26" s="17">
        <v>99080.736043290191</v>
      </c>
      <c r="O26" s="17">
        <v>100675.40555146054</v>
      </c>
      <c r="P26" s="17">
        <v>104414.51428385435</v>
      </c>
      <c r="Q26" s="4"/>
      <c r="R26" s="4"/>
      <c r="S26" s="3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1"/>
      <c r="GD26" s="1"/>
      <c r="GE26" s="1"/>
    </row>
    <row r="27" spans="1:188" ht="30" x14ac:dyDescent="0.25">
      <c r="A27" s="15">
        <v>7.7</v>
      </c>
      <c r="B27" s="16" t="s">
        <v>17</v>
      </c>
      <c r="C27" s="17">
        <v>660863.29023249494</v>
      </c>
      <c r="D27" s="17">
        <v>700455.89231615292</v>
      </c>
      <c r="E27" s="17">
        <v>830383.07063649734</v>
      </c>
      <c r="F27" s="17">
        <v>842150.37471502181</v>
      </c>
      <c r="G27" s="17">
        <v>1007006.9661484656</v>
      </c>
      <c r="H27" s="17">
        <v>944726.36575512588</v>
      </c>
      <c r="I27" s="17">
        <v>811208.80757764447</v>
      </c>
      <c r="J27" s="17">
        <v>790005.3716765882</v>
      </c>
      <c r="K27" s="17">
        <v>857037.19768296648</v>
      </c>
      <c r="L27" s="17">
        <v>813716.43555791955</v>
      </c>
      <c r="M27" s="17">
        <v>833942.57904025307</v>
      </c>
      <c r="N27" s="17">
        <v>947968.73066241026</v>
      </c>
      <c r="O27" s="17">
        <v>980464.32650604087</v>
      </c>
      <c r="P27" s="17">
        <v>1032505.8048470042</v>
      </c>
      <c r="Q27" s="4"/>
      <c r="R27" s="4"/>
      <c r="S27" s="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1"/>
      <c r="GD27" s="1"/>
      <c r="GE27" s="1"/>
    </row>
    <row r="28" spans="1:188" ht="15.75" x14ac:dyDescent="0.25">
      <c r="A28" s="18" t="s">
        <v>37</v>
      </c>
      <c r="B28" s="16" t="s">
        <v>18</v>
      </c>
      <c r="C28" s="17">
        <v>2833927.1554829152</v>
      </c>
      <c r="D28" s="17">
        <v>3114741.6633990756</v>
      </c>
      <c r="E28" s="17">
        <v>3416594.6460934561</v>
      </c>
      <c r="F28" s="17">
        <v>3909744</v>
      </c>
      <c r="G28" s="17">
        <v>4451354</v>
      </c>
      <c r="H28" s="17">
        <v>4714268</v>
      </c>
      <c r="I28" s="17">
        <v>4632324.9605117682</v>
      </c>
      <c r="J28" s="17">
        <v>4836354</v>
      </c>
      <c r="K28" s="17">
        <v>4902554</v>
      </c>
      <c r="L28" s="17">
        <v>5436319.1977219349</v>
      </c>
      <c r="M28" s="17">
        <v>5463587.7597259339</v>
      </c>
      <c r="N28" s="17">
        <v>5952658.5947985705</v>
      </c>
      <c r="O28" s="17">
        <v>6782152.0743840886</v>
      </c>
      <c r="P28" s="17">
        <v>6922357.6665675119</v>
      </c>
      <c r="Q28" s="4"/>
      <c r="R28" s="4"/>
      <c r="S28" s="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1"/>
      <c r="GD28" s="1"/>
      <c r="GE28" s="1"/>
    </row>
    <row r="29" spans="1:188" ht="30" x14ac:dyDescent="0.25">
      <c r="A29" s="18" t="s">
        <v>38</v>
      </c>
      <c r="B29" s="16" t="s">
        <v>19</v>
      </c>
      <c r="C29" s="17">
        <v>13359757.515891844</v>
      </c>
      <c r="D29" s="17">
        <v>15114598.45266542</v>
      </c>
      <c r="E29" s="17">
        <v>17056282.799804579</v>
      </c>
      <c r="F29" s="17">
        <v>17789698.711944889</v>
      </c>
      <c r="G29" s="17">
        <v>20782685.096594501</v>
      </c>
      <c r="H29" s="17">
        <v>23617873.968196053</v>
      </c>
      <c r="I29" s="17">
        <v>24099764.121638849</v>
      </c>
      <c r="J29" s="17">
        <v>26143276.630096622</v>
      </c>
      <c r="K29" s="17">
        <v>28806384.313224036</v>
      </c>
      <c r="L29" s="17">
        <v>28924853.606086392</v>
      </c>
      <c r="M29" s="17">
        <v>32060507.87417699</v>
      </c>
      <c r="N29" s="17">
        <v>37984642.908883475</v>
      </c>
      <c r="O29" s="17">
        <v>41341001.914228849</v>
      </c>
      <c r="P29" s="17">
        <v>45333307.462161623</v>
      </c>
      <c r="Q29" s="4"/>
      <c r="R29" s="4"/>
      <c r="S29" s="3"/>
      <c r="T29" s="5"/>
      <c r="U29" s="5"/>
      <c r="V29" s="5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1"/>
      <c r="GD29" s="1"/>
      <c r="GE29" s="1"/>
    </row>
    <row r="30" spans="1:188" ht="15.75" x14ac:dyDescent="0.25">
      <c r="A30" s="18" t="s">
        <v>39</v>
      </c>
      <c r="B30" s="16" t="s">
        <v>54</v>
      </c>
      <c r="C30" s="17">
        <v>1148694.932827201</v>
      </c>
      <c r="D30" s="17">
        <v>1284481.0307749351</v>
      </c>
      <c r="E30" s="17">
        <v>1378127.2473210457</v>
      </c>
      <c r="F30" s="17">
        <v>1454395.4141324514</v>
      </c>
      <c r="G30" s="17">
        <v>1509793.6384097764</v>
      </c>
      <c r="H30" s="17">
        <v>1544345.6187508204</v>
      </c>
      <c r="I30" s="17">
        <v>1650552.4543211064</v>
      </c>
      <c r="J30" s="17">
        <v>1973208.0473480092</v>
      </c>
      <c r="K30" s="17">
        <v>2105575.2098658299</v>
      </c>
      <c r="L30" s="17">
        <v>2052629.0772755202</v>
      </c>
      <c r="M30" s="17">
        <v>2078784.2099263559</v>
      </c>
      <c r="N30" s="17">
        <v>2227687.5910427971</v>
      </c>
      <c r="O30" s="17">
        <v>2475968.8497713958</v>
      </c>
      <c r="P30" s="17">
        <v>2962674.2614796441</v>
      </c>
      <c r="Q30" s="4"/>
      <c r="R30" s="4"/>
      <c r="S30" s="3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1"/>
      <c r="GD30" s="1"/>
      <c r="GE30" s="1"/>
    </row>
    <row r="31" spans="1:188" ht="15.75" x14ac:dyDescent="0.25">
      <c r="A31" s="18" t="s">
        <v>40</v>
      </c>
      <c r="B31" s="16" t="s">
        <v>20</v>
      </c>
      <c r="C31" s="17">
        <v>2813609.4630732336</v>
      </c>
      <c r="D31" s="17">
        <v>3099121.7501390139</v>
      </c>
      <c r="E31" s="17">
        <v>3321235.6731587197</v>
      </c>
      <c r="F31" s="17">
        <v>3655586.2309297305</v>
      </c>
      <c r="G31" s="17">
        <v>4007862.7614147486</v>
      </c>
      <c r="H31" s="17">
        <v>4489567.7182820803</v>
      </c>
      <c r="I31" s="17">
        <v>4844480.40053875</v>
      </c>
      <c r="J31" s="17">
        <v>5079792.2235395946</v>
      </c>
      <c r="K31" s="17">
        <v>5727787.5977649186</v>
      </c>
      <c r="L31" s="17">
        <v>4493771.7275347449</v>
      </c>
      <c r="M31" s="17">
        <v>5261592.9320822665</v>
      </c>
      <c r="N31" s="17">
        <v>6024204.9942393107</v>
      </c>
      <c r="O31" s="17">
        <v>6420202.3691570163</v>
      </c>
      <c r="P31" s="17">
        <v>7368180.1683665933</v>
      </c>
      <c r="Q31" s="4"/>
      <c r="R31" s="4"/>
      <c r="S31" s="3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1"/>
      <c r="GD31" s="1"/>
      <c r="GE31" s="1"/>
    </row>
    <row r="32" spans="1:188" s="27" customFormat="1" ht="15.75" x14ac:dyDescent="0.25">
      <c r="A32" s="21"/>
      <c r="B32" s="22" t="s">
        <v>30</v>
      </c>
      <c r="C32" s="23">
        <f>C17+C20+C28+C29+C30+C31</f>
        <v>28890822.43427863</v>
      </c>
      <c r="D32" s="23">
        <f t="shared" ref="D32:G32" si="14">D17+D20+D28+D29+D30+D31</f>
        <v>31982298.011827048</v>
      </c>
      <c r="E32" s="23">
        <f t="shared" si="14"/>
        <v>35406758.547600016</v>
      </c>
      <c r="F32" s="23">
        <f t="shared" si="14"/>
        <v>37821153.630433388</v>
      </c>
      <c r="G32" s="23">
        <f t="shared" si="14"/>
        <v>42623407.649266958</v>
      </c>
      <c r="H32" s="23">
        <f t="shared" ref="H32:I32" si="15">H17+H20+H28+H29+H30+H31</f>
        <v>47145464.460343659</v>
      </c>
      <c r="I32" s="23">
        <f t="shared" si="15"/>
        <v>49156337.122422583</v>
      </c>
      <c r="J32" s="23">
        <f t="shared" ref="J32:K32" si="16">J17+J20+J28+J29+J30+J31</f>
        <v>53579510.407830268</v>
      </c>
      <c r="K32" s="23">
        <f t="shared" si="16"/>
        <v>58765065.414558336</v>
      </c>
      <c r="L32" s="23">
        <f t="shared" ref="L32:M32" si="17">L17+L20+L28+L29+L30+L31</f>
        <v>54780126.970730245</v>
      </c>
      <c r="M32" s="23">
        <f t="shared" si="17"/>
        <v>60443358.608034678</v>
      </c>
      <c r="N32" s="23">
        <f t="shared" ref="N32" si="18">N17+N20+N28+N29+N30+N31</f>
        <v>70400960.163136259</v>
      </c>
      <c r="O32" s="23">
        <f t="shared" ref="O32" si="19">O17+O20+O28+O29+O30+O31</f>
        <v>75969238.582370549</v>
      </c>
      <c r="P32" s="23">
        <f t="shared" ref="P32" si="20">P17+P20+P28+P29+P30+P31</f>
        <v>82602212.455717787</v>
      </c>
      <c r="Q32" s="4"/>
      <c r="R32" s="4"/>
      <c r="S32" s="3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6"/>
      <c r="GD32" s="26"/>
      <c r="GE32" s="26"/>
    </row>
    <row r="33" spans="1:188" s="26" customFormat="1" ht="15.75" x14ac:dyDescent="0.25">
      <c r="A33" s="28" t="s">
        <v>27</v>
      </c>
      <c r="B33" s="29" t="s">
        <v>51</v>
      </c>
      <c r="C33" s="30">
        <f t="shared" ref="C33:G33" si="21">C6+C11+C13+C14+C15+C17+C20+C28+C29+C30+C31</f>
        <v>50115603.186552048</v>
      </c>
      <c r="D33" s="30">
        <f t="shared" si="21"/>
        <v>52864210.27504155</v>
      </c>
      <c r="E33" s="30">
        <f t="shared" si="21"/>
        <v>57748160.416753925</v>
      </c>
      <c r="F33" s="30">
        <f t="shared" si="21"/>
        <v>60679874.220155902</v>
      </c>
      <c r="G33" s="30">
        <f t="shared" si="21"/>
        <v>67392823.155151725</v>
      </c>
      <c r="H33" s="30">
        <f t="shared" ref="H33:I33" si="22">H6+H11+H13+H14+H15+H17+H20+H28+H29+H30+H31</f>
        <v>75481590.937954724</v>
      </c>
      <c r="I33" s="30">
        <f t="shared" si="22"/>
        <v>79570388.851136744</v>
      </c>
      <c r="J33" s="30">
        <f t="shared" ref="J33:K33" si="23">J6+J11+J13+J14+J15+J17+J20+J28+J29+J30+J31</f>
        <v>85025001.330322847</v>
      </c>
      <c r="K33" s="30">
        <f t="shared" si="23"/>
        <v>90837129.269668251</v>
      </c>
      <c r="L33" s="30">
        <f t="shared" ref="L33:M33" si="24">L6+L11+L13+L14+L15+L17+L20+L28+L29+L30+L31</f>
        <v>87846734.224596217</v>
      </c>
      <c r="M33" s="30">
        <f t="shared" si="24"/>
        <v>97735269.984807044</v>
      </c>
      <c r="N33" s="30">
        <f t="shared" ref="N33" si="25">N6+N11+N13+N14+N15+N17+N20+N28+N29+N30+N31</f>
        <v>108563969.23125225</v>
      </c>
      <c r="O33" s="30">
        <f t="shared" ref="O33" si="26">O6+O11+O13+O14+O15+O17+O20+O28+O29+O30+O31</f>
        <v>115575295.81547762</v>
      </c>
      <c r="P33" s="30">
        <f t="shared" ref="P33" si="27">P6+P11+P13+P14+P15+P17+P20+P28+P29+P30+P31</f>
        <v>124338615.84973495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F33" s="27"/>
    </row>
    <row r="34" spans="1:188" s="27" customFormat="1" ht="15.75" x14ac:dyDescent="0.25">
      <c r="A34" s="31" t="s">
        <v>43</v>
      </c>
      <c r="B34" s="32" t="s">
        <v>25</v>
      </c>
      <c r="C34" s="23">
        <f>GSVA_const!C34</f>
        <v>7019220.6330578076</v>
      </c>
      <c r="D34" s="23">
        <f>GSVA_const!D34</f>
        <v>7456237.7287568636</v>
      </c>
      <c r="E34" s="23">
        <f>GSVA_const!E34</f>
        <v>8045314.5811906196</v>
      </c>
      <c r="F34" s="23">
        <f>GSVA_const!F34</f>
        <v>8492577.4395943973</v>
      </c>
      <c r="G34" s="23">
        <f>GSVA_const!G34</f>
        <v>9514634.9780048411</v>
      </c>
      <c r="H34" s="23">
        <f>GSVA_const!H34</f>
        <v>11393480.589601627</v>
      </c>
      <c r="I34" s="23">
        <f>GSVA_const!I34</f>
        <v>13686518.04160882</v>
      </c>
      <c r="J34" s="23">
        <f>GSVA_const!J34</f>
        <v>14490213.773876412</v>
      </c>
      <c r="K34" s="23">
        <f>GSVA_const!K34</f>
        <v>14544055.306682259</v>
      </c>
      <c r="L34" s="23">
        <f>GSVA_const!L34</f>
        <v>14208339.41610468</v>
      </c>
      <c r="M34" s="23">
        <f>GSVA_const!M34</f>
        <v>16447093.711176718</v>
      </c>
      <c r="N34" s="23">
        <f>GSVA_const!N34</f>
        <v>17724584.360331081</v>
      </c>
      <c r="O34" s="23">
        <f>GSVA_const!O34</f>
        <v>19249570.860549599</v>
      </c>
      <c r="P34" s="23">
        <f>GSVA_const!P34</f>
        <v>20836529.219772805</v>
      </c>
      <c r="Q34" s="4"/>
      <c r="R34" s="4"/>
      <c r="S34" s="3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</row>
    <row r="35" spans="1:188" s="27" customFormat="1" ht="15.75" x14ac:dyDescent="0.25">
      <c r="A35" s="31" t="s">
        <v>44</v>
      </c>
      <c r="B35" s="32" t="s">
        <v>24</v>
      </c>
      <c r="C35" s="23">
        <f>GSVA_const!C35</f>
        <v>1639604</v>
      </c>
      <c r="D35" s="23">
        <f>GSVA_const!D35</f>
        <v>1665286.7279591653</v>
      </c>
      <c r="E35" s="23">
        <f>GSVA_const!E35</f>
        <v>1799458.7346908476</v>
      </c>
      <c r="F35" s="23">
        <f>GSVA_const!F35</f>
        <v>2044099.625334844</v>
      </c>
      <c r="G35" s="23">
        <f>GSVA_const!G35</f>
        <v>1913109.8164427506</v>
      </c>
      <c r="H35" s="23">
        <f>GSVA_const!H35</f>
        <v>1735661.8561812444</v>
      </c>
      <c r="I35" s="23">
        <f>GSVA_const!I35</f>
        <v>1691180.7263744897</v>
      </c>
      <c r="J35" s="23">
        <f>GSVA_const!J35</f>
        <v>1785065.8472202376</v>
      </c>
      <c r="K35" s="23">
        <f>GSVA_const!K35</f>
        <v>1943213.0853401083</v>
      </c>
      <c r="L35" s="23">
        <f>GSVA_const!L35</f>
        <v>2395605.1404272248</v>
      </c>
      <c r="M35" s="23">
        <f>GSVA_const!M35</f>
        <v>3133414.9067517086</v>
      </c>
      <c r="N35" s="23">
        <f>GSVA_const!N35</f>
        <v>3160983.1240541344</v>
      </c>
      <c r="O35" s="23">
        <f>GSVA_const!O35</f>
        <v>4402423.3042218816</v>
      </c>
      <c r="P35" s="23">
        <f>GSVA_const!P35</f>
        <v>5302759.2222018782</v>
      </c>
      <c r="Q35" s="4"/>
      <c r="R35" s="4"/>
      <c r="S35" s="3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</row>
    <row r="36" spans="1:188" s="27" customFormat="1" ht="15.75" x14ac:dyDescent="0.25">
      <c r="A36" s="31" t="s">
        <v>45</v>
      </c>
      <c r="B36" s="32" t="s">
        <v>63</v>
      </c>
      <c r="C36" s="23">
        <f>C33+C34-C35</f>
        <v>55495219.819609858</v>
      </c>
      <c r="D36" s="23">
        <f t="shared" ref="D36:M36" si="28">D33+D34-D35</f>
        <v>58655161.275839247</v>
      </c>
      <c r="E36" s="23">
        <f t="shared" si="28"/>
        <v>63994016.263253704</v>
      </c>
      <c r="F36" s="23">
        <f t="shared" si="28"/>
        <v>67128352.034415454</v>
      </c>
      <c r="G36" s="23">
        <f t="shared" si="28"/>
        <v>74994348.31671381</v>
      </c>
      <c r="H36" s="23">
        <f t="shared" si="28"/>
        <v>85139409.671375096</v>
      </c>
      <c r="I36" s="23">
        <f t="shared" si="28"/>
        <v>91565726.166371077</v>
      </c>
      <c r="J36" s="23">
        <f t="shared" si="28"/>
        <v>97730149.256979018</v>
      </c>
      <c r="K36" s="23">
        <f t="shared" si="28"/>
        <v>103437971.4910104</v>
      </c>
      <c r="L36" s="23">
        <f t="shared" si="28"/>
        <v>99659468.50027366</v>
      </c>
      <c r="M36" s="23">
        <f t="shared" si="28"/>
        <v>111048948.78923206</v>
      </c>
      <c r="N36" s="23">
        <f t="shared" ref="N36" si="29">N33+N34-N35</f>
        <v>123127570.46752921</v>
      </c>
      <c r="O36" s="23">
        <f t="shared" ref="O36" si="30">O33+O34-O35</f>
        <v>130422443.37180535</v>
      </c>
      <c r="P36" s="23">
        <f t="shared" ref="P36" si="31">P33+P34-P35</f>
        <v>139872385.84730586</v>
      </c>
      <c r="Q36" s="4"/>
      <c r="R36" s="4"/>
      <c r="S36" s="3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</row>
    <row r="37" spans="1:188" s="27" customFormat="1" ht="15.75" x14ac:dyDescent="0.25">
      <c r="A37" s="31" t="s">
        <v>46</v>
      </c>
      <c r="B37" s="32" t="s">
        <v>42</v>
      </c>
      <c r="C37" s="23">
        <f>GSVA_cur!C37</f>
        <v>614820</v>
      </c>
      <c r="D37" s="23">
        <f>GSVA_cur!D37</f>
        <v>621510</v>
      </c>
      <c r="E37" s="23">
        <f>GSVA_cur!E37</f>
        <v>628270</v>
      </c>
      <c r="F37" s="23">
        <f>GSVA_cur!F37</f>
        <v>635100</v>
      </c>
      <c r="G37" s="23">
        <f>GSVA_cur!G37</f>
        <v>642010</v>
      </c>
      <c r="H37" s="23">
        <f>GSVA_cur!H37</f>
        <v>649000</v>
      </c>
      <c r="I37" s="23">
        <f>GSVA_cur!I37</f>
        <v>650570</v>
      </c>
      <c r="J37" s="23">
        <f>GSVA_cur!J37</f>
        <v>655800</v>
      </c>
      <c r="K37" s="23">
        <f>GSVA_cur!K37</f>
        <v>661040</v>
      </c>
      <c r="L37" s="23">
        <f>GSVA_cur!L37</f>
        <v>666270</v>
      </c>
      <c r="M37" s="23">
        <f>GSVA_cur!M37</f>
        <v>670920</v>
      </c>
      <c r="N37" s="23">
        <f>GSVA_cur!N37</f>
        <v>675150</v>
      </c>
      <c r="O37" s="23">
        <f>GSVA_cur!O37</f>
        <v>679390</v>
      </c>
      <c r="P37" s="23">
        <f>GSVA_cur!P37</f>
        <v>683620</v>
      </c>
      <c r="Q37" s="2"/>
      <c r="R37" s="2"/>
      <c r="S37" s="1"/>
      <c r="T37" s="1"/>
      <c r="U37" s="1"/>
      <c r="V37" s="1"/>
      <c r="W37" s="1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</row>
    <row r="38" spans="1:188" s="27" customFormat="1" ht="15.75" x14ac:dyDescent="0.25">
      <c r="A38" s="31" t="s">
        <v>47</v>
      </c>
      <c r="B38" s="32" t="s">
        <v>64</v>
      </c>
      <c r="C38" s="23">
        <f>C36/C37*1000</f>
        <v>90262.548094742946</v>
      </c>
      <c r="D38" s="23">
        <f t="shared" ref="D38:M38" si="32">D36/D37*1000</f>
        <v>94375.249434183279</v>
      </c>
      <c r="E38" s="23">
        <f t="shared" si="32"/>
        <v>101857.5075417475</v>
      </c>
      <c r="F38" s="23">
        <f t="shared" si="32"/>
        <v>105697.29496837578</v>
      </c>
      <c r="G38" s="23">
        <f t="shared" si="32"/>
        <v>116811.80716299404</v>
      </c>
      <c r="H38" s="23">
        <f t="shared" si="32"/>
        <v>131185.53108070121</v>
      </c>
      <c r="I38" s="23">
        <f t="shared" si="32"/>
        <v>140746.92372284472</v>
      </c>
      <c r="J38" s="23">
        <f t="shared" si="32"/>
        <v>149024.32030646389</v>
      </c>
      <c r="K38" s="23">
        <f t="shared" si="32"/>
        <v>156477.62842038364</v>
      </c>
      <c r="L38" s="23">
        <f t="shared" si="32"/>
        <v>149578.20178046986</v>
      </c>
      <c r="M38" s="23">
        <f t="shared" si="32"/>
        <v>165517.42203128847</v>
      </c>
      <c r="N38" s="23">
        <f t="shared" ref="N38" si="33">N36/N37*1000</f>
        <v>182370.68868774231</v>
      </c>
      <c r="O38" s="23">
        <f t="shared" ref="O38" si="34">O36/O37*1000</f>
        <v>191969.9191507166</v>
      </c>
      <c r="P38" s="23">
        <f t="shared" ref="P38" si="35">P36/P37*1000</f>
        <v>204605.4618754657</v>
      </c>
      <c r="Q38" s="2"/>
      <c r="R38" s="2"/>
      <c r="S38" s="3"/>
      <c r="T38" s="3"/>
      <c r="U38" s="3"/>
      <c r="V38" s="3"/>
      <c r="W38" s="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BX38" s="25"/>
      <c r="BY38" s="25"/>
      <c r="BZ38" s="25"/>
      <c r="CA38" s="25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</row>
    <row r="39" spans="1:188" x14ac:dyDescent="0.25">
      <c r="A39" s="2" t="s">
        <v>75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3" max="1048575" man="1"/>
    <brk id="35" max="1048575" man="1"/>
    <brk id="51" max="1048575" man="1"/>
    <brk id="115" max="95" man="1"/>
    <brk id="151" max="1048575" man="1"/>
    <brk id="175" max="1048575" man="1"/>
    <brk id="183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2025-08-04T05:51:26Z</dcterms:modified>
</cp:coreProperties>
</file>