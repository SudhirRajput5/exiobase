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124226"/>
  <xr:revisionPtr revIDLastSave="0" documentId="13_ncr:1_{52D6065A-68D5-41AA-A728-0C8BE69CD01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SVA_cur" sheetId="10" r:id="rId1"/>
    <sheet name="GSVA_const" sheetId="1" r:id="rId2"/>
    <sheet name="NSVA_cur" sheetId="11" r:id="rId3"/>
    <sheet name="NSVA_const" sheetId="12" r:id="rId4"/>
  </sheets>
  <externalReferences>
    <externalReference r:id="rId5"/>
  </externalReferences>
  <definedNames>
    <definedName name="_xlnm.Print_Titles" localSheetId="1">GSVA_const!$A:$B</definedName>
    <definedName name="_xlnm.Print_Titles" localSheetId="0">GSVA_cur!$A:$B</definedName>
    <definedName name="_xlnm.Print_Titles" localSheetId="3">NSVA_const!$A:$B</definedName>
    <definedName name="_xlnm.Print_Titles" localSheetId="2">NSVA_cur!$A:$B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4" i="12" l="1"/>
  <c r="P35" i="12"/>
  <c r="P37" i="12"/>
  <c r="P34" i="11"/>
  <c r="P35" i="11"/>
  <c r="P37" i="11"/>
  <c r="P37" i="1"/>
  <c r="P20" i="1"/>
  <c r="P20" i="11"/>
  <c r="P20" i="12"/>
  <c r="P20" i="10"/>
  <c r="P16" i="1"/>
  <c r="P17" i="1"/>
  <c r="P16" i="11"/>
  <c r="P17" i="11"/>
  <c r="P16" i="12"/>
  <c r="P17" i="12"/>
  <c r="P16" i="10"/>
  <c r="P17" i="10"/>
  <c r="P6" i="1"/>
  <c r="P6" i="11"/>
  <c r="P12" i="11" s="1"/>
  <c r="P6" i="12"/>
  <c r="P6" i="10"/>
  <c r="P12" i="10" s="1"/>
  <c r="P12" i="1" l="1"/>
  <c r="P32" i="12"/>
  <c r="P33" i="12"/>
  <c r="P12" i="12"/>
  <c r="P32" i="11"/>
  <c r="P33" i="11"/>
  <c r="P36" i="12"/>
  <c r="P32" i="1"/>
  <c r="P33" i="1"/>
  <c r="P32" i="10"/>
  <c r="P33" i="10"/>
  <c r="O6" i="1"/>
  <c r="O16" i="1"/>
  <c r="O17" i="1"/>
  <c r="O20" i="1"/>
  <c r="O37" i="1"/>
  <c r="O6" i="11"/>
  <c r="O16" i="11"/>
  <c r="O17" i="11"/>
  <c r="O20" i="11"/>
  <c r="O34" i="11"/>
  <c r="O35" i="11"/>
  <c r="O37" i="11"/>
  <c r="O6" i="12"/>
  <c r="O16" i="12"/>
  <c r="O17" i="12"/>
  <c r="O20" i="12"/>
  <c r="O34" i="12"/>
  <c r="O35" i="12"/>
  <c r="O37" i="12"/>
  <c r="O6" i="10"/>
  <c r="O16" i="10"/>
  <c r="O17" i="10"/>
  <c r="O20" i="10"/>
  <c r="P36" i="10" l="1"/>
  <c r="P38" i="12"/>
  <c r="O32" i="1"/>
  <c r="P36" i="11"/>
  <c r="P36" i="1"/>
  <c r="P38" i="10"/>
  <c r="O32" i="12"/>
  <c r="O33" i="12"/>
  <c r="O36" i="12" s="1"/>
  <c r="O12" i="12"/>
  <c r="O32" i="11"/>
  <c r="O33" i="11"/>
  <c r="O36" i="11" s="1"/>
  <c r="O12" i="11"/>
  <c r="O33" i="1"/>
  <c r="O36" i="1" s="1"/>
  <c r="O12" i="1"/>
  <c r="O32" i="10"/>
  <c r="O33" i="10"/>
  <c r="O36" i="10" s="1"/>
  <c r="O12" i="10"/>
  <c r="P38" i="11" l="1"/>
  <c r="P38" i="1"/>
  <c r="O38" i="12"/>
  <c r="O38" i="1"/>
  <c r="O38" i="10"/>
  <c r="O38" i="11"/>
  <c r="I2" i="1"/>
  <c r="I2" i="11"/>
  <c r="I2" i="12"/>
  <c r="I2" i="10"/>
  <c r="D37" i="12" l="1"/>
  <c r="E37" i="12"/>
  <c r="F37" i="12"/>
  <c r="G37" i="12"/>
  <c r="H37" i="12"/>
  <c r="I37" i="12"/>
  <c r="J37" i="12"/>
  <c r="K37" i="12"/>
  <c r="L37" i="12"/>
  <c r="M37" i="12"/>
  <c r="N37" i="12"/>
  <c r="D34" i="12"/>
  <c r="E34" i="12"/>
  <c r="F34" i="12"/>
  <c r="G34" i="12"/>
  <c r="H34" i="12"/>
  <c r="I34" i="12"/>
  <c r="J34" i="12"/>
  <c r="K34" i="12"/>
  <c r="L34" i="12"/>
  <c r="M34" i="12"/>
  <c r="N34" i="12"/>
  <c r="D35" i="12"/>
  <c r="E35" i="12"/>
  <c r="F35" i="12"/>
  <c r="G35" i="12"/>
  <c r="H35" i="12"/>
  <c r="I35" i="12"/>
  <c r="J35" i="12"/>
  <c r="K35" i="12"/>
  <c r="L35" i="12"/>
  <c r="M35" i="12"/>
  <c r="N35" i="12"/>
  <c r="D34" i="11"/>
  <c r="E34" i="11"/>
  <c r="F34" i="11"/>
  <c r="G34" i="11"/>
  <c r="H34" i="11"/>
  <c r="I34" i="11"/>
  <c r="J34" i="11"/>
  <c r="K34" i="11"/>
  <c r="L34" i="11"/>
  <c r="M34" i="11"/>
  <c r="N34" i="11"/>
  <c r="D35" i="11"/>
  <c r="E35" i="11"/>
  <c r="F35" i="11"/>
  <c r="G35" i="11"/>
  <c r="H35" i="11"/>
  <c r="I35" i="11"/>
  <c r="J35" i="11"/>
  <c r="K35" i="11"/>
  <c r="L35" i="11"/>
  <c r="M35" i="11"/>
  <c r="N35" i="11"/>
  <c r="D37" i="11"/>
  <c r="E37" i="11"/>
  <c r="F37" i="11"/>
  <c r="G37" i="11"/>
  <c r="H37" i="11"/>
  <c r="I37" i="11"/>
  <c r="J37" i="11"/>
  <c r="K37" i="11"/>
  <c r="L37" i="11"/>
  <c r="M37" i="11"/>
  <c r="N37" i="11"/>
  <c r="D20" i="11"/>
  <c r="E20" i="11"/>
  <c r="F20" i="11"/>
  <c r="G20" i="11"/>
  <c r="H20" i="11"/>
  <c r="I20" i="11"/>
  <c r="J20" i="11"/>
  <c r="K20" i="11"/>
  <c r="L20" i="11"/>
  <c r="M20" i="11"/>
  <c r="N20" i="11"/>
  <c r="D16" i="11"/>
  <c r="E16" i="11"/>
  <c r="F16" i="11"/>
  <c r="G16" i="11"/>
  <c r="H16" i="11"/>
  <c r="I16" i="11"/>
  <c r="J16" i="11"/>
  <c r="K16" i="11"/>
  <c r="L16" i="11"/>
  <c r="M16" i="11"/>
  <c r="N16" i="11"/>
  <c r="D17" i="11"/>
  <c r="E17" i="11"/>
  <c r="F17" i="11"/>
  <c r="G17" i="11"/>
  <c r="G32" i="11" s="1"/>
  <c r="H17" i="11"/>
  <c r="I17" i="11"/>
  <c r="J17" i="11"/>
  <c r="K17" i="11"/>
  <c r="L17" i="11"/>
  <c r="M17" i="11"/>
  <c r="N17" i="11"/>
  <c r="D6" i="11"/>
  <c r="D12" i="11" s="1"/>
  <c r="E6" i="11"/>
  <c r="E12" i="11" s="1"/>
  <c r="F6" i="11"/>
  <c r="G6" i="11"/>
  <c r="H6" i="11"/>
  <c r="I6" i="11"/>
  <c r="I12" i="11" s="1"/>
  <c r="J6" i="11"/>
  <c r="J12" i="11" s="1"/>
  <c r="K6" i="11"/>
  <c r="K12" i="11" s="1"/>
  <c r="L6" i="11"/>
  <c r="L12" i="11" s="1"/>
  <c r="M6" i="11"/>
  <c r="N6" i="11"/>
  <c r="C37" i="11"/>
  <c r="N37" i="1"/>
  <c r="D17" i="10"/>
  <c r="E17" i="10"/>
  <c r="F17" i="10"/>
  <c r="G17" i="10"/>
  <c r="H17" i="10"/>
  <c r="I17" i="10"/>
  <c r="J17" i="10"/>
  <c r="K17" i="10"/>
  <c r="L17" i="10"/>
  <c r="M17" i="10"/>
  <c r="N17" i="10"/>
  <c r="D32" i="11" l="1"/>
  <c r="E32" i="11"/>
  <c r="F32" i="11"/>
  <c r="J32" i="11"/>
  <c r="M33" i="11"/>
  <c r="M32" i="11"/>
  <c r="L32" i="11"/>
  <c r="K32" i="11"/>
  <c r="E33" i="11"/>
  <c r="E36" i="11" s="1"/>
  <c r="E38" i="11" s="1"/>
  <c r="D33" i="11"/>
  <c r="D36" i="11" s="1"/>
  <c r="D38" i="11" s="1"/>
  <c r="N32" i="11"/>
  <c r="I32" i="11"/>
  <c r="H32" i="11"/>
  <c r="N33" i="11"/>
  <c r="F33" i="11"/>
  <c r="F36" i="11" s="1"/>
  <c r="F38" i="11" s="1"/>
  <c r="H33" i="11"/>
  <c r="H36" i="11" s="1"/>
  <c r="H38" i="11" s="1"/>
  <c r="G33" i="11"/>
  <c r="G36" i="11" s="1"/>
  <c r="G38" i="11" s="1"/>
  <c r="L33" i="11"/>
  <c r="K33" i="11"/>
  <c r="K36" i="11" s="1"/>
  <c r="K38" i="11" s="1"/>
  <c r="G12" i="11"/>
  <c r="I33" i="11"/>
  <c r="I36" i="11" s="1"/>
  <c r="I38" i="11" s="1"/>
  <c r="H12" i="11"/>
  <c r="J33" i="11"/>
  <c r="J36" i="11" s="1"/>
  <c r="J38" i="11" s="1"/>
  <c r="N12" i="11"/>
  <c r="F12" i="11"/>
  <c r="M12" i="11"/>
  <c r="M36" i="11" l="1"/>
  <c r="N36" i="11"/>
  <c r="N38" i="11" s="1"/>
  <c r="L36" i="11"/>
  <c r="L38" i="11" s="1"/>
  <c r="M38" i="11"/>
  <c r="N20" i="1"/>
  <c r="N20" i="12"/>
  <c r="N20" i="10"/>
  <c r="N16" i="1"/>
  <c r="N17" i="1"/>
  <c r="N16" i="12"/>
  <c r="N17" i="12"/>
  <c r="N16" i="10"/>
  <c r="N6" i="1"/>
  <c r="N6" i="12"/>
  <c r="N6" i="10"/>
  <c r="N32" i="1" l="1"/>
  <c r="N32" i="10"/>
  <c r="N12" i="10"/>
  <c r="N33" i="10"/>
  <c r="N32" i="12"/>
  <c r="N33" i="12"/>
  <c r="N12" i="12"/>
  <c r="N33" i="1"/>
  <c r="N36" i="1" s="1"/>
  <c r="N12" i="1"/>
  <c r="C35" i="11"/>
  <c r="C34" i="11"/>
  <c r="D37" i="1"/>
  <c r="E37" i="1"/>
  <c r="F37" i="1"/>
  <c r="G37" i="1"/>
  <c r="H37" i="1"/>
  <c r="I37" i="1"/>
  <c r="J37" i="1"/>
  <c r="K37" i="1"/>
  <c r="L37" i="1"/>
  <c r="M37" i="1"/>
  <c r="N36" i="12" l="1"/>
  <c r="N36" i="10"/>
  <c r="N38" i="1"/>
  <c r="L20" i="1"/>
  <c r="M20" i="1"/>
  <c r="L20" i="12"/>
  <c r="M20" i="12"/>
  <c r="L20" i="10"/>
  <c r="M20" i="10"/>
  <c r="L16" i="1"/>
  <c r="M16" i="1"/>
  <c r="L17" i="1"/>
  <c r="M17" i="1"/>
  <c r="L16" i="12"/>
  <c r="M16" i="12"/>
  <c r="L17" i="12"/>
  <c r="M17" i="12"/>
  <c r="L16" i="10"/>
  <c r="M16" i="10"/>
  <c r="L6" i="1"/>
  <c r="M6" i="1"/>
  <c r="L6" i="12"/>
  <c r="M6" i="12"/>
  <c r="L6" i="10"/>
  <c r="L12" i="10" s="1"/>
  <c r="M6" i="10"/>
  <c r="N38" i="12" l="1"/>
  <c r="M12" i="1"/>
  <c r="N38" i="10"/>
  <c r="L33" i="12"/>
  <c r="L36" i="12" s="1"/>
  <c r="L38" i="12" s="1"/>
  <c r="M33" i="12"/>
  <c r="M12" i="12"/>
  <c r="L33" i="10"/>
  <c r="L32" i="10"/>
  <c r="M32" i="10"/>
  <c r="M33" i="10"/>
  <c r="M32" i="12"/>
  <c r="M32" i="1"/>
  <c r="M33" i="1"/>
  <c r="M12" i="10"/>
  <c r="L32" i="12"/>
  <c r="L12" i="12"/>
  <c r="L32" i="1"/>
  <c r="L33" i="1"/>
  <c r="L36" i="1" s="1"/>
  <c r="L12" i="1"/>
  <c r="M36" i="12" l="1"/>
  <c r="M36" i="10"/>
  <c r="M36" i="1"/>
  <c r="L38" i="1"/>
  <c r="L36" i="10"/>
  <c r="M38" i="12" l="1"/>
  <c r="M38" i="10"/>
  <c r="M38" i="1"/>
  <c r="L38" i="10"/>
  <c r="J20" i="1" l="1"/>
  <c r="K20" i="1"/>
  <c r="J20" i="12"/>
  <c r="K20" i="12"/>
  <c r="J20" i="10"/>
  <c r="K20" i="10"/>
  <c r="J16" i="1"/>
  <c r="K16" i="1"/>
  <c r="J17" i="1"/>
  <c r="K17" i="1"/>
  <c r="J16" i="12"/>
  <c r="K16" i="12"/>
  <c r="J17" i="12"/>
  <c r="K17" i="12"/>
  <c r="J16" i="10"/>
  <c r="K16" i="10"/>
  <c r="J6" i="1"/>
  <c r="K6" i="1"/>
  <c r="J6" i="12"/>
  <c r="K6" i="12"/>
  <c r="J6" i="10"/>
  <c r="K6" i="10"/>
  <c r="J33" i="12" l="1"/>
  <c r="J36" i="12" s="1"/>
  <c r="J38" i="12" s="1"/>
  <c r="K33" i="12"/>
  <c r="K36" i="12" s="1"/>
  <c r="K38" i="12" s="1"/>
  <c r="K32" i="12"/>
  <c r="J32" i="12"/>
  <c r="K32" i="10"/>
  <c r="K33" i="10"/>
  <c r="J33" i="10"/>
  <c r="J32" i="10"/>
  <c r="K32" i="1"/>
  <c r="K12" i="1"/>
  <c r="K12" i="12"/>
  <c r="J12" i="12"/>
  <c r="K12" i="10"/>
  <c r="J12" i="10"/>
  <c r="J12" i="1"/>
  <c r="K33" i="1"/>
  <c r="K36" i="1" s="1"/>
  <c r="J32" i="1"/>
  <c r="J33" i="1"/>
  <c r="J36" i="1" s="1"/>
  <c r="J38" i="1" s="1"/>
  <c r="K38" i="1" l="1"/>
  <c r="J36" i="10"/>
  <c r="K36" i="10"/>
  <c r="J38" i="10" l="1"/>
  <c r="K38" i="10"/>
  <c r="I6" i="1"/>
  <c r="I6" i="12"/>
  <c r="I6" i="10"/>
  <c r="I17" i="1"/>
  <c r="I17" i="12"/>
  <c r="I20" i="1"/>
  <c r="I20" i="12"/>
  <c r="I20" i="10"/>
  <c r="I16" i="1"/>
  <c r="I16" i="12"/>
  <c r="I16" i="10"/>
  <c r="I33" i="12" l="1"/>
  <c r="I36" i="12" s="1"/>
  <c r="I38" i="12" s="1"/>
  <c r="I32" i="10"/>
  <c r="I33" i="10"/>
  <c r="I32" i="12"/>
  <c r="I12" i="12"/>
  <c r="I12" i="10"/>
  <c r="I32" i="1"/>
  <c r="I33" i="1"/>
  <c r="I36" i="1" s="1"/>
  <c r="I38" i="1" s="1"/>
  <c r="I12" i="1"/>
  <c r="I36" i="10" l="1"/>
  <c r="I38" i="10" l="1"/>
  <c r="H6" i="1"/>
  <c r="H17" i="1"/>
  <c r="H20" i="1"/>
  <c r="H6" i="12"/>
  <c r="H17" i="12"/>
  <c r="H20" i="12"/>
  <c r="H6" i="10"/>
  <c r="H20" i="10"/>
  <c r="H16" i="1"/>
  <c r="H16" i="12"/>
  <c r="H16" i="10"/>
  <c r="C37" i="12"/>
  <c r="C37" i="1"/>
  <c r="C35" i="12"/>
  <c r="C34" i="12"/>
  <c r="G6" i="1"/>
  <c r="G16" i="1"/>
  <c r="G17" i="1"/>
  <c r="G20" i="1"/>
  <c r="G6" i="12"/>
  <c r="G16" i="12"/>
  <c r="G17" i="12"/>
  <c r="G20" i="12"/>
  <c r="G6" i="10"/>
  <c r="G16" i="10"/>
  <c r="G20" i="10"/>
  <c r="F20" i="10"/>
  <c r="F20" i="12"/>
  <c r="E20" i="12"/>
  <c r="D20" i="12"/>
  <c r="C20" i="12"/>
  <c r="F17" i="12"/>
  <c r="E17" i="12"/>
  <c r="D17" i="12"/>
  <c r="C17" i="12"/>
  <c r="F16" i="12"/>
  <c r="E16" i="12"/>
  <c r="D16" i="12"/>
  <c r="C16" i="12"/>
  <c r="F6" i="12"/>
  <c r="E6" i="12"/>
  <c r="D6" i="12"/>
  <c r="C6" i="12"/>
  <c r="C20" i="11"/>
  <c r="C17" i="11"/>
  <c r="C16" i="11"/>
  <c r="C6" i="11"/>
  <c r="F20" i="1"/>
  <c r="E20" i="1"/>
  <c r="D20" i="1"/>
  <c r="C20" i="1"/>
  <c r="F17" i="1"/>
  <c r="E17" i="1"/>
  <c r="D17" i="1"/>
  <c r="C17" i="1"/>
  <c r="F16" i="1"/>
  <c r="E16" i="1"/>
  <c r="D16" i="1"/>
  <c r="C16" i="1"/>
  <c r="F6" i="1"/>
  <c r="E6" i="1"/>
  <c r="D6" i="1"/>
  <c r="C6" i="1"/>
  <c r="F16" i="10"/>
  <c r="F6" i="10"/>
  <c r="E20" i="10"/>
  <c r="D20" i="10"/>
  <c r="C20" i="10"/>
  <c r="C17" i="10"/>
  <c r="E16" i="10"/>
  <c r="D16" i="10"/>
  <c r="C16" i="10"/>
  <c r="E6" i="10"/>
  <c r="D6" i="10"/>
  <c r="C6" i="10"/>
  <c r="E33" i="12" l="1"/>
  <c r="E36" i="12" s="1"/>
  <c r="E38" i="12" s="1"/>
  <c r="D33" i="12"/>
  <c r="D36" i="12" s="1"/>
  <c r="D38" i="12" s="1"/>
  <c r="G33" i="12"/>
  <c r="G36" i="12" s="1"/>
  <c r="G38" i="12" s="1"/>
  <c r="F33" i="12"/>
  <c r="F36" i="12" s="1"/>
  <c r="F38" i="12" s="1"/>
  <c r="H33" i="12"/>
  <c r="H36" i="12" s="1"/>
  <c r="H38" i="12" s="1"/>
  <c r="C33" i="11"/>
  <c r="C36" i="11" s="1"/>
  <c r="C32" i="11"/>
  <c r="E32" i="10"/>
  <c r="E33" i="10"/>
  <c r="F33" i="10"/>
  <c r="F32" i="10"/>
  <c r="D32" i="10"/>
  <c r="D33" i="10"/>
  <c r="G32" i="10"/>
  <c r="G33" i="10"/>
  <c r="H32" i="10"/>
  <c r="H33" i="10"/>
  <c r="C33" i="10"/>
  <c r="C32" i="10"/>
  <c r="D32" i="12"/>
  <c r="E32" i="12"/>
  <c r="G12" i="12"/>
  <c r="F33" i="1"/>
  <c r="F36" i="1" s="1"/>
  <c r="F38" i="1" s="1"/>
  <c r="F32" i="12"/>
  <c r="G32" i="12"/>
  <c r="H32" i="12"/>
  <c r="C32" i="12"/>
  <c r="C12" i="12"/>
  <c r="C33" i="12"/>
  <c r="C36" i="12" s="1"/>
  <c r="F32" i="1"/>
  <c r="G32" i="1"/>
  <c r="D12" i="1"/>
  <c r="D33" i="1"/>
  <c r="D36" i="1" s="1"/>
  <c r="D38" i="1" s="1"/>
  <c r="E12" i="1"/>
  <c r="F12" i="1"/>
  <c r="C12" i="1"/>
  <c r="G12" i="1"/>
  <c r="H12" i="10"/>
  <c r="H32" i="1"/>
  <c r="C32" i="1"/>
  <c r="D32" i="1"/>
  <c r="C33" i="1"/>
  <c r="H12" i="12"/>
  <c r="E12" i="12"/>
  <c r="D12" i="12"/>
  <c r="C12" i="11"/>
  <c r="G33" i="1"/>
  <c r="G36" i="1" s="1"/>
  <c r="G38" i="1" s="1"/>
  <c r="H33" i="1"/>
  <c r="H36" i="1" s="1"/>
  <c r="H38" i="1" s="1"/>
  <c r="E33" i="1"/>
  <c r="E36" i="1" s="1"/>
  <c r="E38" i="1" s="1"/>
  <c r="E32" i="1"/>
  <c r="H12" i="1"/>
  <c r="F12" i="12"/>
  <c r="D12" i="10"/>
  <c r="F12" i="10"/>
  <c r="G12" i="10"/>
  <c r="E12" i="10"/>
  <c r="C12" i="10"/>
  <c r="C36" i="1" l="1"/>
  <c r="E36" i="10"/>
  <c r="D36" i="10"/>
  <c r="H36" i="10"/>
  <c r="C38" i="12"/>
  <c r="C36" i="10"/>
  <c r="F36" i="10"/>
  <c r="G36" i="10"/>
  <c r="F38" i="10" l="1"/>
  <c r="C38" i="1"/>
  <c r="E38" i="10"/>
  <c r="D38" i="10"/>
  <c r="H38" i="10"/>
  <c r="C38" i="11"/>
  <c r="C38" i="10"/>
  <c r="G38" i="10"/>
</calcChain>
</file>

<file path=xl/sharedStrings.xml><?xml version="1.0" encoding="utf-8"?>
<sst xmlns="http://schemas.openxmlformats.org/spreadsheetml/2006/main" count="285" uniqueCount="79">
  <si>
    <t>S.No.</t>
  </si>
  <si>
    <t>Item</t>
  </si>
  <si>
    <t>Agriculture, forestry and fishing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</si>
  <si>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</si>
  <si>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</si>
  <si>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</si>
  <si>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</si>
  <si>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</si>
  <si>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</si>
  <si>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</si>
  <si>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</si>
  <si>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</si>
  <si>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Water transport</t>
  </si>
  <si>
    <t>Air transport</t>
  </si>
  <si>
    <t>Services incidental to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</si>
  <si>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</si>
  <si>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</si>
  <si>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</si>
  <si>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</si>
  <si>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Other services</t>
  </si>
  <si>
    <t>2011-12</t>
  </si>
  <si>
    <t>2012-13</t>
  </si>
  <si>
    <t>2013-14</t>
  </si>
  <si>
    <t>Subsidies on products</t>
  </si>
  <si>
    <t>Taxes on Products</t>
  </si>
  <si>
    <t>1.</t>
  </si>
  <si>
    <t>12.</t>
  </si>
  <si>
    <t>Primary</t>
  </si>
  <si>
    <t>Secondary</t>
  </si>
  <si>
    <t>Tertiary</t>
  </si>
  <si>
    <r>
      <t>2.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</si>
  <si>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3.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</si>
  <si>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4.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</si>
  <si>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5.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</si>
  <si>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6.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</si>
  <si>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7.</t>
    </r>
    <r>
      <rPr>
        <sz val="7"/>
        <rFont val="Times New Roman"/>
        <family val="1"/>
      </rPr>
      <t xml:space="preserve">      </t>
    </r>
    <r>
      <rPr>
        <sz val="11"/>
        <rFont val="Times New Roman"/>
        <family val="1"/>
      </rPr>
      <t> </t>
    </r>
  </si>
  <si>
    <r>
      <t>8.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</si>
  <si>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9.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</si>
  <si>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10.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</si>
  <si>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r>
      <t>11.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</si>
  <si>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t>TOTAL GSVA at basic prices</t>
  </si>
  <si>
    <t>Population ('00)</t>
  </si>
  <si>
    <t>13.</t>
  </si>
  <si>
    <t>14.</t>
  </si>
  <si>
    <t>15.</t>
  </si>
  <si>
    <t>16.</t>
  </si>
  <si>
    <t>17.</t>
  </si>
  <si>
    <t>Gross State Value Added by economic activity at current prices</t>
  </si>
  <si>
    <t>Gross State Value Added by economic activity at constant (2011-12) prices</t>
  </si>
  <si>
    <t>Net State Value Added by economic activity at current prices</t>
  </si>
  <si>
    <t>TOTAL NSVA at basic prices</t>
  </si>
  <si>
    <t>Net State Value Added by economic activity at constant (2011-12) prices</t>
  </si>
  <si>
    <t>State :</t>
  </si>
  <si>
    <t>Public administration</t>
  </si>
  <si>
    <t>Gross State Domestic Product</t>
  </si>
  <si>
    <t>2014-15</t>
  </si>
  <si>
    <t>(Rs. in lakh)</t>
  </si>
  <si>
    <t>Per Capita GSDP (Rs.)</t>
  </si>
  <si>
    <t>Crops</t>
  </si>
  <si>
    <t>Livestock</t>
  </si>
  <si>
    <t>Forestry and logging</t>
  </si>
  <si>
    <t>Fishing and aquaculture</t>
  </si>
  <si>
    <t>Net State Domestic Product</t>
  </si>
  <si>
    <t>Per Capita NSDP (Rs.)</t>
  </si>
  <si>
    <t>2015-16</t>
  </si>
  <si>
    <t>Uttarakhand</t>
  </si>
  <si>
    <t>Road transport*</t>
  </si>
  <si>
    <t>*including water,air &amp; serv.inc. to transport</t>
  </si>
  <si>
    <t>2016-17</t>
  </si>
  <si>
    <t>Road transport</t>
  </si>
  <si>
    <t>2017-18</t>
  </si>
  <si>
    <t>2018-19</t>
  </si>
  <si>
    <t>2019-20</t>
  </si>
  <si>
    <t>2020-21</t>
  </si>
  <si>
    <t>2021-22</t>
  </si>
  <si>
    <t>2022-23</t>
  </si>
  <si>
    <t>2023-24</t>
  </si>
  <si>
    <t>Source:  Directorate of Economics &amp; Statistics of respective State Governments.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</si>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</sst>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  <font>
      <sz val="11"/>
      <name val="Times New Roman"/>
      <family val="1"/>
    </font>
    <font>
      <b/>
      <i/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0">
    <xf numFmtId="0" fontId="0" fillId="0" borderId="0"/>
    <xf numFmtId="0" fontId="2" fillId="0" borderId="0"/>
    <xf numFmtId="0" fontId="3" fillId="0" borderId="0"/>
    <xf numFmtId="0" fontId="4" fillId="0" borderId="0"/>
    <xf numFmtId="0" fontId="6" fillId="0" borderId="0"/>
    <xf numFmtId="0" fontId="5" fillId="0" borderId="0"/>
    <xf numFmtId="0" fontId="6" fillId="0" borderId="0"/>
    <xf numFmtId="0" fontId="5" fillId="2" borderId="1" applyNumberFormat="0" applyFont="0" applyAlignment="0" applyProtection="0"/>
    <xf numFmtId="0" fontId="6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8" fillId="2" borderId="1" applyNumberFormat="0" applyFont="0" applyAlignment="0" applyProtection="0"/>
    <xf numFmtId="0" fontId="9" fillId="0" borderId="0"/>
    <xf numFmtId="16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4" fillId="0" borderId="0"/>
  </cellStyleXfs>
  <cellXfs count="38">
    <xf numFmtId="0" fontId="0" fillId="0" borderId="0" xfId="0"/>
    <xf numFmtId="0" fontId="7" fillId="0" borderId="0" xfId="0" applyFont="1"/>
    <xf numFmtId="0" fontId="7" fillId="0" borderId="0" xfId="0" applyFont="1" applyProtection="1">
      <protection locked="0"/>
    </xf>
    <xf numFmtId="1" fontId="7" fillId="0" borderId="0" xfId="0" applyNumberFormat="1" applyFont="1"/>
    <xf numFmtId="1" fontId="7" fillId="0" borderId="0" xfId="0" applyNumberFormat="1" applyFont="1" applyProtection="1">
      <protection locked="0"/>
    </xf>
    <xf numFmtId="1" fontId="10" fillId="0" borderId="0" xfId="0" applyNumberFormat="1" applyFont="1" applyProtection="1">
      <protection locked="0"/>
    </xf>
    <xf numFmtId="0" fontId="16" fillId="0" borderId="0" xfId="0" applyFont="1" applyProtection="1">
      <protection locked="0"/>
    </xf>
    <xf numFmtId="0" fontId="1" fillId="0" borderId="0" xfId="0" applyFont="1" applyAlignment="1">
      <alignment horizontal="left" vertical="center"/>
    </xf>
    <xf numFmtId="0" fontId="7" fillId="0" borderId="0" xfId="0" quotePrefix="1" applyFont="1" applyProtection="1">
      <protection locked="0"/>
    </xf>
    <xf numFmtId="1" fontId="7" fillId="3" borderId="0" xfId="0" applyNumberFormat="1" applyFont="1" applyFill="1"/>
    <xf numFmtId="0" fontId="7" fillId="3" borderId="0" xfId="0" applyFont="1" applyFill="1"/>
    <xf numFmtId="0" fontId="7" fillId="3" borderId="0" xfId="0" applyFont="1" applyFill="1" applyProtection="1">
      <protection locked="0"/>
    </xf>
    <xf numFmtId="1" fontId="7" fillId="3" borderId="0" xfId="0" applyNumberFormat="1" applyFont="1" applyFill="1" applyProtection="1">
      <protection locked="0"/>
    </xf>
    <xf numFmtId="49" fontId="11" fillId="0" borderId="2" xfId="0" applyNumberFormat="1" applyFont="1" applyBorder="1" applyAlignment="1" applyProtection="1">
      <alignment vertical="center" wrapText="1"/>
      <protection locked="0"/>
    </xf>
    <xf numFmtId="0" fontId="11" fillId="0" borderId="2" xfId="0" applyFont="1" applyBorder="1" applyAlignment="1" applyProtection="1">
      <alignment vertical="center" wrapText="1"/>
      <protection locked="0"/>
    </xf>
    <xf numFmtId="0" fontId="7" fillId="0" borderId="2" xfId="0" applyFont="1" applyBorder="1" applyProtection="1">
      <protection locked="0"/>
    </xf>
    <xf numFmtId="0" fontId="7" fillId="0" borderId="2" xfId="0" applyFont="1" applyBorder="1"/>
    <xf numFmtId="49" fontId="12" fillId="3" borderId="2" xfId="0" applyNumberFormat="1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left" vertical="center" wrapText="1"/>
    </xf>
    <xf numFmtId="1" fontId="7" fillId="3" borderId="2" xfId="0" applyNumberFormat="1" applyFont="1" applyFill="1" applyBorder="1"/>
    <xf numFmtId="49" fontId="12" fillId="0" borderId="2" xfId="0" applyNumberFormat="1" applyFont="1" applyBorder="1" applyAlignment="1" applyProtection="1">
      <alignment horizontal="righ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1" fontId="17" fillId="0" borderId="2" xfId="0" applyNumberFormat="1" applyFont="1" applyBorder="1" applyAlignment="1">
      <alignment horizontal="right"/>
    </xf>
    <xf numFmtId="49" fontId="12" fillId="0" borderId="2" xfId="0" applyNumberFormat="1" applyFont="1" applyBorder="1" applyAlignment="1" applyProtection="1">
      <alignment vertical="center" wrapText="1"/>
      <protection locked="0"/>
    </xf>
    <xf numFmtId="49" fontId="12" fillId="3" borderId="2" xfId="0" applyNumberFormat="1" applyFont="1" applyFill="1" applyBorder="1" applyAlignment="1" applyProtection="1">
      <alignment vertical="center" wrapText="1"/>
      <protection locked="0"/>
    </xf>
    <xf numFmtId="0" fontId="15" fillId="3" borderId="2" xfId="0" applyFont="1" applyFill="1" applyBorder="1" applyAlignment="1" applyProtection="1">
      <alignment horizontal="left" vertical="center" wrapText="1"/>
      <protection locked="0"/>
    </xf>
    <xf numFmtId="1" fontId="7" fillId="3" borderId="2" xfId="0" applyNumberFormat="1" applyFont="1" applyFill="1" applyBorder="1" applyProtection="1">
      <protection locked="0"/>
    </xf>
    <xf numFmtId="49" fontId="12" fillId="0" borderId="2" xfId="0" applyNumberFormat="1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49" fontId="14" fillId="3" borderId="2" xfId="0" applyNumberFormat="1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left" vertical="top" wrapText="1"/>
    </xf>
    <xf numFmtId="0" fontId="10" fillId="3" borderId="2" xfId="0" applyFont="1" applyFill="1" applyBorder="1" applyAlignment="1">
      <alignment horizontal="left" vertical="center" wrapText="1"/>
    </xf>
    <xf numFmtId="49" fontId="12" fillId="0" borderId="2" xfId="0" quotePrefix="1" applyNumberFormat="1" applyFont="1" applyBorder="1" applyAlignment="1">
      <alignment vertical="center" wrapText="1"/>
    </xf>
    <xf numFmtId="0" fontId="7" fillId="0" borderId="2" xfId="0" applyFont="1" applyBorder="1" applyAlignment="1" applyProtection="1">
      <alignment vertical="center" wrapText="1"/>
      <protection locked="0"/>
    </xf>
    <xf numFmtId="49" fontId="12" fillId="3" borderId="2" xfId="0" quotePrefix="1" applyNumberFormat="1" applyFont="1" applyFill="1" applyBorder="1" applyAlignment="1">
      <alignment vertical="center" wrapText="1"/>
    </xf>
    <xf numFmtId="0" fontId="7" fillId="3" borderId="2" xfId="0" applyFont="1" applyFill="1" applyBorder="1" applyAlignment="1" applyProtection="1">
      <alignment vertical="center" wrapText="1"/>
      <protection locked="0"/>
    </xf>
    <xf numFmtId="0" fontId="17" fillId="0" borderId="2" xfId="0" applyFont="1" applyBorder="1" applyAlignment="1">
      <alignment horizontal="right"/>
    </xf>
    <xf numFmtId="0" fontId="7" fillId="3" borderId="2" xfId="0" applyFont="1" applyFill="1" applyBorder="1" applyProtection="1">
      <protection locked="0"/>
    </xf>
  </cellXfs>
  <cellStyles count="530">
    <cellStyle name="Comma 2" xfId="15" xr:uid="{00000000-0005-0000-0000-000000000000}"/>
    <cellStyle name="Comma 2 2" xfId="528" xr:uid="{00000000-0005-0000-0000-000001000000}"/>
    <cellStyle name="Normal" xfId="0" builtinId="0"/>
    <cellStyle name="Normal 2" xfId="2" xr:uid="{00000000-0005-0000-0000-000003000000}"/>
    <cellStyle name="Normal 2 2" xfId="8" xr:uid="{00000000-0005-0000-0000-000004000000}"/>
    <cellStyle name="Normal 2 2 2" xfId="10" xr:uid="{00000000-0005-0000-0000-000005000000}"/>
    <cellStyle name="Normal 2 2 3" xfId="18" xr:uid="{00000000-0005-0000-0000-000006000000}"/>
    <cellStyle name="Normal 2 3" xfId="5" xr:uid="{00000000-0005-0000-0000-000007000000}"/>
    <cellStyle name="Normal 2 3 2" xfId="529" xr:uid="{00000000-0005-0000-0000-000008000000}"/>
    <cellStyle name="Normal 2 4" xfId="9" xr:uid="{00000000-0005-0000-0000-000009000000}"/>
    <cellStyle name="Normal 2 4 2" xfId="17" xr:uid="{00000000-0005-0000-0000-00000A000000}"/>
    <cellStyle name="Normal 3" xfId="1" xr:uid="{00000000-0005-0000-0000-00000B000000}"/>
    <cellStyle name="Normal 3 2" xfId="6" xr:uid="{00000000-0005-0000-0000-00000C000000}"/>
    <cellStyle name="Normal 3 2 2" xfId="11" xr:uid="{00000000-0005-0000-0000-00000D000000}"/>
    <cellStyle name="Normal 3 3" xfId="16" xr:uid="{00000000-0005-0000-0000-00000E000000}"/>
    <cellStyle name="Normal 4" xfId="3" xr:uid="{00000000-0005-0000-0000-00000F000000}"/>
    <cellStyle name="Normal 5" xfId="4" xr:uid="{00000000-0005-0000-0000-000010000000}"/>
    <cellStyle name="Normal 5 2" xfId="12" xr:uid="{00000000-0005-0000-0000-000011000000}"/>
    <cellStyle name="Normal 6" xfId="14" xr:uid="{00000000-0005-0000-0000-000012000000}"/>
    <cellStyle name="Note 2" xfId="7" xr:uid="{00000000-0005-0000-0000-000013000000}"/>
    <cellStyle name="Note 2 2" xfId="13" xr:uid="{00000000-0005-0000-0000-000014000000}"/>
    <cellStyle name="style1405592468105" xfId="19" xr:uid="{00000000-0005-0000-0000-000015000000}"/>
    <cellStyle name="style1405593752700" xfId="20" xr:uid="{00000000-0005-0000-0000-000016000000}"/>
    <cellStyle name="style1406113848636" xfId="21" xr:uid="{00000000-0005-0000-0000-000017000000}"/>
    <cellStyle name="style1406113848741" xfId="22" xr:uid="{00000000-0005-0000-0000-000018000000}"/>
    <cellStyle name="style1406113848796" xfId="23" xr:uid="{00000000-0005-0000-0000-000019000000}"/>
    <cellStyle name="style1406113848827" xfId="24" xr:uid="{00000000-0005-0000-0000-00001A000000}"/>
    <cellStyle name="style1406113848859" xfId="25" xr:uid="{00000000-0005-0000-0000-00001B000000}"/>
    <cellStyle name="style1406113848891" xfId="26" xr:uid="{00000000-0005-0000-0000-00001C000000}"/>
    <cellStyle name="style1406113848925" xfId="27" xr:uid="{00000000-0005-0000-0000-00001D000000}"/>
    <cellStyle name="style1406113848965" xfId="28" xr:uid="{00000000-0005-0000-0000-00001E000000}"/>
    <cellStyle name="style1406113848998" xfId="29" xr:uid="{00000000-0005-0000-0000-00001F000000}"/>
    <cellStyle name="style1406113849028" xfId="30" xr:uid="{00000000-0005-0000-0000-000020000000}"/>
    <cellStyle name="style1406113849058" xfId="31" xr:uid="{00000000-0005-0000-0000-000021000000}"/>
    <cellStyle name="style1406113849090" xfId="32" xr:uid="{00000000-0005-0000-0000-000022000000}"/>
    <cellStyle name="style1406113849117" xfId="33" xr:uid="{00000000-0005-0000-0000-000023000000}"/>
    <cellStyle name="style1406113849144" xfId="34" xr:uid="{00000000-0005-0000-0000-000024000000}"/>
    <cellStyle name="style1406113849183" xfId="35" xr:uid="{00000000-0005-0000-0000-000025000000}"/>
    <cellStyle name="style1406113849217" xfId="36" xr:uid="{00000000-0005-0000-0000-000026000000}"/>
    <cellStyle name="style1406113849255" xfId="37" xr:uid="{00000000-0005-0000-0000-000027000000}"/>
    <cellStyle name="style1406113849284" xfId="38" xr:uid="{00000000-0005-0000-0000-000028000000}"/>
    <cellStyle name="style1406113849311" xfId="39" xr:uid="{00000000-0005-0000-0000-000029000000}"/>
    <cellStyle name="style1406113849339" xfId="40" xr:uid="{00000000-0005-0000-0000-00002A000000}"/>
    <cellStyle name="style1406113849367" xfId="41" xr:uid="{00000000-0005-0000-0000-00002B000000}"/>
    <cellStyle name="style1406113849389" xfId="42" xr:uid="{00000000-0005-0000-0000-00002C000000}"/>
    <cellStyle name="style1406113849413" xfId="43" xr:uid="{00000000-0005-0000-0000-00002D000000}"/>
    <cellStyle name="style1406113849558" xfId="44" xr:uid="{00000000-0005-0000-0000-00002E000000}"/>
    <cellStyle name="style1406113849582" xfId="45" xr:uid="{00000000-0005-0000-0000-00002F000000}"/>
    <cellStyle name="style1406113849605" xfId="46" xr:uid="{00000000-0005-0000-0000-000030000000}"/>
    <cellStyle name="style1406113849630" xfId="47" xr:uid="{00000000-0005-0000-0000-000031000000}"/>
    <cellStyle name="style1406113849653" xfId="48" xr:uid="{00000000-0005-0000-0000-000032000000}"/>
    <cellStyle name="style1406113849674" xfId="49" xr:uid="{00000000-0005-0000-0000-000033000000}"/>
    <cellStyle name="style1406113849701" xfId="50" xr:uid="{00000000-0005-0000-0000-000034000000}"/>
    <cellStyle name="style1406113849728" xfId="51" xr:uid="{00000000-0005-0000-0000-000035000000}"/>
    <cellStyle name="style1406113849754" xfId="52" xr:uid="{00000000-0005-0000-0000-000036000000}"/>
    <cellStyle name="style1406113849781" xfId="53" xr:uid="{00000000-0005-0000-0000-000037000000}"/>
    <cellStyle name="style1406113849808" xfId="54" xr:uid="{00000000-0005-0000-0000-000038000000}"/>
    <cellStyle name="style1406113849835" xfId="55" xr:uid="{00000000-0005-0000-0000-000039000000}"/>
    <cellStyle name="style1406113849856" xfId="56" xr:uid="{00000000-0005-0000-0000-00003A000000}"/>
    <cellStyle name="style1406113849876" xfId="57" xr:uid="{00000000-0005-0000-0000-00003B000000}"/>
    <cellStyle name="style1406113849898" xfId="58" xr:uid="{00000000-0005-0000-0000-00003C000000}"/>
    <cellStyle name="style1406113849921" xfId="59" xr:uid="{00000000-0005-0000-0000-00003D000000}"/>
    <cellStyle name="style1406113849947" xfId="60" xr:uid="{00000000-0005-0000-0000-00003E000000}"/>
    <cellStyle name="style1406113849975" xfId="61" xr:uid="{00000000-0005-0000-0000-00003F000000}"/>
    <cellStyle name="style1406113850004" xfId="62" xr:uid="{00000000-0005-0000-0000-000040000000}"/>
    <cellStyle name="style1406113850027" xfId="63" xr:uid="{00000000-0005-0000-0000-000041000000}"/>
    <cellStyle name="style1406113850054" xfId="64" xr:uid="{00000000-0005-0000-0000-000042000000}"/>
    <cellStyle name="style1406113850081" xfId="65" xr:uid="{00000000-0005-0000-0000-000043000000}"/>
    <cellStyle name="style1406113850103" xfId="66" xr:uid="{00000000-0005-0000-0000-000044000000}"/>
    <cellStyle name="style1406113850129" xfId="67" xr:uid="{00000000-0005-0000-0000-000045000000}"/>
    <cellStyle name="style1406113850156" xfId="68" xr:uid="{00000000-0005-0000-0000-000046000000}"/>
    <cellStyle name="style1406113850182" xfId="69" xr:uid="{00000000-0005-0000-0000-000047000000}"/>
    <cellStyle name="style1406113850203" xfId="70" xr:uid="{00000000-0005-0000-0000-000048000000}"/>
    <cellStyle name="style1406113850224" xfId="71" xr:uid="{00000000-0005-0000-0000-000049000000}"/>
    <cellStyle name="style1406113850258" xfId="72" xr:uid="{00000000-0005-0000-0000-00004A000000}"/>
    <cellStyle name="style1406113850331" xfId="73" xr:uid="{00000000-0005-0000-0000-00004B000000}"/>
    <cellStyle name="style1406113850358" xfId="74" xr:uid="{00000000-0005-0000-0000-00004C000000}"/>
    <cellStyle name="style1406113850380" xfId="75" xr:uid="{00000000-0005-0000-0000-00004D000000}"/>
    <cellStyle name="style1406113850409" xfId="76" xr:uid="{00000000-0005-0000-0000-00004E000000}"/>
    <cellStyle name="style1406113850431" xfId="77" xr:uid="{00000000-0005-0000-0000-00004F000000}"/>
    <cellStyle name="style1406113850452" xfId="78" xr:uid="{00000000-0005-0000-0000-000050000000}"/>
    <cellStyle name="style1406113850474" xfId="79" xr:uid="{00000000-0005-0000-0000-000051000000}"/>
    <cellStyle name="style1406113850501" xfId="80" xr:uid="{00000000-0005-0000-0000-000052000000}"/>
    <cellStyle name="style1406113850522" xfId="81" xr:uid="{00000000-0005-0000-0000-000053000000}"/>
    <cellStyle name="style1406113850542" xfId="82" xr:uid="{00000000-0005-0000-0000-000054000000}"/>
    <cellStyle name="style1406113850570" xfId="83" xr:uid="{00000000-0005-0000-0000-000055000000}"/>
    <cellStyle name="style1406113850591" xfId="84" xr:uid="{00000000-0005-0000-0000-000056000000}"/>
    <cellStyle name="style1406113850614" xfId="85" xr:uid="{00000000-0005-0000-0000-000057000000}"/>
    <cellStyle name="style1406113850636" xfId="86" xr:uid="{00000000-0005-0000-0000-000058000000}"/>
    <cellStyle name="style1406113850655" xfId="87" xr:uid="{00000000-0005-0000-0000-000059000000}"/>
    <cellStyle name="style1406113850674" xfId="88" xr:uid="{00000000-0005-0000-0000-00005A000000}"/>
    <cellStyle name="style1406113850723" xfId="89" xr:uid="{00000000-0005-0000-0000-00005B000000}"/>
    <cellStyle name="style1406113850767" xfId="90" xr:uid="{00000000-0005-0000-0000-00005C000000}"/>
    <cellStyle name="style1406113850816" xfId="91" xr:uid="{00000000-0005-0000-0000-00005D000000}"/>
    <cellStyle name="style1406114189185" xfId="92" xr:uid="{00000000-0005-0000-0000-00005E000000}"/>
    <cellStyle name="style1406114189213" xfId="93" xr:uid="{00000000-0005-0000-0000-00005F000000}"/>
    <cellStyle name="style1406114189239" xfId="94" xr:uid="{00000000-0005-0000-0000-000060000000}"/>
    <cellStyle name="style1406114189259" xfId="95" xr:uid="{00000000-0005-0000-0000-000061000000}"/>
    <cellStyle name="style1406114189283" xfId="96" xr:uid="{00000000-0005-0000-0000-000062000000}"/>
    <cellStyle name="style1406114189307" xfId="97" xr:uid="{00000000-0005-0000-0000-000063000000}"/>
    <cellStyle name="style1406114189331" xfId="98" xr:uid="{00000000-0005-0000-0000-000064000000}"/>
    <cellStyle name="style1406114189356" xfId="99" xr:uid="{00000000-0005-0000-0000-000065000000}"/>
    <cellStyle name="style1406114189382" xfId="100" xr:uid="{00000000-0005-0000-0000-000066000000}"/>
    <cellStyle name="style1406114189407" xfId="101" xr:uid="{00000000-0005-0000-0000-000067000000}"/>
    <cellStyle name="style1406114189432" xfId="102" xr:uid="{00000000-0005-0000-0000-000068000000}"/>
    <cellStyle name="style1406114189459" xfId="103" xr:uid="{00000000-0005-0000-0000-000069000000}"/>
    <cellStyle name="style1406114189481" xfId="104" xr:uid="{00000000-0005-0000-0000-00006A000000}"/>
    <cellStyle name="style1406114189505" xfId="105" xr:uid="{00000000-0005-0000-0000-00006B000000}"/>
    <cellStyle name="style1406114189535" xfId="106" xr:uid="{00000000-0005-0000-0000-00006C000000}"/>
    <cellStyle name="style1406114189560" xfId="107" xr:uid="{00000000-0005-0000-0000-00006D000000}"/>
    <cellStyle name="style1406114189585" xfId="108" xr:uid="{00000000-0005-0000-0000-00006E000000}"/>
    <cellStyle name="style1406114189616" xfId="109" xr:uid="{00000000-0005-0000-0000-00006F000000}"/>
    <cellStyle name="style1406114189644" xfId="110" xr:uid="{00000000-0005-0000-0000-000070000000}"/>
    <cellStyle name="style1406114189671" xfId="111" xr:uid="{00000000-0005-0000-0000-000071000000}"/>
    <cellStyle name="style1406114189696" xfId="112" xr:uid="{00000000-0005-0000-0000-000072000000}"/>
    <cellStyle name="style1406114189716" xfId="113" xr:uid="{00000000-0005-0000-0000-000073000000}"/>
    <cellStyle name="style1406114189736" xfId="114" xr:uid="{00000000-0005-0000-0000-000074000000}"/>
    <cellStyle name="style1406114189757" xfId="115" xr:uid="{00000000-0005-0000-0000-000075000000}"/>
    <cellStyle name="style1406114189778" xfId="116" xr:uid="{00000000-0005-0000-0000-000076000000}"/>
    <cellStyle name="style1406114189799" xfId="117" xr:uid="{00000000-0005-0000-0000-000077000000}"/>
    <cellStyle name="style1406114189820" xfId="118" xr:uid="{00000000-0005-0000-0000-000078000000}"/>
    <cellStyle name="style1406114189840" xfId="119" xr:uid="{00000000-0005-0000-0000-000079000000}"/>
    <cellStyle name="style1406114189860" xfId="120" xr:uid="{00000000-0005-0000-0000-00007A000000}"/>
    <cellStyle name="style1406114189886" xfId="121" xr:uid="{00000000-0005-0000-0000-00007B000000}"/>
    <cellStyle name="style1406114189911" xfId="122" xr:uid="{00000000-0005-0000-0000-00007C000000}"/>
    <cellStyle name="style1406114189990" xfId="123" xr:uid="{00000000-0005-0000-0000-00007D000000}"/>
    <cellStyle name="style1406114190017" xfId="124" xr:uid="{00000000-0005-0000-0000-00007E000000}"/>
    <cellStyle name="style1406114190044" xfId="125" xr:uid="{00000000-0005-0000-0000-00007F000000}"/>
    <cellStyle name="style1406114190069" xfId="126" xr:uid="{00000000-0005-0000-0000-000080000000}"/>
    <cellStyle name="style1406114190088" xfId="127" xr:uid="{00000000-0005-0000-0000-000081000000}"/>
    <cellStyle name="style1406114190108" xfId="128" xr:uid="{00000000-0005-0000-0000-000082000000}"/>
    <cellStyle name="style1406114190127" xfId="129" xr:uid="{00000000-0005-0000-0000-000083000000}"/>
    <cellStyle name="style1406114190148" xfId="130" xr:uid="{00000000-0005-0000-0000-000084000000}"/>
    <cellStyle name="style1406114190171" xfId="131" xr:uid="{00000000-0005-0000-0000-000085000000}"/>
    <cellStyle name="style1406114190195" xfId="132" xr:uid="{00000000-0005-0000-0000-000086000000}"/>
    <cellStyle name="style1406114190219" xfId="133" xr:uid="{00000000-0005-0000-0000-000087000000}"/>
    <cellStyle name="style1406114190238" xfId="134" xr:uid="{00000000-0005-0000-0000-000088000000}"/>
    <cellStyle name="style1406114190262" xfId="135" xr:uid="{00000000-0005-0000-0000-000089000000}"/>
    <cellStyle name="style1406114190285" xfId="136" xr:uid="{00000000-0005-0000-0000-00008A000000}"/>
    <cellStyle name="style1406114190303" xfId="137" xr:uid="{00000000-0005-0000-0000-00008B000000}"/>
    <cellStyle name="style1406114190327" xfId="138" xr:uid="{00000000-0005-0000-0000-00008C000000}"/>
    <cellStyle name="style1406114190351" xfId="139" xr:uid="{00000000-0005-0000-0000-00008D000000}"/>
    <cellStyle name="style1406114190375" xfId="140" xr:uid="{00000000-0005-0000-0000-00008E000000}"/>
    <cellStyle name="style1406114190395" xfId="141" xr:uid="{00000000-0005-0000-0000-00008F000000}"/>
    <cellStyle name="style1406114190415" xfId="142" xr:uid="{00000000-0005-0000-0000-000090000000}"/>
    <cellStyle name="style1406114190439" xfId="143" xr:uid="{00000000-0005-0000-0000-000091000000}"/>
    <cellStyle name="style1406114190464" xfId="144" xr:uid="{00000000-0005-0000-0000-000092000000}"/>
    <cellStyle name="style1406114190487" xfId="145" xr:uid="{00000000-0005-0000-0000-000093000000}"/>
    <cellStyle name="style1406114190507" xfId="146" xr:uid="{00000000-0005-0000-0000-000094000000}"/>
    <cellStyle name="style1406114190534" xfId="147" xr:uid="{00000000-0005-0000-0000-000095000000}"/>
    <cellStyle name="style1406114190553" xfId="148" xr:uid="{00000000-0005-0000-0000-000096000000}"/>
    <cellStyle name="style1406114190571" xfId="149" xr:uid="{00000000-0005-0000-0000-000097000000}"/>
    <cellStyle name="style1406114190588" xfId="150" xr:uid="{00000000-0005-0000-0000-000098000000}"/>
    <cellStyle name="style1406114190609" xfId="151" xr:uid="{00000000-0005-0000-0000-000099000000}"/>
    <cellStyle name="style1406114190628" xfId="152" xr:uid="{00000000-0005-0000-0000-00009A000000}"/>
    <cellStyle name="style1406114190647" xfId="153" xr:uid="{00000000-0005-0000-0000-00009B000000}"/>
    <cellStyle name="style1406114190666" xfId="154" xr:uid="{00000000-0005-0000-0000-00009C000000}"/>
    <cellStyle name="style1406114190687" xfId="155" xr:uid="{00000000-0005-0000-0000-00009D000000}"/>
    <cellStyle name="style1406114190844" xfId="156" xr:uid="{00000000-0005-0000-0000-00009E000000}"/>
    <cellStyle name="style1406114190863" xfId="157" xr:uid="{00000000-0005-0000-0000-00009F000000}"/>
    <cellStyle name="style1406114190881" xfId="158" xr:uid="{00000000-0005-0000-0000-0000A0000000}"/>
    <cellStyle name="style1406114190900" xfId="159" xr:uid="{00000000-0005-0000-0000-0000A1000000}"/>
    <cellStyle name="style1406114190959" xfId="160" xr:uid="{00000000-0005-0000-0000-0000A2000000}"/>
    <cellStyle name="style1406114191014" xfId="161" xr:uid="{00000000-0005-0000-0000-0000A3000000}"/>
    <cellStyle name="style1406114191303" xfId="162" xr:uid="{00000000-0005-0000-0000-0000A4000000}"/>
    <cellStyle name="style1406114191912" xfId="163" xr:uid="{00000000-0005-0000-0000-0000A5000000}"/>
    <cellStyle name="style1406114345186" xfId="164" xr:uid="{00000000-0005-0000-0000-0000A6000000}"/>
    <cellStyle name="style1406114345361" xfId="165" xr:uid="{00000000-0005-0000-0000-0000A7000000}"/>
    <cellStyle name="style1406114398523" xfId="166" xr:uid="{00000000-0005-0000-0000-0000A8000000}"/>
    <cellStyle name="style1406114398549" xfId="167" xr:uid="{00000000-0005-0000-0000-0000A9000000}"/>
    <cellStyle name="style1406114398571" xfId="168" xr:uid="{00000000-0005-0000-0000-0000AA000000}"/>
    <cellStyle name="style1406114398589" xfId="169" xr:uid="{00000000-0005-0000-0000-0000AB000000}"/>
    <cellStyle name="style1406114398610" xfId="170" xr:uid="{00000000-0005-0000-0000-0000AC000000}"/>
    <cellStyle name="style1406114398632" xfId="171" xr:uid="{00000000-0005-0000-0000-0000AD000000}"/>
    <cellStyle name="style1406114398654" xfId="172" xr:uid="{00000000-0005-0000-0000-0000AE000000}"/>
    <cellStyle name="style1406114398679" xfId="173" xr:uid="{00000000-0005-0000-0000-0000AF000000}"/>
    <cellStyle name="style1406114398703" xfId="174" xr:uid="{00000000-0005-0000-0000-0000B0000000}"/>
    <cellStyle name="style1406114398726" xfId="175" xr:uid="{00000000-0005-0000-0000-0000B1000000}"/>
    <cellStyle name="style1406114398750" xfId="176" xr:uid="{00000000-0005-0000-0000-0000B2000000}"/>
    <cellStyle name="style1406114398774" xfId="177" xr:uid="{00000000-0005-0000-0000-0000B3000000}"/>
    <cellStyle name="style1406114398792" xfId="178" xr:uid="{00000000-0005-0000-0000-0000B4000000}"/>
    <cellStyle name="style1406114398812" xfId="179" xr:uid="{00000000-0005-0000-0000-0000B5000000}"/>
    <cellStyle name="style1406114398835" xfId="180" xr:uid="{00000000-0005-0000-0000-0000B6000000}"/>
    <cellStyle name="style1406114398855" xfId="181" xr:uid="{00000000-0005-0000-0000-0000B7000000}"/>
    <cellStyle name="style1406114398880" xfId="182" xr:uid="{00000000-0005-0000-0000-0000B8000000}"/>
    <cellStyle name="style1406114398898" xfId="183" xr:uid="{00000000-0005-0000-0000-0000B9000000}"/>
    <cellStyle name="style1406114398922" xfId="184" xr:uid="{00000000-0005-0000-0000-0000BA000000}"/>
    <cellStyle name="style1406114398946" xfId="185" xr:uid="{00000000-0005-0000-0000-0000BB000000}"/>
    <cellStyle name="style1406114398972" xfId="186" xr:uid="{00000000-0005-0000-0000-0000BC000000}"/>
    <cellStyle name="style1406114398991" xfId="187" xr:uid="{00000000-0005-0000-0000-0000BD000000}"/>
    <cellStyle name="style1406114399009" xfId="188" xr:uid="{00000000-0005-0000-0000-0000BE000000}"/>
    <cellStyle name="style1406114399027" xfId="189" xr:uid="{00000000-0005-0000-0000-0000BF000000}"/>
    <cellStyle name="style1406114399044" xfId="190" xr:uid="{00000000-0005-0000-0000-0000C0000000}"/>
    <cellStyle name="style1406114399064" xfId="191" xr:uid="{00000000-0005-0000-0000-0000C1000000}"/>
    <cellStyle name="style1406114399083" xfId="192" xr:uid="{00000000-0005-0000-0000-0000C2000000}"/>
    <cellStyle name="style1406114399102" xfId="193" xr:uid="{00000000-0005-0000-0000-0000C3000000}"/>
    <cellStyle name="style1406114399120" xfId="194" xr:uid="{00000000-0005-0000-0000-0000C4000000}"/>
    <cellStyle name="style1406114399144" xfId="195" xr:uid="{00000000-0005-0000-0000-0000C5000000}"/>
    <cellStyle name="style1406114399167" xfId="196" xr:uid="{00000000-0005-0000-0000-0000C6000000}"/>
    <cellStyle name="style1406114399199" xfId="197" xr:uid="{00000000-0005-0000-0000-0000C7000000}"/>
    <cellStyle name="style1406114399226" xfId="198" xr:uid="{00000000-0005-0000-0000-0000C8000000}"/>
    <cellStyle name="style1406114399254" xfId="199" xr:uid="{00000000-0005-0000-0000-0000C9000000}"/>
    <cellStyle name="style1406114399277" xfId="200" xr:uid="{00000000-0005-0000-0000-0000CA000000}"/>
    <cellStyle name="style1406114399294" xfId="201" xr:uid="{00000000-0005-0000-0000-0000CB000000}"/>
    <cellStyle name="style1406114399311" xfId="202" xr:uid="{00000000-0005-0000-0000-0000CC000000}"/>
    <cellStyle name="style1406114399329" xfId="203" xr:uid="{00000000-0005-0000-0000-0000CD000000}"/>
    <cellStyle name="style1406114399348" xfId="204" xr:uid="{00000000-0005-0000-0000-0000CE000000}"/>
    <cellStyle name="style1406114399367" xfId="205" xr:uid="{00000000-0005-0000-0000-0000CF000000}"/>
    <cellStyle name="style1406114399389" xfId="206" xr:uid="{00000000-0005-0000-0000-0000D0000000}"/>
    <cellStyle name="style1406114399411" xfId="207" xr:uid="{00000000-0005-0000-0000-0000D1000000}"/>
    <cellStyle name="style1406114399490" xfId="208" xr:uid="{00000000-0005-0000-0000-0000D2000000}"/>
    <cellStyle name="style1406114399512" xfId="209" xr:uid="{00000000-0005-0000-0000-0000D3000000}"/>
    <cellStyle name="style1406114399534" xfId="210" xr:uid="{00000000-0005-0000-0000-0000D4000000}"/>
    <cellStyle name="style1406114399551" xfId="211" xr:uid="{00000000-0005-0000-0000-0000D5000000}"/>
    <cellStyle name="style1406114399576" xfId="212" xr:uid="{00000000-0005-0000-0000-0000D6000000}"/>
    <cellStyle name="style1406114399599" xfId="213" xr:uid="{00000000-0005-0000-0000-0000D7000000}"/>
    <cellStyle name="style1406114399622" xfId="214" xr:uid="{00000000-0005-0000-0000-0000D8000000}"/>
    <cellStyle name="style1406114399641" xfId="215" xr:uid="{00000000-0005-0000-0000-0000D9000000}"/>
    <cellStyle name="style1406114399662" xfId="216" xr:uid="{00000000-0005-0000-0000-0000DA000000}"/>
    <cellStyle name="style1406114399689" xfId="217" xr:uid="{00000000-0005-0000-0000-0000DB000000}"/>
    <cellStyle name="style1406114399716" xfId="218" xr:uid="{00000000-0005-0000-0000-0000DC000000}"/>
    <cellStyle name="style1406114399740" xfId="219" xr:uid="{00000000-0005-0000-0000-0000DD000000}"/>
    <cellStyle name="style1406114399758" xfId="220" xr:uid="{00000000-0005-0000-0000-0000DE000000}"/>
    <cellStyle name="style1406114399783" xfId="221" xr:uid="{00000000-0005-0000-0000-0000DF000000}"/>
    <cellStyle name="style1406114399802" xfId="222" xr:uid="{00000000-0005-0000-0000-0000E0000000}"/>
    <cellStyle name="style1406114399820" xfId="223" xr:uid="{00000000-0005-0000-0000-0000E1000000}"/>
    <cellStyle name="style1406114399839" xfId="224" xr:uid="{00000000-0005-0000-0000-0000E2000000}"/>
    <cellStyle name="style1406114399860" xfId="225" xr:uid="{00000000-0005-0000-0000-0000E3000000}"/>
    <cellStyle name="style1406114399878" xfId="226" xr:uid="{00000000-0005-0000-0000-0000E4000000}"/>
    <cellStyle name="style1406114399896" xfId="227" xr:uid="{00000000-0005-0000-0000-0000E5000000}"/>
    <cellStyle name="style1406114399914" xfId="228" xr:uid="{00000000-0005-0000-0000-0000E6000000}"/>
    <cellStyle name="style1406114399932" xfId="229" xr:uid="{00000000-0005-0000-0000-0000E7000000}"/>
    <cellStyle name="style1406114399951" xfId="230" xr:uid="{00000000-0005-0000-0000-0000E8000000}"/>
    <cellStyle name="style1406114399969" xfId="231" xr:uid="{00000000-0005-0000-0000-0000E9000000}"/>
    <cellStyle name="style1406114399987" xfId="232" xr:uid="{00000000-0005-0000-0000-0000EA000000}"/>
    <cellStyle name="style1406114400018" xfId="233" xr:uid="{00000000-0005-0000-0000-0000EB000000}"/>
    <cellStyle name="style1406114400104" xfId="234" xr:uid="{00000000-0005-0000-0000-0000EC000000}"/>
    <cellStyle name="style1406114400339" xfId="235" xr:uid="{00000000-0005-0000-0000-0000ED000000}"/>
    <cellStyle name="style1406114400806" xfId="236" xr:uid="{00000000-0005-0000-0000-0000EE000000}"/>
    <cellStyle name="style1406114440149" xfId="237" xr:uid="{00000000-0005-0000-0000-0000EF000000}"/>
    <cellStyle name="style1406114440175" xfId="238" xr:uid="{00000000-0005-0000-0000-0000F0000000}"/>
    <cellStyle name="style1406114440200" xfId="239" xr:uid="{00000000-0005-0000-0000-0000F1000000}"/>
    <cellStyle name="style1406114440219" xfId="240" xr:uid="{00000000-0005-0000-0000-0000F2000000}"/>
    <cellStyle name="style1406114440242" xfId="241" xr:uid="{00000000-0005-0000-0000-0000F3000000}"/>
    <cellStyle name="style1406114440265" xfId="242" xr:uid="{00000000-0005-0000-0000-0000F4000000}"/>
    <cellStyle name="style1406114440288" xfId="243" xr:uid="{00000000-0005-0000-0000-0000F5000000}"/>
    <cellStyle name="style1406114440311" xfId="244" xr:uid="{00000000-0005-0000-0000-0000F6000000}"/>
    <cellStyle name="style1406114440332" xfId="245" xr:uid="{00000000-0005-0000-0000-0000F7000000}"/>
    <cellStyle name="style1406114440354" xfId="246" xr:uid="{00000000-0005-0000-0000-0000F8000000}"/>
    <cellStyle name="style1406114440375" xfId="247" xr:uid="{00000000-0005-0000-0000-0000F9000000}"/>
    <cellStyle name="style1406114440396" xfId="248" xr:uid="{00000000-0005-0000-0000-0000FA000000}"/>
    <cellStyle name="style1406114440413" xfId="249" xr:uid="{00000000-0005-0000-0000-0000FB000000}"/>
    <cellStyle name="style1406114440430" xfId="250" xr:uid="{00000000-0005-0000-0000-0000FC000000}"/>
    <cellStyle name="style1406114440452" xfId="251" xr:uid="{00000000-0005-0000-0000-0000FD000000}"/>
    <cellStyle name="style1406114440470" xfId="252" xr:uid="{00000000-0005-0000-0000-0000FE000000}"/>
    <cellStyle name="style1406114440492" xfId="253" xr:uid="{00000000-0005-0000-0000-0000FF000000}"/>
    <cellStyle name="style1406114440509" xfId="254" xr:uid="{00000000-0005-0000-0000-000000010000}"/>
    <cellStyle name="style1406114440531" xfId="255" xr:uid="{00000000-0005-0000-0000-000001010000}"/>
    <cellStyle name="style1406114440552" xfId="256" xr:uid="{00000000-0005-0000-0000-000002010000}"/>
    <cellStyle name="style1406114440573" xfId="257" xr:uid="{00000000-0005-0000-0000-000003010000}"/>
    <cellStyle name="style1406114440590" xfId="258" xr:uid="{00000000-0005-0000-0000-000004010000}"/>
    <cellStyle name="style1406114440607" xfId="259" xr:uid="{00000000-0005-0000-0000-000005010000}"/>
    <cellStyle name="style1406114440624" xfId="260" xr:uid="{00000000-0005-0000-0000-000006010000}"/>
    <cellStyle name="style1406114440641" xfId="261" xr:uid="{00000000-0005-0000-0000-000007010000}"/>
    <cellStyle name="style1406114440657" xfId="262" xr:uid="{00000000-0005-0000-0000-000008010000}"/>
    <cellStyle name="style1406114440676" xfId="263" xr:uid="{00000000-0005-0000-0000-000009010000}"/>
    <cellStyle name="style1406114440693" xfId="264" xr:uid="{00000000-0005-0000-0000-00000A010000}"/>
    <cellStyle name="style1406114440711" xfId="265" xr:uid="{00000000-0005-0000-0000-00000B010000}"/>
    <cellStyle name="style1406114440733" xfId="266" xr:uid="{00000000-0005-0000-0000-00000C010000}"/>
    <cellStyle name="style1406114440756" xfId="267" xr:uid="{00000000-0005-0000-0000-00000D010000}"/>
    <cellStyle name="style1406114440778" xfId="268" xr:uid="{00000000-0005-0000-0000-00000E010000}"/>
    <cellStyle name="style1406114440801" xfId="269" xr:uid="{00000000-0005-0000-0000-00000F010000}"/>
    <cellStyle name="style1406114440831" xfId="270" xr:uid="{00000000-0005-0000-0000-000010010000}"/>
    <cellStyle name="style1406114440854" xfId="271" xr:uid="{00000000-0005-0000-0000-000011010000}"/>
    <cellStyle name="style1406114440871" xfId="272" xr:uid="{00000000-0005-0000-0000-000012010000}"/>
    <cellStyle name="style1406114440888" xfId="273" xr:uid="{00000000-0005-0000-0000-000013010000}"/>
    <cellStyle name="style1406114440905" xfId="274" xr:uid="{00000000-0005-0000-0000-000014010000}"/>
    <cellStyle name="style1406114440922" xfId="275" xr:uid="{00000000-0005-0000-0000-000015010000}"/>
    <cellStyle name="style1406114440941" xfId="276" xr:uid="{00000000-0005-0000-0000-000016010000}"/>
    <cellStyle name="style1406114440964" xfId="277" xr:uid="{00000000-0005-0000-0000-000017010000}"/>
    <cellStyle name="style1406114440986" xfId="278" xr:uid="{00000000-0005-0000-0000-000018010000}"/>
    <cellStyle name="style1406114441003" xfId="279" xr:uid="{00000000-0005-0000-0000-000019010000}"/>
    <cellStyle name="style1406114441024" xfId="280" xr:uid="{00000000-0005-0000-0000-00001A010000}"/>
    <cellStyle name="style1406114441046" xfId="281" xr:uid="{00000000-0005-0000-0000-00001B010000}"/>
    <cellStyle name="style1406114441063" xfId="282" xr:uid="{00000000-0005-0000-0000-00001C010000}"/>
    <cellStyle name="style1406114441085" xfId="283" xr:uid="{00000000-0005-0000-0000-00001D010000}"/>
    <cellStyle name="style1406114441106" xfId="284" xr:uid="{00000000-0005-0000-0000-00001E010000}"/>
    <cellStyle name="style1406114441127" xfId="285" xr:uid="{00000000-0005-0000-0000-00001F010000}"/>
    <cellStyle name="style1406114441144" xfId="286" xr:uid="{00000000-0005-0000-0000-000020010000}"/>
    <cellStyle name="style1406114441245" xfId="287" xr:uid="{00000000-0005-0000-0000-000021010000}"/>
    <cellStyle name="style1406114441267" xfId="288" xr:uid="{00000000-0005-0000-0000-000022010000}"/>
    <cellStyle name="style1406114441288" xfId="289" xr:uid="{00000000-0005-0000-0000-000023010000}"/>
    <cellStyle name="style1406114441309" xfId="290" xr:uid="{00000000-0005-0000-0000-000024010000}"/>
    <cellStyle name="style1406114441326" xfId="291" xr:uid="{00000000-0005-0000-0000-000025010000}"/>
    <cellStyle name="style1406114441350" xfId="292" xr:uid="{00000000-0005-0000-0000-000026010000}"/>
    <cellStyle name="style1406114441369" xfId="293" xr:uid="{00000000-0005-0000-0000-000027010000}"/>
    <cellStyle name="style1406114441387" xfId="294" xr:uid="{00000000-0005-0000-0000-000028010000}"/>
    <cellStyle name="style1406114441405" xfId="295" xr:uid="{00000000-0005-0000-0000-000029010000}"/>
    <cellStyle name="style1406114441425" xfId="296" xr:uid="{00000000-0005-0000-0000-00002A010000}"/>
    <cellStyle name="style1406114441444" xfId="297" xr:uid="{00000000-0005-0000-0000-00002B010000}"/>
    <cellStyle name="style1406114441462" xfId="298" xr:uid="{00000000-0005-0000-0000-00002C010000}"/>
    <cellStyle name="style1406114441479" xfId="299" xr:uid="{00000000-0005-0000-0000-00002D010000}"/>
    <cellStyle name="style1406114441496" xfId="300" xr:uid="{00000000-0005-0000-0000-00002E010000}"/>
    <cellStyle name="style1406114441514" xfId="301" xr:uid="{00000000-0005-0000-0000-00002F010000}"/>
    <cellStyle name="style1406114441532" xfId="302" xr:uid="{00000000-0005-0000-0000-000030010000}"/>
    <cellStyle name="style1406114441549" xfId="303" xr:uid="{00000000-0005-0000-0000-000031010000}"/>
    <cellStyle name="style1406114441566" xfId="304" xr:uid="{00000000-0005-0000-0000-000032010000}"/>
    <cellStyle name="style1406114441594" xfId="305" xr:uid="{00000000-0005-0000-0000-000033010000}"/>
    <cellStyle name="style1406114441626" xfId="306" xr:uid="{00000000-0005-0000-0000-000034010000}"/>
    <cellStyle name="style1406114442197" xfId="307" xr:uid="{00000000-0005-0000-0000-000035010000}"/>
    <cellStyle name="style1406114490232" xfId="308" xr:uid="{00000000-0005-0000-0000-000036010000}"/>
    <cellStyle name="style1406114490278" xfId="309" xr:uid="{00000000-0005-0000-0000-000037010000}"/>
    <cellStyle name="style1406114490860" xfId="310" xr:uid="{00000000-0005-0000-0000-000038010000}"/>
    <cellStyle name="style1406114491098" xfId="311" xr:uid="{00000000-0005-0000-0000-000039010000}"/>
    <cellStyle name="style1406114491204" xfId="312" xr:uid="{00000000-0005-0000-0000-00003A010000}"/>
    <cellStyle name="style1406114491528" xfId="313" xr:uid="{00000000-0005-0000-0000-00003B010000}"/>
    <cellStyle name="style1406114491549" xfId="314" xr:uid="{00000000-0005-0000-0000-00003C010000}"/>
    <cellStyle name="style1406114491606" xfId="315" xr:uid="{00000000-0005-0000-0000-00003D010000}"/>
    <cellStyle name="style1406114491677" xfId="316" xr:uid="{00000000-0005-0000-0000-00003E010000}"/>
    <cellStyle name="style1406182998088" xfId="317" xr:uid="{00000000-0005-0000-0000-00003F010000}"/>
    <cellStyle name="style1406182998186" xfId="318" xr:uid="{00000000-0005-0000-0000-000040010000}"/>
    <cellStyle name="style1406183036983" xfId="319" xr:uid="{00000000-0005-0000-0000-000041010000}"/>
    <cellStyle name="style1411446450504" xfId="320" xr:uid="{00000000-0005-0000-0000-000042010000}"/>
    <cellStyle name="style1411446450551" xfId="321" xr:uid="{00000000-0005-0000-0000-000043010000}"/>
    <cellStyle name="style1411446450598" xfId="322" xr:uid="{00000000-0005-0000-0000-000044010000}"/>
    <cellStyle name="style1411446450629" xfId="323" xr:uid="{00000000-0005-0000-0000-000045010000}"/>
    <cellStyle name="style1411446450660" xfId="324" xr:uid="{00000000-0005-0000-0000-000046010000}"/>
    <cellStyle name="style1411446450738" xfId="325" xr:uid="{00000000-0005-0000-0000-000047010000}"/>
    <cellStyle name="style1411446450769" xfId="326" xr:uid="{00000000-0005-0000-0000-000048010000}"/>
    <cellStyle name="style1411446450801" xfId="327" xr:uid="{00000000-0005-0000-0000-000049010000}"/>
    <cellStyle name="style1411446450847" xfId="328" xr:uid="{00000000-0005-0000-0000-00004A010000}"/>
    <cellStyle name="style1411446450879" xfId="329" xr:uid="{00000000-0005-0000-0000-00004B010000}"/>
    <cellStyle name="style1411446450910" xfId="330" xr:uid="{00000000-0005-0000-0000-00004C010000}"/>
    <cellStyle name="style1411446450957" xfId="331" xr:uid="{00000000-0005-0000-0000-00004D010000}"/>
    <cellStyle name="style1411446450988" xfId="332" xr:uid="{00000000-0005-0000-0000-00004E010000}"/>
    <cellStyle name="style1411446451019" xfId="333" xr:uid="{00000000-0005-0000-0000-00004F010000}"/>
    <cellStyle name="style1411446451050" xfId="334" xr:uid="{00000000-0005-0000-0000-000050010000}"/>
    <cellStyle name="style1411446451128" xfId="335" xr:uid="{00000000-0005-0000-0000-000051010000}"/>
    <cellStyle name="style1411446451159" xfId="336" xr:uid="{00000000-0005-0000-0000-000052010000}"/>
    <cellStyle name="style1411446451191" xfId="337" xr:uid="{00000000-0005-0000-0000-000053010000}"/>
    <cellStyle name="style1411446451206" xfId="338" xr:uid="{00000000-0005-0000-0000-000054010000}"/>
    <cellStyle name="style1411446451237" xfId="339" xr:uid="{00000000-0005-0000-0000-000055010000}"/>
    <cellStyle name="style1411446451269" xfId="340" xr:uid="{00000000-0005-0000-0000-000056010000}"/>
    <cellStyle name="style1411446451284" xfId="341" xr:uid="{00000000-0005-0000-0000-000057010000}"/>
    <cellStyle name="style1411446451315" xfId="342" xr:uid="{00000000-0005-0000-0000-000058010000}"/>
    <cellStyle name="style1411446451331" xfId="343" xr:uid="{00000000-0005-0000-0000-000059010000}"/>
    <cellStyle name="style1411446451362" xfId="344" xr:uid="{00000000-0005-0000-0000-00005A010000}"/>
    <cellStyle name="style1411446451378" xfId="345" xr:uid="{00000000-0005-0000-0000-00005B010000}"/>
    <cellStyle name="style1411446451409" xfId="346" xr:uid="{00000000-0005-0000-0000-00005C010000}"/>
    <cellStyle name="style1411446451471" xfId="347" xr:uid="{00000000-0005-0000-0000-00005D010000}"/>
    <cellStyle name="style1411446451518" xfId="348" xr:uid="{00000000-0005-0000-0000-00005E010000}"/>
    <cellStyle name="style1411446451549" xfId="349" xr:uid="{00000000-0005-0000-0000-00005F010000}"/>
    <cellStyle name="style1411446451581" xfId="350" xr:uid="{00000000-0005-0000-0000-000060010000}"/>
    <cellStyle name="style1411446451596" xfId="351" xr:uid="{00000000-0005-0000-0000-000061010000}"/>
    <cellStyle name="style1411446451627" xfId="352" xr:uid="{00000000-0005-0000-0000-000062010000}"/>
    <cellStyle name="style1411446451659" xfId="353" xr:uid="{00000000-0005-0000-0000-000063010000}"/>
    <cellStyle name="style1411446451690" xfId="354" xr:uid="{00000000-0005-0000-0000-000064010000}"/>
    <cellStyle name="style1411446451705" xfId="355" xr:uid="{00000000-0005-0000-0000-000065010000}"/>
    <cellStyle name="style1411446451721" xfId="356" xr:uid="{00000000-0005-0000-0000-000066010000}"/>
    <cellStyle name="style1411446451752" xfId="357" xr:uid="{00000000-0005-0000-0000-000067010000}"/>
    <cellStyle name="style1411446451815" xfId="358" xr:uid="{00000000-0005-0000-0000-000068010000}"/>
    <cellStyle name="style1411446451846" xfId="359" xr:uid="{00000000-0005-0000-0000-000069010000}"/>
    <cellStyle name="style1411446451877" xfId="360" xr:uid="{00000000-0005-0000-0000-00006A010000}"/>
    <cellStyle name="style1411446451893" xfId="361" xr:uid="{00000000-0005-0000-0000-00006B010000}"/>
    <cellStyle name="style1411446451924" xfId="362" xr:uid="{00000000-0005-0000-0000-00006C010000}"/>
    <cellStyle name="style1411446451955" xfId="363" xr:uid="{00000000-0005-0000-0000-00006D010000}"/>
    <cellStyle name="style1411446451971" xfId="364" xr:uid="{00000000-0005-0000-0000-00006E010000}"/>
    <cellStyle name="style1411446452002" xfId="365" xr:uid="{00000000-0005-0000-0000-00006F010000}"/>
    <cellStyle name="style1411446452033" xfId="366" xr:uid="{00000000-0005-0000-0000-000070010000}"/>
    <cellStyle name="style1411446452049" xfId="367" xr:uid="{00000000-0005-0000-0000-000071010000}"/>
    <cellStyle name="style1411446452111" xfId="368" xr:uid="{00000000-0005-0000-0000-000072010000}"/>
    <cellStyle name="style1411446452142" xfId="369" xr:uid="{00000000-0005-0000-0000-000073010000}"/>
    <cellStyle name="style1411446452158" xfId="370" xr:uid="{00000000-0005-0000-0000-000074010000}"/>
    <cellStyle name="style1411446452189" xfId="371" xr:uid="{00000000-0005-0000-0000-000075010000}"/>
    <cellStyle name="style1411446452220" xfId="372" xr:uid="{00000000-0005-0000-0000-000076010000}"/>
    <cellStyle name="style1411446452236" xfId="373" xr:uid="{00000000-0005-0000-0000-000077010000}"/>
    <cellStyle name="style1411446452267" xfId="374" xr:uid="{00000000-0005-0000-0000-000078010000}"/>
    <cellStyle name="style1411446452298" xfId="375" xr:uid="{00000000-0005-0000-0000-000079010000}"/>
    <cellStyle name="style1411446452314" xfId="376" xr:uid="{00000000-0005-0000-0000-00007A010000}"/>
    <cellStyle name="style1411446452329" xfId="377" xr:uid="{00000000-0005-0000-0000-00007B010000}"/>
    <cellStyle name="style1411446452361" xfId="378" xr:uid="{00000000-0005-0000-0000-00007C010000}"/>
    <cellStyle name="style1411446452407" xfId="379" xr:uid="{00000000-0005-0000-0000-00007D010000}"/>
    <cellStyle name="style1411446452439" xfId="380" xr:uid="{00000000-0005-0000-0000-00007E010000}"/>
    <cellStyle name="style1411446452454" xfId="381" xr:uid="{00000000-0005-0000-0000-00007F010000}"/>
    <cellStyle name="style1411446452485" xfId="382" xr:uid="{00000000-0005-0000-0000-000080010000}"/>
    <cellStyle name="style1411446452501" xfId="383" xr:uid="{00000000-0005-0000-0000-000081010000}"/>
    <cellStyle name="style1411446452532" xfId="384" xr:uid="{00000000-0005-0000-0000-000082010000}"/>
    <cellStyle name="style1411446452548" xfId="385" xr:uid="{00000000-0005-0000-0000-000083010000}"/>
    <cellStyle name="style1411446452563" xfId="386" xr:uid="{00000000-0005-0000-0000-000084010000}"/>
    <cellStyle name="style1411449801970" xfId="387" xr:uid="{00000000-0005-0000-0000-000085010000}"/>
    <cellStyle name="style1411449802014" xfId="388" xr:uid="{00000000-0005-0000-0000-000086010000}"/>
    <cellStyle name="style1411449802039" xfId="389" xr:uid="{00000000-0005-0000-0000-000087010000}"/>
    <cellStyle name="style1411449802064" xfId="390" xr:uid="{00000000-0005-0000-0000-000088010000}"/>
    <cellStyle name="style1411449802092" xfId="391" xr:uid="{00000000-0005-0000-0000-000089010000}"/>
    <cellStyle name="style1411449802118" xfId="392" xr:uid="{00000000-0005-0000-0000-00008A010000}"/>
    <cellStyle name="style1411449802516" xfId="393" xr:uid="{00000000-0005-0000-0000-00008B010000}"/>
    <cellStyle name="style1411449802578" xfId="394" xr:uid="{00000000-0005-0000-0000-00008C010000}"/>
    <cellStyle name="style1411449802602" xfId="395" xr:uid="{00000000-0005-0000-0000-00008D010000}"/>
    <cellStyle name="style1411449802628" xfId="396" xr:uid="{00000000-0005-0000-0000-00008E010000}"/>
    <cellStyle name="style1411449802695" xfId="397" xr:uid="{00000000-0005-0000-0000-00008F010000}"/>
    <cellStyle name="style1411449802719" xfId="398" xr:uid="{00000000-0005-0000-0000-000090010000}"/>
    <cellStyle name="style1411449802744" xfId="399" xr:uid="{00000000-0005-0000-0000-000091010000}"/>
    <cellStyle name="style1411449802916" xfId="400" xr:uid="{00000000-0005-0000-0000-000092010000}"/>
    <cellStyle name="style1411449802935" xfId="401" xr:uid="{00000000-0005-0000-0000-000093010000}"/>
    <cellStyle name="style1411449802987" xfId="402" xr:uid="{00000000-0005-0000-0000-000094010000}"/>
    <cellStyle name="style1411449803130" xfId="403" xr:uid="{00000000-0005-0000-0000-000095010000}"/>
    <cellStyle name="style1411449803296" xfId="404" xr:uid="{00000000-0005-0000-0000-000096010000}"/>
    <cellStyle name="style1411449803317" xfId="405" xr:uid="{00000000-0005-0000-0000-000097010000}"/>
    <cellStyle name="style1411449803337" xfId="406" xr:uid="{00000000-0005-0000-0000-000098010000}"/>
    <cellStyle name="style1411449803356" xfId="407" xr:uid="{00000000-0005-0000-0000-000099010000}"/>
    <cellStyle name="style1411449803379" xfId="408" xr:uid="{00000000-0005-0000-0000-00009A010000}"/>
    <cellStyle name="style1411449803400" xfId="409" xr:uid="{00000000-0005-0000-0000-00009B010000}"/>
    <cellStyle name="style1411449803420" xfId="410" xr:uid="{00000000-0005-0000-0000-00009C010000}"/>
    <cellStyle name="style1411449803440" xfId="411" xr:uid="{00000000-0005-0000-0000-00009D010000}"/>
    <cellStyle name="style1411449803461" xfId="412" xr:uid="{00000000-0005-0000-0000-00009E010000}"/>
    <cellStyle name="style1411449803483" xfId="413" xr:uid="{00000000-0005-0000-0000-00009F010000}"/>
    <cellStyle name="style1411449803510" xfId="414" xr:uid="{00000000-0005-0000-0000-0000A0010000}"/>
    <cellStyle name="style1411449803534" xfId="415" xr:uid="{00000000-0005-0000-0000-0000A1010000}"/>
    <cellStyle name="style1411449803554" xfId="416" xr:uid="{00000000-0005-0000-0000-0000A2010000}"/>
    <cellStyle name="style1411449803577" xfId="417" xr:uid="{00000000-0005-0000-0000-0000A3010000}"/>
    <cellStyle name="style1411451081406" xfId="418" xr:uid="{00000000-0005-0000-0000-0000A4010000}"/>
    <cellStyle name="style1411451081449" xfId="419" xr:uid="{00000000-0005-0000-0000-0000A5010000}"/>
    <cellStyle name="style1411451081472" xfId="420" xr:uid="{00000000-0005-0000-0000-0000A6010000}"/>
    <cellStyle name="style1411451081497" xfId="421" xr:uid="{00000000-0005-0000-0000-0000A7010000}"/>
    <cellStyle name="style1411451081522" xfId="422" xr:uid="{00000000-0005-0000-0000-0000A8010000}"/>
    <cellStyle name="style1411451081547" xfId="423" xr:uid="{00000000-0005-0000-0000-0000A9010000}"/>
    <cellStyle name="style1411451081953" xfId="424" xr:uid="{00000000-0005-0000-0000-0000AA010000}"/>
    <cellStyle name="style1411451082017" xfId="425" xr:uid="{00000000-0005-0000-0000-0000AB010000}"/>
    <cellStyle name="style1411451082043" xfId="426" xr:uid="{00000000-0005-0000-0000-0000AC010000}"/>
    <cellStyle name="style1411451082068" xfId="427" xr:uid="{00000000-0005-0000-0000-0000AD010000}"/>
    <cellStyle name="style1411451082091" xfId="428" xr:uid="{00000000-0005-0000-0000-0000AE010000}"/>
    <cellStyle name="style1411451082115" xfId="429" xr:uid="{00000000-0005-0000-0000-0000AF010000}"/>
    <cellStyle name="style1411451082188" xfId="430" xr:uid="{00000000-0005-0000-0000-0000B0010000}"/>
    <cellStyle name="style1411451082364" xfId="431" xr:uid="{00000000-0005-0000-0000-0000B1010000}"/>
    <cellStyle name="style1411451082383" xfId="432" xr:uid="{00000000-0005-0000-0000-0000B2010000}"/>
    <cellStyle name="style1411451082433" xfId="433" xr:uid="{00000000-0005-0000-0000-0000B3010000}"/>
    <cellStyle name="style1411451082533" xfId="434" xr:uid="{00000000-0005-0000-0000-0000B4010000}"/>
    <cellStyle name="style1411451082735" xfId="435" xr:uid="{00000000-0005-0000-0000-0000B5010000}"/>
    <cellStyle name="style1411451082754" xfId="436" xr:uid="{00000000-0005-0000-0000-0000B6010000}"/>
    <cellStyle name="style1411451082774" xfId="437" xr:uid="{00000000-0005-0000-0000-0000B7010000}"/>
    <cellStyle name="style1411451082793" xfId="438" xr:uid="{00000000-0005-0000-0000-0000B8010000}"/>
    <cellStyle name="style1411451082814" xfId="439" xr:uid="{00000000-0005-0000-0000-0000B9010000}"/>
    <cellStyle name="style1411451082834" xfId="440" xr:uid="{00000000-0005-0000-0000-0000BA010000}"/>
    <cellStyle name="style1411451082853" xfId="441" xr:uid="{00000000-0005-0000-0000-0000BB010000}"/>
    <cellStyle name="style1411451082873" xfId="442" xr:uid="{00000000-0005-0000-0000-0000BC010000}"/>
    <cellStyle name="style1411451082893" xfId="443" xr:uid="{00000000-0005-0000-0000-0000BD010000}"/>
    <cellStyle name="style1411451082912" xfId="444" xr:uid="{00000000-0005-0000-0000-0000BE010000}"/>
    <cellStyle name="style1411451082933" xfId="445" xr:uid="{00000000-0005-0000-0000-0000BF010000}"/>
    <cellStyle name="style1411451082954" xfId="446" xr:uid="{00000000-0005-0000-0000-0000C0010000}"/>
    <cellStyle name="style1411451082974" xfId="447" xr:uid="{00000000-0005-0000-0000-0000C1010000}"/>
    <cellStyle name="style1411451082993" xfId="448" xr:uid="{00000000-0005-0000-0000-0000C2010000}"/>
    <cellStyle name="style1411451083012" xfId="449" xr:uid="{00000000-0005-0000-0000-0000C3010000}"/>
    <cellStyle name="style1411542382001" xfId="450" xr:uid="{00000000-0005-0000-0000-0000C4010000}"/>
    <cellStyle name="style1411542382059" xfId="451" xr:uid="{00000000-0005-0000-0000-0000C5010000}"/>
    <cellStyle name="style1411542382094" xfId="452" xr:uid="{00000000-0005-0000-0000-0000C6010000}"/>
    <cellStyle name="style1411542382123" xfId="453" xr:uid="{00000000-0005-0000-0000-0000C7010000}"/>
    <cellStyle name="style1411542382156" xfId="454" xr:uid="{00000000-0005-0000-0000-0000C8010000}"/>
    <cellStyle name="style1411542382190" xfId="455" xr:uid="{00000000-0005-0000-0000-0000C9010000}"/>
    <cellStyle name="style1411542382225" xfId="456" xr:uid="{00000000-0005-0000-0000-0000CA010000}"/>
    <cellStyle name="style1411542382311" xfId="457" xr:uid="{00000000-0005-0000-0000-0000CB010000}"/>
    <cellStyle name="style1411542382346" xfId="458" xr:uid="{00000000-0005-0000-0000-0000CC010000}"/>
    <cellStyle name="style1411542382378" xfId="459" xr:uid="{00000000-0005-0000-0000-0000CD010000}"/>
    <cellStyle name="style1411542382409" xfId="460" xr:uid="{00000000-0005-0000-0000-0000CE010000}"/>
    <cellStyle name="style1411542382440" xfId="461" xr:uid="{00000000-0005-0000-0000-0000CF010000}"/>
    <cellStyle name="style1411542382466" xfId="462" xr:uid="{00000000-0005-0000-0000-0000D0010000}"/>
    <cellStyle name="style1411542382491" xfId="463" xr:uid="{00000000-0005-0000-0000-0000D1010000}"/>
    <cellStyle name="style1411542382523" xfId="464" xr:uid="{00000000-0005-0000-0000-0000D2010000}"/>
    <cellStyle name="style1411542382556" xfId="465" xr:uid="{00000000-0005-0000-0000-0000D3010000}"/>
    <cellStyle name="style1411542382585" xfId="466" xr:uid="{00000000-0005-0000-0000-0000D4010000}"/>
    <cellStyle name="style1411542382613" xfId="467" xr:uid="{00000000-0005-0000-0000-0000D5010000}"/>
    <cellStyle name="style1411542382701" xfId="468" xr:uid="{00000000-0005-0000-0000-0000D6010000}"/>
    <cellStyle name="style1411542382751" xfId="469" xr:uid="{00000000-0005-0000-0000-0000D7010000}"/>
    <cellStyle name="style1411542382774" xfId="470" xr:uid="{00000000-0005-0000-0000-0000D8010000}"/>
    <cellStyle name="style1411542382797" xfId="471" xr:uid="{00000000-0005-0000-0000-0000D9010000}"/>
    <cellStyle name="style1411542382821" xfId="472" xr:uid="{00000000-0005-0000-0000-0000DA010000}"/>
    <cellStyle name="style1411542382844" xfId="473" xr:uid="{00000000-0005-0000-0000-0000DB010000}"/>
    <cellStyle name="style1411542382872" xfId="474" xr:uid="{00000000-0005-0000-0000-0000DC010000}"/>
    <cellStyle name="style1411542382898" xfId="475" xr:uid="{00000000-0005-0000-0000-0000DD010000}"/>
    <cellStyle name="style1411542382921" xfId="476" xr:uid="{00000000-0005-0000-0000-0000DE010000}"/>
    <cellStyle name="style1411542382949" xfId="477" xr:uid="{00000000-0005-0000-0000-0000DF010000}"/>
    <cellStyle name="style1411542382977" xfId="478" xr:uid="{00000000-0005-0000-0000-0000E0010000}"/>
    <cellStyle name="style1411542383005" xfId="479" xr:uid="{00000000-0005-0000-0000-0000E1010000}"/>
    <cellStyle name="style1411542383036" xfId="480" xr:uid="{00000000-0005-0000-0000-0000E2010000}"/>
    <cellStyle name="style1411542383066" xfId="481" xr:uid="{00000000-0005-0000-0000-0000E3010000}"/>
    <cellStyle name="style1411542383094" xfId="482" xr:uid="{00000000-0005-0000-0000-0000E4010000}"/>
    <cellStyle name="style1411542383116" xfId="483" xr:uid="{00000000-0005-0000-0000-0000E5010000}"/>
    <cellStyle name="style1411542383137" xfId="484" xr:uid="{00000000-0005-0000-0000-0000E6010000}"/>
    <cellStyle name="style1411542383160" xfId="485" xr:uid="{00000000-0005-0000-0000-0000E7010000}"/>
    <cellStyle name="style1411542383184" xfId="486" xr:uid="{00000000-0005-0000-0000-0000E8010000}"/>
    <cellStyle name="style1411542383249" xfId="487" xr:uid="{00000000-0005-0000-0000-0000E9010000}"/>
    <cellStyle name="style1411542383276" xfId="488" xr:uid="{00000000-0005-0000-0000-0000EA010000}"/>
    <cellStyle name="style1411542383303" xfId="489" xr:uid="{00000000-0005-0000-0000-0000EB010000}"/>
    <cellStyle name="style1411542383332" xfId="490" xr:uid="{00000000-0005-0000-0000-0000EC010000}"/>
    <cellStyle name="style1411542383355" xfId="491" xr:uid="{00000000-0005-0000-0000-0000ED010000}"/>
    <cellStyle name="style1411542383382" xfId="492" xr:uid="{00000000-0005-0000-0000-0000EE010000}"/>
    <cellStyle name="style1411542383409" xfId="493" xr:uid="{00000000-0005-0000-0000-0000EF010000}"/>
    <cellStyle name="style1411542383430" xfId="494" xr:uid="{00000000-0005-0000-0000-0000F0010000}"/>
    <cellStyle name="style1411542383457" xfId="495" xr:uid="{00000000-0005-0000-0000-0000F1010000}"/>
    <cellStyle name="style1411542383483" xfId="496" xr:uid="{00000000-0005-0000-0000-0000F2010000}"/>
    <cellStyle name="style1411542383510" xfId="497" xr:uid="{00000000-0005-0000-0000-0000F3010000}"/>
    <cellStyle name="style1411542383530" xfId="498" xr:uid="{00000000-0005-0000-0000-0000F4010000}"/>
    <cellStyle name="style1411542383552" xfId="499" xr:uid="{00000000-0005-0000-0000-0000F5010000}"/>
    <cellStyle name="style1411542383579" xfId="500" xr:uid="{00000000-0005-0000-0000-0000F6010000}"/>
    <cellStyle name="style1411542383606" xfId="501" xr:uid="{00000000-0005-0000-0000-0000F7010000}"/>
    <cellStyle name="style1411542383632" xfId="502" xr:uid="{00000000-0005-0000-0000-0000F8010000}"/>
    <cellStyle name="style1411542383654" xfId="503" xr:uid="{00000000-0005-0000-0000-0000F9010000}"/>
    <cellStyle name="style1411542383684" xfId="504" xr:uid="{00000000-0005-0000-0000-0000FA010000}"/>
    <cellStyle name="style1411542383710" xfId="505" xr:uid="{00000000-0005-0000-0000-0000FB010000}"/>
    <cellStyle name="style1411542383732" xfId="506" xr:uid="{00000000-0005-0000-0000-0000FC010000}"/>
    <cellStyle name="style1411542383756" xfId="507" xr:uid="{00000000-0005-0000-0000-0000FD010000}"/>
    <cellStyle name="style1411542383790" xfId="508" xr:uid="{00000000-0005-0000-0000-0000FE010000}"/>
    <cellStyle name="style1411542383813" xfId="509" xr:uid="{00000000-0005-0000-0000-0000FF010000}"/>
    <cellStyle name="style1411542383835" xfId="510" xr:uid="{00000000-0005-0000-0000-000000020000}"/>
    <cellStyle name="style1411542383858" xfId="511" xr:uid="{00000000-0005-0000-0000-000001020000}"/>
    <cellStyle name="style1411542383881" xfId="512" xr:uid="{00000000-0005-0000-0000-000002020000}"/>
    <cellStyle name="style1411542383904" xfId="513" xr:uid="{00000000-0005-0000-0000-000003020000}"/>
    <cellStyle name="style1411542383967" xfId="514" xr:uid="{00000000-0005-0000-0000-000004020000}"/>
    <cellStyle name="style1411542383989" xfId="515" xr:uid="{00000000-0005-0000-0000-000005020000}"/>
    <cellStyle name="style1411542384009" xfId="516" xr:uid="{00000000-0005-0000-0000-000006020000}"/>
    <cellStyle name="style1411542384030" xfId="517" xr:uid="{00000000-0005-0000-0000-000007020000}"/>
    <cellStyle name="style1411542384052" xfId="518" xr:uid="{00000000-0005-0000-0000-000008020000}"/>
    <cellStyle name="style1411542384115" xfId="519" xr:uid="{00000000-0005-0000-0000-000009020000}"/>
    <cellStyle name="style1411542384148" xfId="520" xr:uid="{00000000-0005-0000-0000-00000A020000}"/>
    <cellStyle name="style1411542384169" xfId="521" xr:uid="{00000000-0005-0000-0000-00000B020000}"/>
    <cellStyle name="style1411542384188" xfId="522" xr:uid="{00000000-0005-0000-0000-00000C020000}"/>
    <cellStyle name="style1411542384208" xfId="523" xr:uid="{00000000-0005-0000-0000-00000D020000}"/>
    <cellStyle name="style1411542384227" xfId="524" xr:uid="{00000000-0005-0000-0000-00000E020000}"/>
    <cellStyle name="style1411542384246" xfId="525" xr:uid="{00000000-0005-0000-0000-00000F020000}"/>
    <cellStyle name="style1411542384273" xfId="526" xr:uid="{00000000-0005-0000-0000-000010020000}"/>
    <cellStyle name="style1411542384293" xfId="527" xr:uid="{00000000-0005-0000-0000-000011020000}"/>
  </cellStyles>
  <dxfs count="0"/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dhra%20Pradesh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SVA_cur"/>
      <sheetName val="GSVA_const"/>
      <sheetName val="NSVA_cur"/>
      <sheetName val="NSVA_const"/>
    </sheetNames>
    <sheetDataSet>
      <sheetData sheetId="0">
        <row r="3">
          <cell r="I3" t="str">
            <v>01.08.2025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W39"/>
  <sheetViews>
    <sheetView zoomScale="78" zoomScaleNormal="78" zoomScaleSheetLayoutView="100" workbookViewId="0">
      <pane xSplit="2" ySplit="5" topLeftCell="C6" activePane="bottomRight" state="frozen"/>
      <selection activeCell="R46" sqref="R46"/>
      <selection pane="topRight" activeCell="R46" sqref="R46"/>
      <selection pane="bottomLeft" activeCell="R46" sqref="R46"/>
      <selection pane="bottomRight" activeCell="S30" sqref="S30"/>
    </sheetView>
  </sheetViews>
  <sheetFormatPr defaultColWidth="8.85546875" defaultRowHeight="15" x14ac:dyDescent="0.25"/>
  <cols>
    <col min="1" max="1" width="11" style="2" customWidth="1"/>
    <col min="2" max="2" width="33.7109375" style="2" customWidth="1"/>
    <col min="3" max="6" width="10.7109375" style="2" customWidth="1"/>
    <col min="7" max="16" width="11.85546875" style="1" customWidth="1"/>
    <col min="17" max="18" width="9.140625" style="2" customWidth="1"/>
    <col min="19" max="19" width="11.85546875" style="2" customWidth="1"/>
    <col min="20" max="20" width="11.28515625" style="2" customWidth="1"/>
    <col min="21" max="21" width="11.7109375" style="1" customWidth="1"/>
    <col min="22" max="22" width="9.140625" style="2" customWidth="1"/>
    <col min="23" max="23" width="10.85546875" style="2" customWidth="1"/>
    <col min="24" max="24" width="10.85546875" style="1" customWidth="1"/>
    <col min="25" max="25" width="11" style="2" customWidth="1"/>
    <col min="26" max="28" width="11.42578125" style="2" customWidth="1"/>
    <col min="29" max="56" width="9.140625" style="2" customWidth="1"/>
    <col min="57" max="57" width="12.42578125" style="2" customWidth="1"/>
    <col min="58" max="79" width="9.140625" style="2" customWidth="1"/>
    <col min="80" max="80" width="12.140625" style="2" customWidth="1"/>
    <col min="81" max="84" width="9.140625" style="2" customWidth="1"/>
    <col min="85" max="89" width="9.140625" style="2" hidden="1" customWidth="1"/>
    <col min="90" max="90" width="9.140625" style="2" customWidth="1"/>
    <col min="91" max="95" width="9.140625" style="2" hidden="1" customWidth="1"/>
    <col min="96" max="96" width="9.140625" style="2" customWidth="1"/>
    <col min="97" max="101" width="9.140625" style="2" hidden="1" customWidth="1"/>
    <col min="102" max="102" width="9.140625" style="2" customWidth="1"/>
    <col min="103" max="107" width="9.140625" style="2" hidden="1" customWidth="1"/>
    <col min="108" max="108" width="9.140625" style="2" customWidth="1"/>
    <col min="109" max="113" width="9.140625" style="2" hidden="1" customWidth="1"/>
    <col min="114" max="114" width="9.140625" style="1" customWidth="1"/>
    <col min="115" max="119" width="9.140625" style="1" hidden="1" customWidth="1"/>
    <col min="120" max="120" width="9.140625" style="1" customWidth="1"/>
    <col min="121" max="125" width="9.140625" style="1" hidden="1" customWidth="1"/>
    <col min="126" max="126" width="9.140625" style="1" customWidth="1"/>
    <col min="127" max="131" width="9.140625" style="1" hidden="1" customWidth="1"/>
    <col min="132" max="132" width="9.140625" style="1" customWidth="1"/>
    <col min="133" max="162" width="9.140625" style="2" customWidth="1"/>
    <col min="163" max="163" width="9.140625" style="2" hidden="1" customWidth="1"/>
    <col min="164" max="171" width="9.140625" style="2" customWidth="1"/>
    <col min="172" max="172" width="9.140625" style="2" hidden="1" customWidth="1"/>
    <col min="173" max="177" width="9.140625" style="2" customWidth="1"/>
    <col min="178" max="178" width="9.140625" style="2" hidden="1" customWidth="1"/>
    <col min="179" max="188" width="9.140625" style="2" customWidth="1"/>
    <col min="189" max="192" width="8.85546875" style="2"/>
    <col min="193" max="193" width="12.7109375" style="2" bestFit="1" customWidth="1"/>
    <col min="194" max="16384" width="8.85546875" style="2"/>
  </cols>
  <sheetData>
    <row r="1" spans="1:193" ht="18.75" x14ac:dyDescent="0.3">
      <c r="A1" s="2" t="s">
        <v>52</v>
      </c>
      <c r="B1" s="6" t="s">
        <v>65</v>
      </c>
      <c r="W1" s="3"/>
    </row>
    <row r="2" spans="1:193" ht="15.75" x14ac:dyDescent="0.25">
      <c r="A2" s="7" t="s">
        <v>47</v>
      </c>
      <c r="I2" s="1" t="str">
        <f>[1]GSVA_cur!$I$3</f>
        <v>01.08.2025</v>
      </c>
    </row>
    <row r="3" spans="1:193" ht="15.75" x14ac:dyDescent="0.25">
      <c r="A3" s="7"/>
    </row>
    <row r="4" spans="1:193" ht="15.75" x14ac:dyDescent="0.25">
      <c r="A4" s="7"/>
      <c r="E4" s="8"/>
      <c r="F4" s="8" t="s">
        <v>56</v>
      </c>
    </row>
    <row r="5" spans="1:193" ht="15.75" x14ac:dyDescent="0.25">
      <c r="A5" s="13" t="s">
        <v>0</v>
      </c>
      <c r="B5" s="14" t="s">
        <v>1</v>
      </c>
      <c r="C5" s="15" t="s">
        <v>20</v>
      </c>
      <c r="D5" s="15" t="s">
        <v>21</v>
      </c>
      <c r="E5" s="15" t="s">
        <v>22</v>
      </c>
      <c r="F5" s="15" t="s">
        <v>55</v>
      </c>
      <c r="G5" s="16" t="s">
        <v>64</v>
      </c>
      <c r="H5" s="16" t="s">
        <v>68</v>
      </c>
      <c r="I5" s="16" t="s">
        <v>70</v>
      </c>
      <c r="J5" s="16" t="s">
        <v>71</v>
      </c>
      <c r="K5" s="16" t="s">
        <v>72</v>
      </c>
      <c r="L5" s="16" t="s">
        <v>73</v>
      </c>
      <c r="M5" s="16" t="s">
        <v>74</v>
      </c>
      <c r="N5" s="16" t="s">
        <v>75</v>
      </c>
      <c r="O5" s="16" t="s">
        <v>76</v>
      </c>
      <c r="P5" s="16" t="s">
        <v>78</v>
      </c>
    </row>
    <row r="6" spans="1:193" s="10" customFormat="1" ht="15.75" x14ac:dyDescent="0.25">
      <c r="A6" s="17" t="s">
        <v>25</v>
      </c>
      <c r="B6" s="18" t="s">
        <v>2</v>
      </c>
      <c r="C6" s="19">
        <f>SUM(C7:C10)</f>
        <v>1330209</v>
      </c>
      <c r="D6" s="19">
        <f t="shared" ref="D6:E6" si="0">SUM(D7:D10)</f>
        <v>1536643</v>
      </c>
      <c r="E6" s="19">
        <f t="shared" si="0"/>
        <v>1579096</v>
      </c>
      <c r="F6" s="19">
        <f t="shared" ref="F6:N6" si="1">SUM(F7:F10)</f>
        <v>1611420</v>
      </c>
      <c r="G6" s="19">
        <f t="shared" si="1"/>
        <v>1628381</v>
      </c>
      <c r="H6" s="19">
        <f t="shared" si="1"/>
        <v>1694580</v>
      </c>
      <c r="I6" s="19">
        <f t="shared" si="1"/>
        <v>1916829</v>
      </c>
      <c r="J6" s="19">
        <f t="shared" si="1"/>
        <v>1989857</v>
      </c>
      <c r="K6" s="19">
        <f t="shared" si="1"/>
        <v>2338841</v>
      </c>
      <c r="L6" s="19">
        <f t="shared" si="1"/>
        <v>2691741</v>
      </c>
      <c r="M6" s="19">
        <f t="shared" si="1"/>
        <v>2660295</v>
      </c>
      <c r="N6" s="19">
        <f t="shared" si="1"/>
        <v>2524966</v>
      </c>
      <c r="O6" s="19">
        <f t="shared" ref="O6:P6" si="2">SUM(O7:O10)</f>
        <v>2638308</v>
      </c>
      <c r="P6" s="19">
        <f t="shared" si="2"/>
        <v>2805965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K6" s="11"/>
    </row>
    <row r="7" spans="1:193" ht="15.75" x14ac:dyDescent="0.25">
      <c r="A7" s="20">
        <v>1.1000000000000001</v>
      </c>
      <c r="B7" s="21" t="s">
        <v>58</v>
      </c>
      <c r="C7" s="22">
        <v>764026</v>
      </c>
      <c r="D7" s="22">
        <v>901730</v>
      </c>
      <c r="E7" s="22">
        <v>850163</v>
      </c>
      <c r="F7" s="22">
        <v>862131</v>
      </c>
      <c r="G7" s="22">
        <v>834909</v>
      </c>
      <c r="H7" s="22">
        <v>858452</v>
      </c>
      <c r="I7" s="22">
        <v>1016543</v>
      </c>
      <c r="J7" s="22">
        <v>1006270</v>
      </c>
      <c r="K7" s="22">
        <v>1184536</v>
      </c>
      <c r="L7" s="22">
        <v>1281998</v>
      </c>
      <c r="M7" s="22">
        <v>1311638</v>
      </c>
      <c r="N7" s="22">
        <v>997348</v>
      </c>
      <c r="O7" s="22">
        <v>1093322</v>
      </c>
      <c r="P7" s="22">
        <v>1175446</v>
      </c>
      <c r="Q7" s="4"/>
      <c r="R7" s="4"/>
      <c r="S7" s="4"/>
      <c r="T7" s="4"/>
      <c r="U7" s="3"/>
      <c r="V7" s="4"/>
      <c r="W7" s="4"/>
      <c r="X7" s="3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1"/>
      <c r="GI7" s="1"/>
      <c r="GJ7" s="1"/>
    </row>
    <row r="8" spans="1:193" ht="15.75" x14ac:dyDescent="0.25">
      <c r="A8" s="20">
        <v>1.2</v>
      </c>
      <c r="B8" s="21" t="s">
        <v>59</v>
      </c>
      <c r="C8" s="22">
        <v>287788</v>
      </c>
      <c r="D8" s="22">
        <v>313744</v>
      </c>
      <c r="E8" s="22">
        <v>351373</v>
      </c>
      <c r="F8" s="22">
        <v>400880</v>
      </c>
      <c r="G8" s="22">
        <v>450418</v>
      </c>
      <c r="H8" s="22">
        <v>490497</v>
      </c>
      <c r="I8" s="22">
        <v>534367</v>
      </c>
      <c r="J8" s="22">
        <v>589272</v>
      </c>
      <c r="K8" s="22">
        <v>626905</v>
      </c>
      <c r="L8" s="22">
        <v>630203</v>
      </c>
      <c r="M8" s="22">
        <v>659062</v>
      </c>
      <c r="N8" s="22">
        <v>699917</v>
      </c>
      <c r="O8" s="22">
        <v>758216</v>
      </c>
      <c r="P8" s="22">
        <v>808202</v>
      </c>
      <c r="Q8" s="4"/>
      <c r="R8" s="4"/>
      <c r="S8" s="4"/>
      <c r="T8" s="4"/>
      <c r="U8" s="3"/>
      <c r="V8" s="4"/>
      <c r="W8" s="4"/>
      <c r="X8" s="3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1"/>
      <c r="GI8" s="1"/>
      <c r="GJ8" s="1"/>
    </row>
    <row r="9" spans="1:193" ht="15.75" x14ac:dyDescent="0.25">
      <c r="A9" s="20">
        <v>1.3</v>
      </c>
      <c r="B9" s="21" t="s">
        <v>60</v>
      </c>
      <c r="C9" s="22">
        <v>274833</v>
      </c>
      <c r="D9" s="22">
        <v>317354</v>
      </c>
      <c r="E9" s="22">
        <v>373063</v>
      </c>
      <c r="F9" s="22">
        <v>343612</v>
      </c>
      <c r="G9" s="22">
        <v>337931</v>
      </c>
      <c r="H9" s="22">
        <v>340194</v>
      </c>
      <c r="I9" s="22">
        <v>359874</v>
      </c>
      <c r="J9" s="22">
        <v>387628</v>
      </c>
      <c r="K9" s="22">
        <v>520117</v>
      </c>
      <c r="L9" s="22">
        <v>772561</v>
      </c>
      <c r="M9" s="22">
        <v>681946</v>
      </c>
      <c r="N9" s="22">
        <v>817104</v>
      </c>
      <c r="O9" s="22">
        <v>773152</v>
      </c>
      <c r="P9" s="22">
        <v>806992</v>
      </c>
      <c r="Q9" s="4"/>
      <c r="R9" s="4"/>
      <c r="S9" s="4"/>
      <c r="T9" s="4"/>
      <c r="U9" s="3"/>
      <c r="V9" s="4"/>
      <c r="W9" s="4"/>
      <c r="X9" s="3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1"/>
      <c r="GI9" s="1"/>
      <c r="GJ9" s="1"/>
    </row>
    <row r="10" spans="1:193" ht="15.75" x14ac:dyDescent="0.25">
      <c r="A10" s="20">
        <v>1.4</v>
      </c>
      <c r="B10" s="21" t="s">
        <v>61</v>
      </c>
      <c r="C10" s="22">
        <v>3562</v>
      </c>
      <c r="D10" s="22">
        <v>3815</v>
      </c>
      <c r="E10" s="22">
        <v>4497</v>
      </c>
      <c r="F10" s="22">
        <v>4797</v>
      </c>
      <c r="G10" s="22">
        <v>5123</v>
      </c>
      <c r="H10" s="22">
        <v>5437</v>
      </c>
      <c r="I10" s="22">
        <v>6045</v>
      </c>
      <c r="J10" s="22">
        <v>6687</v>
      </c>
      <c r="K10" s="22">
        <v>7283</v>
      </c>
      <c r="L10" s="22">
        <v>6979</v>
      </c>
      <c r="M10" s="22">
        <v>7649</v>
      </c>
      <c r="N10" s="22">
        <v>10597</v>
      </c>
      <c r="O10" s="22">
        <v>13618</v>
      </c>
      <c r="P10" s="22">
        <v>15325</v>
      </c>
      <c r="Q10" s="4"/>
      <c r="R10" s="4"/>
      <c r="S10" s="4"/>
      <c r="T10" s="4"/>
      <c r="U10" s="3"/>
      <c r="V10" s="4"/>
      <c r="W10" s="4"/>
      <c r="X10" s="3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1"/>
      <c r="GI10" s="1"/>
      <c r="GJ10" s="1"/>
    </row>
    <row r="11" spans="1:193" ht="15.75" x14ac:dyDescent="0.25">
      <c r="A11" s="23" t="s">
        <v>30</v>
      </c>
      <c r="B11" s="21" t="s">
        <v>3</v>
      </c>
      <c r="C11" s="22">
        <v>186083</v>
      </c>
      <c r="D11" s="22">
        <v>205725</v>
      </c>
      <c r="E11" s="22">
        <v>354844</v>
      </c>
      <c r="F11" s="22">
        <v>236697</v>
      </c>
      <c r="G11" s="22">
        <v>202791</v>
      </c>
      <c r="H11" s="22">
        <v>253822</v>
      </c>
      <c r="I11" s="22">
        <v>302687</v>
      </c>
      <c r="J11" s="22">
        <v>341086</v>
      </c>
      <c r="K11" s="22">
        <v>286113</v>
      </c>
      <c r="L11" s="22">
        <v>222394</v>
      </c>
      <c r="M11" s="22">
        <v>295665</v>
      </c>
      <c r="N11" s="22">
        <v>344026</v>
      </c>
      <c r="O11" s="22">
        <v>378573</v>
      </c>
      <c r="P11" s="22">
        <v>416556</v>
      </c>
      <c r="Q11" s="4"/>
      <c r="R11" s="4"/>
      <c r="S11" s="4"/>
      <c r="T11" s="4"/>
      <c r="U11" s="3"/>
      <c r="V11" s="4"/>
      <c r="W11" s="4"/>
      <c r="X11" s="3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1"/>
      <c r="GI11" s="1"/>
      <c r="GJ11" s="1"/>
    </row>
    <row r="12" spans="1:193" s="11" customFormat="1" ht="15.75" x14ac:dyDescent="0.25">
      <c r="A12" s="24"/>
      <c r="B12" s="25" t="s">
        <v>27</v>
      </c>
      <c r="C12" s="26">
        <f>C6+C11</f>
        <v>1516292</v>
      </c>
      <c r="D12" s="26">
        <f t="shared" ref="D12:E12" si="3">D6+D11</f>
        <v>1742368</v>
      </c>
      <c r="E12" s="26">
        <f t="shared" si="3"/>
        <v>1933940</v>
      </c>
      <c r="F12" s="26">
        <f t="shared" ref="F12:N12" si="4">F6+F11</f>
        <v>1848117</v>
      </c>
      <c r="G12" s="26">
        <f t="shared" si="4"/>
        <v>1831172</v>
      </c>
      <c r="H12" s="26">
        <f t="shared" si="4"/>
        <v>1948402</v>
      </c>
      <c r="I12" s="26">
        <f t="shared" si="4"/>
        <v>2219516</v>
      </c>
      <c r="J12" s="26">
        <f t="shared" si="4"/>
        <v>2330943</v>
      </c>
      <c r="K12" s="26">
        <f t="shared" si="4"/>
        <v>2624954</v>
      </c>
      <c r="L12" s="26">
        <f t="shared" si="4"/>
        <v>2914135</v>
      </c>
      <c r="M12" s="26">
        <f t="shared" si="4"/>
        <v>2955960</v>
      </c>
      <c r="N12" s="26">
        <f t="shared" si="4"/>
        <v>2868992</v>
      </c>
      <c r="O12" s="26">
        <f t="shared" ref="O12:P12" si="5">O6+O11</f>
        <v>3016881</v>
      </c>
      <c r="P12" s="26">
        <f t="shared" si="5"/>
        <v>3222521</v>
      </c>
      <c r="Q12" s="4"/>
      <c r="R12" s="4"/>
      <c r="S12" s="4"/>
      <c r="T12" s="4"/>
      <c r="U12" s="3"/>
      <c r="V12" s="4"/>
      <c r="W12" s="4"/>
      <c r="X12" s="3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0"/>
      <c r="GI12" s="10"/>
      <c r="GJ12" s="10"/>
    </row>
    <row r="13" spans="1:193" s="1" customFormat="1" ht="15.75" x14ac:dyDescent="0.25">
      <c r="A13" s="27" t="s">
        <v>31</v>
      </c>
      <c r="B13" s="28" t="s">
        <v>4</v>
      </c>
      <c r="C13" s="22">
        <v>4365135</v>
      </c>
      <c r="D13" s="22">
        <v>5082899</v>
      </c>
      <c r="E13" s="22">
        <v>5440406</v>
      </c>
      <c r="F13" s="22">
        <v>5874343</v>
      </c>
      <c r="G13" s="22">
        <v>6369703</v>
      </c>
      <c r="H13" s="22">
        <v>7031813</v>
      </c>
      <c r="I13" s="22">
        <v>7597807</v>
      </c>
      <c r="J13" s="22">
        <v>7786975</v>
      </c>
      <c r="K13" s="22">
        <v>7743996</v>
      </c>
      <c r="L13" s="22">
        <v>6721580</v>
      </c>
      <c r="M13" s="22">
        <v>6745521</v>
      </c>
      <c r="N13" s="22">
        <v>7112553</v>
      </c>
      <c r="O13" s="22">
        <v>8051853</v>
      </c>
      <c r="P13" s="22">
        <v>9023778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K13" s="2"/>
    </row>
    <row r="14" spans="1:193" ht="30" x14ac:dyDescent="0.25">
      <c r="A14" s="23" t="s">
        <v>32</v>
      </c>
      <c r="B14" s="21" t="s">
        <v>5</v>
      </c>
      <c r="C14" s="22">
        <v>398079</v>
      </c>
      <c r="D14" s="22">
        <v>416111</v>
      </c>
      <c r="E14" s="22">
        <v>375058</v>
      </c>
      <c r="F14" s="22">
        <v>431295</v>
      </c>
      <c r="G14" s="22">
        <v>556863</v>
      </c>
      <c r="H14" s="22">
        <v>579225</v>
      </c>
      <c r="I14" s="22">
        <v>667288</v>
      </c>
      <c r="J14" s="22">
        <v>714205</v>
      </c>
      <c r="K14" s="22">
        <v>741333</v>
      </c>
      <c r="L14" s="22">
        <v>761755</v>
      </c>
      <c r="M14" s="22">
        <v>902313</v>
      </c>
      <c r="N14" s="22">
        <v>866470</v>
      </c>
      <c r="O14" s="22">
        <v>977311</v>
      </c>
      <c r="P14" s="22">
        <v>1097268</v>
      </c>
      <c r="Q14" s="4"/>
      <c r="R14" s="4"/>
      <c r="S14" s="4"/>
      <c r="T14" s="4"/>
      <c r="U14" s="3"/>
      <c r="V14" s="4"/>
      <c r="W14" s="4"/>
      <c r="X14" s="3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3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3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3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1"/>
      <c r="GI14" s="1"/>
      <c r="GJ14" s="1"/>
    </row>
    <row r="15" spans="1:193" ht="15.75" x14ac:dyDescent="0.25">
      <c r="A15" s="23" t="s">
        <v>33</v>
      </c>
      <c r="B15" s="21" t="s">
        <v>6</v>
      </c>
      <c r="C15" s="22">
        <v>883766</v>
      </c>
      <c r="D15" s="22">
        <v>936950</v>
      </c>
      <c r="E15" s="22">
        <v>1242406</v>
      </c>
      <c r="F15" s="22">
        <v>1297607</v>
      </c>
      <c r="G15" s="22">
        <v>1313471</v>
      </c>
      <c r="H15" s="22">
        <v>1416292</v>
      </c>
      <c r="I15" s="22">
        <v>1592085</v>
      </c>
      <c r="J15" s="22">
        <v>1786955</v>
      </c>
      <c r="K15" s="22">
        <v>1801386</v>
      </c>
      <c r="L15" s="22">
        <v>1773944</v>
      </c>
      <c r="M15" s="22">
        <v>2411833</v>
      </c>
      <c r="N15" s="22">
        <v>3579208</v>
      </c>
      <c r="O15" s="22">
        <v>4311835</v>
      </c>
      <c r="P15" s="22">
        <v>5288170</v>
      </c>
      <c r="Q15" s="4"/>
      <c r="R15" s="4"/>
      <c r="S15" s="4"/>
      <c r="T15" s="4"/>
      <c r="U15" s="3"/>
      <c r="V15" s="4"/>
      <c r="W15" s="4"/>
      <c r="X15" s="3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3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3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3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1"/>
      <c r="GI15" s="1"/>
      <c r="GJ15" s="1"/>
    </row>
    <row r="16" spans="1:193" s="11" customFormat="1" ht="15.75" x14ac:dyDescent="0.25">
      <c r="A16" s="24"/>
      <c r="B16" s="25" t="s">
        <v>28</v>
      </c>
      <c r="C16" s="26">
        <f>+C13+C14+C15</f>
        <v>5646980</v>
      </c>
      <c r="D16" s="26">
        <f t="shared" ref="D16:E16" si="6">+D13+D14+D15</f>
        <v>6435960</v>
      </c>
      <c r="E16" s="26">
        <f t="shared" si="6"/>
        <v>7057870</v>
      </c>
      <c r="F16" s="26">
        <f t="shared" ref="F16:I16" si="7">+F13+F14+F15</f>
        <v>7603245</v>
      </c>
      <c r="G16" s="26">
        <f t="shared" si="7"/>
        <v>8240037</v>
      </c>
      <c r="H16" s="26">
        <f t="shared" si="7"/>
        <v>9027330</v>
      </c>
      <c r="I16" s="26">
        <f t="shared" si="7"/>
        <v>9857180</v>
      </c>
      <c r="J16" s="26">
        <f t="shared" ref="J16:K16" si="8">+J13+J14+J15</f>
        <v>10288135</v>
      </c>
      <c r="K16" s="26">
        <f t="shared" si="8"/>
        <v>10286715</v>
      </c>
      <c r="L16" s="26">
        <f t="shared" ref="L16:M16" si="9">+L13+L14+L15</f>
        <v>9257279</v>
      </c>
      <c r="M16" s="26">
        <f t="shared" si="9"/>
        <v>10059667</v>
      </c>
      <c r="N16" s="26">
        <f t="shared" ref="N16" si="10">+N13+N14+N15</f>
        <v>11558231</v>
      </c>
      <c r="O16" s="26">
        <f t="shared" ref="O16:P16" si="11">+O13+O14+O15</f>
        <v>13340999</v>
      </c>
      <c r="P16" s="26">
        <f t="shared" si="11"/>
        <v>15409216</v>
      </c>
      <c r="Q16" s="4"/>
      <c r="R16" s="4"/>
      <c r="S16" s="4"/>
      <c r="T16" s="4"/>
      <c r="U16" s="3"/>
      <c r="V16" s="4"/>
      <c r="W16" s="4"/>
      <c r="X16" s="3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9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9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9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0"/>
      <c r="GI16" s="10"/>
      <c r="GJ16" s="10"/>
    </row>
    <row r="17" spans="1:193" s="10" customFormat="1" ht="15.75" x14ac:dyDescent="0.25">
      <c r="A17" s="17" t="s">
        <v>34</v>
      </c>
      <c r="B17" s="18" t="s">
        <v>7</v>
      </c>
      <c r="C17" s="19">
        <f>C18+C19</f>
        <v>1192896</v>
      </c>
      <c r="D17" s="19">
        <f t="shared" ref="D17:N17" si="12">D18+D19</f>
        <v>1408869</v>
      </c>
      <c r="E17" s="19">
        <f t="shared" si="12"/>
        <v>1613980</v>
      </c>
      <c r="F17" s="19">
        <f t="shared" si="12"/>
        <v>1788266</v>
      </c>
      <c r="G17" s="19">
        <f t="shared" si="12"/>
        <v>2038604</v>
      </c>
      <c r="H17" s="19">
        <f t="shared" si="12"/>
        <v>2427074</v>
      </c>
      <c r="I17" s="19">
        <f t="shared" si="12"/>
        <v>2852400</v>
      </c>
      <c r="J17" s="19">
        <f t="shared" si="12"/>
        <v>3347891</v>
      </c>
      <c r="K17" s="19">
        <f t="shared" si="12"/>
        <v>3689725</v>
      </c>
      <c r="L17" s="19">
        <f t="shared" si="12"/>
        <v>2925294</v>
      </c>
      <c r="M17" s="19">
        <f t="shared" si="12"/>
        <v>3838870</v>
      </c>
      <c r="N17" s="19">
        <f t="shared" si="12"/>
        <v>4909535</v>
      </c>
      <c r="O17" s="19">
        <f t="shared" ref="O17:P17" si="13">O18+O19</f>
        <v>5577596</v>
      </c>
      <c r="P17" s="19">
        <f t="shared" si="13"/>
        <v>6059419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K17" s="11"/>
    </row>
    <row r="18" spans="1:193" ht="15.75" x14ac:dyDescent="0.25">
      <c r="A18" s="20">
        <v>6.1</v>
      </c>
      <c r="B18" s="21" t="s">
        <v>8</v>
      </c>
      <c r="C18" s="22">
        <v>1013998</v>
      </c>
      <c r="D18" s="22">
        <v>1218821</v>
      </c>
      <c r="E18" s="22">
        <v>1426253</v>
      </c>
      <c r="F18" s="22">
        <v>1590891</v>
      </c>
      <c r="G18" s="22">
        <v>1811067</v>
      </c>
      <c r="H18" s="22">
        <v>2173907</v>
      </c>
      <c r="I18" s="22">
        <v>2567864</v>
      </c>
      <c r="J18" s="22">
        <v>3014319</v>
      </c>
      <c r="K18" s="22">
        <v>3345571</v>
      </c>
      <c r="L18" s="22">
        <v>2773251</v>
      </c>
      <c r="M18" s="22">
        <v>3552023</v>
      </c>
      <c r="N18" s="22">
        <v>4399533</v>
      </c>
      <c r="O18" s="22">
        <v>4989703</v>
      </c>
      <c r="P18" s="22">
        <v>5429039</v>
      </c>
      <c r="Q18" s="4"/>
      <c r="R18" s="4"/>
      <c r="S18" s="4"/>
      <c r="T18" s="4"/>
      <c r="U18" s="3"/>
      <c r="V18" s="4"/>
      <c r="W18" s="4"/>
      <c r="X18" s="3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1"/>
      <c r="GI18" s="1"/>
      <c r="GJ18" s="1"/>
    </row>
    <row r="19" spans="1:193" ht="15.75" x14ac:dyDescent="0.25">
      <c r="A19" s="20">
        <v>6.2</v>
      </c>
      <c r="B19" s="21" t="s">
        <v>9</v>
      </c>
      <c r="C19" s="22">
        <v>178898</v>
      </c>
      <c r="D19" s="22">
        <v>190048</v>
      </c>
      <c r="E19" s="22">
        <v>187727</v>
      </c>
      <c r="F19" s="22">
        <v>197375</v>
      </c>
      <c r="G19" s="22">
        <v>227537</v>
      </c>
      <c r="H19" s="22">
        <v>253167</v>
      </c>
      <c r="I19" s="22">
        <v>284536</v>
      </c>
      <c r="J19" s="22">
        <v>333572</v>
      </c>
      <c r="K19" s="22">
        <v>344154</v>
      </c>
      <c r="L19" s="22">
        <v>152043</v>
      </c>
      <c r="M19" s="22">
        <v>286847</v>
      </c>
      <c r="N19" s="22">
        <v>510002</v>
      </c>
      <c r="O19" s="22">
        <v>587893</v>
      </c>
      <c r="P19" s="22">
        <v>630380</v>
      </c>
      <c r="Q19" s="4"/>
      <c r="R19" s="4"/>
      <c r="S19" s="4"/>
      <c r="T19" s="4"/>
      <c r="U19" s="3"/>
      <c r="V19" s="4"/>
      <c r="W19" s="4"/>
      <c r="X19" s="3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1"/>
      <c r="GI19" s="1"/>
      <c r="GJ19" s="1"/>
    </row>
    <row r="20" spans="1:193" s="10" customFormat="1" ht="30" x14ac:dyDescent="0.25">
      <c r="A20" s="29" t="s">
        <v>35</v>
      </c>
      <c r="B20" s="30" t="s">
        <v>10</v>
      </c>
      <c r="C20" s="19">
        <f>SUM(C21:C27)</f>
        <v>691812</v>
      </c>
      <c r="D20" s="19">
        <f t="shared" ref="D20:E20" si="14">SUM(D21:D27)</f>
        <v>811658</v>
      </c>
      <c r="E20" s="19">
        <f t="shared" si="14"/>
        <v>934918</v>
      </c>
      <c r="F20" s="19">
        <f t="shared" ref="F20:N20" si="15">SUM(F21:F27)</f>
        <v>1066333</v>
      </c>
      <c r="G20" s="19">
        <f t="shared" si="15"/>
        <v>1279863</v>
      </c>
      <c r="H20" s="19">
        <f t="shared" si="15"/>
        <v>1300142</v>
      </c>
      <c r="I20" s="19">
        <f t="shared" si="15"/>
        <v>1239123</v>
      </c>
      <c r="J20" s="19">
        <f t="shared" si="15"/>
        <v>1316963</v>
      </c>
      <c r="K20" s="19">
        <f t="shared" si="15"/>
        <v>1527024</v>
      </c>
      <c r="L20" s="19">
        <f t="shared" si="15"/>
        <v>1633705</v>
      </c>
      <c r="M20" s="19">
        <f t="shared" si="15"/>
        <v>2071100</v>
      </c>
      <c r="N20" s="19">
        <f t="shared" si="15"/>
        <v>2419088</v>
      </c>
      <c r="O20" s="19">
        <f t="shared" ref="O20:P20" si="16">SUM(O21:O27)</f>
        <v>2691772</v>
      </c>
      <c r="P20" s="19">
        <f t="shared" si="16"/>
        <v>2996527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K20" s="11"/>
    </row>
    <row r="21" spans="1:193" ht="15.75" x14ac:dyDescent="0.25">
      <c r="A21" s="20">
        <v>7.1</v>
      </c>
      <c r="B21" s="21" t="s">
        <v>11</v>
      </c>
      <c r="C21" s="22">
        <v>14143</v>
      </c>
      <c r="D21" s="22">
        <v>16517</v>
      </c>
      <c r="E21" s="22">
        <v>17200</v>
      </c>
      <c r="F21" s="22">
        <v>21899</v>
      </c>
      <c r="G21" s="22">
        <v>26150</v>
      </c>
      <c r="H21" s="22">
        <v>28697</v>
      </c>
      <c r="I21" s="22">
        <v>29326</v>
      </c>
      <c r="J21" s="22">
        <v>31272</v>
      </c>
      <c r="K21" s="22">
        <v>45468</v>
      </c>
      <c r="L21" s="22">
        <v>42771</v>
      </c>
      <c r="M21" s="22">
        <v>26206</v>
      </c>
      <c r="N21" s="22">
        <v>44937</v>
      </c>
      <c r="O21" s="22">
        <v>53049</v>
      </c>
      <c r="P21" s="22">
        <v>59000</v>
      </c>
      <c r="Q21" s="4"/>
      <c r="R21" s="4"/>
      <c r="S21" s="4"/>
      <c r="T21" s="4"/>
      <c r="U21" s="3"/>
      <c r="V21" s="4"/>
      <c r="W21" s="4"/>
      <c r="X21" s="3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1"/>
      <c r="GI21" s="1"/>
      <c r="GJ21" s="1"/>
    </row>
    <row r="22" spans="1:193" ht="15.75" x14ac:dyDescent="0.25">
      <c r="A22" s="20">
        <v>7.2</v>
      </c>
      <c r="B22" s="21" t="s">
        <v>69</v>
      </c>
      <c r="C22" s="22">
        <v>218488</v>
      </c>
      <c r="D22" s="22">
        <v>259840</v>
      </c>
      <c r="E22" s="22">
        <v>287156</v>
      </c>
      <c r="F22" s="22">
        <v>307003</v>
      </c>
      <c r="G22" s="22">
        <v>332684</v>
      </c>
      <c r="H22" s="22">
        <v>367267</v>
      </c>
      <c r="I22" s="22">
        <v>397192</v>
      </c>
      <c r="J22" s="22">
        <v>434382</v>
      </c>
      <c r="K22" s="22">
        <v>454836</v>
      </c>
      <c r="L22" s="22">
        <v>384895</v>
      </c>
      <c r="M22" s="22">
        <v>594116</v>
      </c>
      <c r="N22" s="22">
        <v>614367</v>
      </c>
      <c r="O22" s="22">
        <v>652040</v>
      </c>
      <c r="P22" s="22">
        <v>703493</v>
      </c>
      <c r="Q22" s="4"/>
      <c r="R22" s="4"/>
      <c r="S22" s="4"/>
      <c r="T22" s="4"/>
      <c r="U22" s="3"/>
      <c r="V22" s="4"/>
      <c r="W22" s="4"/>
      <c r="X22" s="3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1"/>
      <c r="GI22" s="1"/>
      <c r="GJ22" s="1"/>
    </row>
    <row r="23" spans="1:193" ht="15.75" x14ac:dyDescent="0.25">
      <c r="A23" s="20">
        <v>7.3</v>
      </c>
      <c r="B23" s="21" t="s">
        <v>12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4"/>
      <c r="R23" s="4"/>
      <c r="S23" s="4"/>
      <c r="T23" s="4"/>
      <c r="U23" s="3"/>
      <c r="V23" s="4"/>
      <c r="W23" s="4"/>
      <c r="X23" s="3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1"/>
      <c r="GI23" s="1"/>
      <c r="GJ23" s="1"/>
    </row>
    <row r="24" spans="1:193" ht="15.75" x14ac:dyDescent="0.25">
      <c r="A24" s="20">
        <v>7.4</v>
      </c>
      <c r="B24" s="21" t="s">
        <v>13</v>
      </c>
      <c r="C24" s="22">
        <v>652</v>
      </c>
      <c r="D24" s="22">
        <v>1229</v>
      </c>
      <c r="E24" s="22">
        <v>2158</v>
      </c>
      <c r="F24" s="22">
        <v>2281</v>
      </c>
      <c r="G24" s="22">
        <v>4357</v>
      </c>
      <c r="H24" s="22">
        <v>7513</v>
      </c>
      <c r="I24" s="22">
        <v>8347</v>
      </c>
      <c r="J24" s="22">
        <v>4645</v>
      </c>
      <c r="K24" s="22">
        <v>8972</v>
      </c>
      <c r="L24" s="22">
        <v>6200</v>
      </c>
      <c r="M24" s="22">
        <v>5509</v>
      </c>
      <c r="N24" s="22">
        <v>8482</v>
      </c>
      <c r="O24" s="22">
        <v>10633</v>
      </c>
      <c r="P24" s="22">
        <v>13360</v>
      </c>
      <c r="Q24" s="4"/>
      <c r="R24" s="4"/>
      <c r="S24" s="4"/>
      <c r="T24" s="4"/>
      <c r="U24" s="3"/>
      <c r="V24" s="4"/>
      <c r="W24" s="4"/>
      <c r="X24" s="3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1"/>
      <c r="GI24" s="1"/>
      <c r="GJ24" s="1"/>
    </row>
    <row r="25" spans="1:193" ht="15.75" x14ac:dyDescent="0.25">
      <c r="A25" s="20">
        <v>7.5</v>
      </c>
      <c r="B25" s="21" t="s">
        <v>14</v>
      </c>
      <c r="C25" s="22">
        <v>0</v>
      </c>
      <c r="D25" s="22">
        <v>0</v>
      </c>
      <c r="E25" s="22">
        <v>0</v>
      </c>
      <c r="F25" s="22">
        <v>-76</v>
      </c>
      <c r="G25" s="22">
        <v>-34</v>
      </c>
      <c r="H25" s="22">
        <v>7492</v>
      </c>
      <c r="I25" s="22">
        <v>7919</v>
      </c>
      <c r="J25" s="22">
        <v>4774</v>
      </c>
      <c r="K25" s="22">
        <v>11362</v>
      </c>
      <c r="L25" s="22">
        <v>2546</v>
      </c>
      <c r="M25" s="22">
        <v>5784</v>
      </c>
      <c r="N25" s="22">
        <v>14421</v>
      </c>
      <c r="O25" s="22">
        <v>15271</v>
      </c>
      <c r="P25" s="22">
        <v>16476</v>
      </c>
      <c r="Q25" s="4"/>
      <c r="R25" s="4"/>
      <c r="S25" s="4"/>
      <c r="T25" s="4"/>
      <c r="U25" s="3"/>
      <c r="V25" s="4"/>
      <c r="W25" s="4"/>
      <c r="X25" s="3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1"/>
      <c r="GI25" s="1"/>
      <c r="GJ25" s="1"/>
    </row>
    <row r="26" spans="1:193" ht="15.75" x14ac:dyDescent="0.25">
      <c r="A26" s="20">
        <v>7.6</v>
      </c>
      <c r="B26" s="21" t="s">
        <v>15</v>
      </c>
      <c r="C26" s="22">
        <v>579</v>
      </c>
      <c r="D26" s="22">
        <v>678</v>
      </c>
      <c r="E26" s="22">
        <v>735</v>
      </c>
      <c r="F26" s="22">
        <v>646</v>
      </c>
      <c r="G26" s="22">
        <v>712</v>
      </c>
      <c r="H26" s="22">
        <v>1437</v>
      </c>
      <c r="I26" s="22">
        <v>191</v>
      </c>
      <c r="J26" s="22">
        <v>2265</v>
      </c>
      <c r="K26" s="22">
        <v>1120</v>
      </c>
      <c r="L26" s="22">
        <v>712</v>
      </c>
      <c r="M26" s="22">
        <v>1112</v>
      </c>
      <c r="N26" s="22">
        <v>1060</v>
      </c>
      <c r="O26" s="22">
        <v>1106</v>
      </c>
      <c r="P26" s="22">
        <v>1195</v>
      </c>
      <c r="Q26" s="4"/>
      <c r="R26" s="4"/>
      <c r="S26" s="4"/>
      <c r="T26" s="4"/>
      <c r="U26" s="3"/>
      <c r="V26" s="4"/>
      <c r="W26" s="4"/>
      <c r="X26" s="3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1"/>
      <c r="GI26" s="1"/>
      <c r="GJ26" s="1"/>
    </row>
    <row r="27" spans="1:193" ht="30" x14ac:dyDescent="0.25">
      <c r="A27" s="20">
        <v>7.7</v>
      </c>
      <c r="B27" s="21" t="s">
        <v>16</v>
      </c>
      <c r="C27" s="22">
        <v>457950</v>
      </c>
      <c r="D27" s="22">
        <v>533394</v>
      </c>
      <c r="E27" s="22">
        <v>627669</v>
      </c>
      <c r="F27" s="22">
        <v>734580</v>
      </c>
      <c r="G27" s="22">
        <v>915994</v>
      </c>
      <c r="H27" s="22">
        <v>887736</v>
      </c>
      <c r="I27" s="22">
        <v>796148</v>
      </c>
      <c r="J27" s="22">
        <v>839625</v>
      </c>
      <c r="K27" s="22">
        <v>1005266</v>
      </c>
      <c r="L27" s="22">
        <v>1196581</v>
      </c>
      <c r="M27" s="22">
        <v>1438373</v>
      </c>
      <c r="N27" s="22">
        <v>1735821</v>
      </c>
      <c r="O27" s="22">
        <v>1959673</v>
      </c>
      <c r="P27" s="22">
        <v>2203003</v>
      </c>
      <c r="Q27" s="4"/>
      <c r="R27" s="4"/>
      <c r="S27" s="4"/>
      <c r="T27" s="4"/>
      <c r="U27" s="3"/>
      <c r="V27" s="4"/>
      <c r="W27" s="4"/>
      <c r="X27" s="3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1"/>
      <c r="GI27" s="1"/>
      <c r="GJ27" s="1"/>
    </row>
    <row r="28" spans="1:193" ht="15.75" x14ac:dyDescent="0.25">
      <c r="A28" s="23" t="s">
        <v>36</v>
      </c>
      <c r="B28" s="21" t="s">
        <v>17</v>
      </c>
      <c r="C28" s="22">
        <v>293318</v>
      </c>
      <c r="D28" s="22">
        <v>320421</v>
      </c>
      <c r="E28" s="22">
        <v>359123</v>
      </c>
      <c r="F28" s="22">
        <v>402327</v>
      </c>
      <c r="G28" s="22">
        <v>447958</v>
      </c>
      <c r="H28" s="22">
        <v>453355</v>
      </c>
      <c r="I28" s="22">
        <v>531140</v>
      </c>
      <c r="J28" s="22">
        <v>590718</v>
      </c>
      <c r="K28" s="22">
        <v>643719</v>
      </c>
      <c r="L28" s="22">
        <v>755033</v>
      </c>
      <c r="M28" s="22">
        <v>731616</v>
      </c>
      <c r="N28" s="22">
        <v>874840</v>
      </c>
      <c r="O28" s="22">
        <v>961449</v>
      </c>
      <c r="P28" s="22">
        <v>1103150</v>
      </c>
      <c r="Q28" s="4"/>
      <c r="R28" s="4"/>
      <c r="S28" s="4"/>
      <c r="T28" s="4"/>
      <c r="U28" s="3"/>
      <c r="V28" s="4"/>
      <c r="W28" s="4"/>
      <c r="X28" s="3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1"/>
      <c r="GI28" s="1"/>
      <c r="GJ28" s="1"/>
    </row>
    <row r="29" spans="1:193" ht="30" x14ac:dyDescent="0.25">
      <c r="A29" s="23" t="s">
        <v>37</v>
      </c>
      <c r="B29" s="21" t="s">
        <v>18</v>
      </c>
      <c r="C29" s="22">
        <v>588825</v>
      </c>
      <c r="D29" s="22">
        <v>671182</v>
      </c>
      <c r="E29" s="22">
        <v>739177</v>
      </c>
      <c r="F29" s="22">
        <v>814718</v>
      </c>
      <c r="G29" s="22">
        <v>843880</v>
      </c>
      <c r="H29" s="22">
        <v>911476</v>
      </c>
      <c r="I29" s="22">
        <v>1009473</v>
      </c>
      <c r="J29" s="22">
        <v>1107176</v>
      </c>
      <c r="K29" s="22">
        <v>1162775</v>
      </c>
      <c r="L29" s="22">
        <v>1177717</v>
      </c>
      <c r="M29" s="22">
        <v>1346078</v>
      </c>
      <c r="N29" s="22">
        <v>1502299</v>
      </c>
      <c r="O29" s="22">
        <v>1723962</v>
      </c>
      <c r="P29" s="22">
        <v>1932467</v>
      </c>
      <c r="Q29" s="4"/>
      <c r="R29" s="4"/>
      <c r="S29" s="4"/>
      <c r="T29" s="4"/>
      <c r="U29" s="3"/>
      <c r="V29" s="4"/>
      <c r="W29" s="4"/>
      <c r="X29" s="3"/>
      <c r="Y29" s="5"/>
      <c r="Z29" s="5"/>
      <c r="AA29" s="5"/>
      <c r="AB29" s="5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1"/>
      <c r="GI29" s="1"/>
      <c r="GJ29" s="1"/>
    </row>
    <row r="30" spans="1:193" ht="15.75" x14ac:dyDescent="0.25">
      <c r="A30" s="23" t="s">
        <v>38</v>
      </c>
      <c r="B30" s="21" t="s">
        <v>53</v>
      </c>
      <c r="C30" s="22">
        <v>404304</v>
      </c>
      <c r="D30" s="22">
        <v>315475</v>
      </c>
      <c r="E30" s="22">
        <v>483906</v>
      </c>
      <c r="F30" s="22">
        <v>609171</v>
      </c>
      <c r="G30" s="22">
        <v>666095</v>
      </c>
      <c r="H30" s="22">
        <v>758235</v>
      </c>
      <c r="I30" s="22">
        <v>942142</v>
      </c>
      <c r="J30" s="22">
        <v>904938</v>
      </c>
      <c r="K30" s="22">
        <v>845292</v>
      </c>
      <c r="L30" s="22">
        <v>967103</v>
      </c>
      <c r="M30" s="22">
        <v>1095936</v>
      </c>
      <c r="N30" s="22">
        <v>1155663</v>
      </c>
      <c r="O30" s="22">
        <v>1291082</v>
      </c>
      <c r="P30" s="22">
        <v>1481653</v>
      </c>
      <c r="Q30" s="4"/>
      <c r="R30" s="4"/>
      <c r="S30" s="4"/>
      <c r="T30" s="4"/>
      <c r="U30" s="3"/>
      <c r="V30" s="4"/>
      <c r="W30" s="4"/>
      <c r="X30" s="3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1"/>
      <c r="GI30" s="1"/>
      <c r="GJ30" s="1"/>
    </row>
    <row r="31" spans="1:193" ht="15.75" x14ac:dyDescent="0.25">
      <c r="A31" s="23" t="s">
        <v>39</v>
      </c>
      <c r="B31" s="21" t="s">
        <v>19</v>
      </c>
      <c r="C31" s="22">
        <v>498856</v>
      </c>
      <c r="D31" s="22">
        <v>668947</v>
      </c>
      <c r="E31" s="22">
        <v>827478</v>
      </c>
      <c r="F31" s="22">
        <v>916516</v>
      </c>
      <c r="G31" s="22">
        <v>1011892</v>
      </c>
      <c r="H31" s="22">
        <v>1157852</v>
      </c>
      <c r="I31" s="22">
        <v>1385774</v>
      </c>
      <c r="J31" s="22">
        <v>1449594</v>
      </c>
      <c r="K31" s="22">
        <v>1565015</v>
      </c>
      <c r="L31" s="22">
        <v>1588028</v>
      </c>
      <c r="M31" s="22">
        <v>1801231</v>
      </c>
      <c r="N31" s="22">
        <v>1896536</v>
      </c>
      <c r="O31" s="22">
        <v>2090183</v>
      </c>
      <c r="P31" s="22">
        <v>2307994</v>
      </c>
      <c r="Q31" s="4"/>
      <c r="R31" s="4"/>
      <c r="S31" s="4"/>
      <c r="T31" s="4"/>
      <c r="U31" s="3"/>
      <c r="V31" s="4"/>
      <c r="W31" s="4"/>
      <c r="X31" s="3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1"/>
      <c r="GI31" s="1"/>
      <c r="GJ31" s="1"/>
    </row>
    <row r="32" spans="1:193" s="11" customFormat="1" ht="15.75" x14ac:dyDescent="0.25">
      <c r="A32" s="24"/>
      <c r="B32" s="25" t="s">
        <v>29</v>
      </c>
      <c r="C32" s="26">
        <f>C17+C20+C28+C29+C30+C31</f>
        <v>3670011</v>
      </c>
      <c r="D32" s="26">
        <f t="shared" ref="D32:N32" si="17">D17+D20+D28+D29+D30+D31</f>
        <v>4196552</v>
      </c>
      <c r="E32" s="26">
        <f t="shared" si="17"/>
        <v>4958582</v>
      </c>
      <c r="F32" s="26">
        <f t="shared" si="17"/>
        <v>5597331</v>
      </c>
      <c r="G32" s="26">
        <f t="shared" si="17"/>
        <v>6288292</v>
      </c>
      <c r="H32" s="26">
        <f t="shared" si="17"/>
        <v>7008134</v>
      </c>
      <c r="I32" s="26">
        <f t="shared" si="17"/>
        <v>7960052</v>
      </c>
      <c r="J32" s="26">
        <f t="shared" si="17"/>
        <v>8717280</v>
      </c>
      <c r="K32" s="26">
        <f t="shared" si="17"/>
        <v>9433550</v>
      </c>
      <c r="L32" s="26">
        <f t="shared" si="17"/>
        <v>9046880</v>
      </c>
      <c r="M32" s="26">
        <f t="shared" si="17"/>
        <v>10884831</v>
      </c>
      <c r="N32" s="26">
        <f t="shared" si="17"/>
        <v>12757961</v>
      </c>
      <c r="O32" s="26">
        <f t="shared" ref="O32:P32" si="18">O17+O20+O28+O29+O30+O31</f>
        <v>14336044</v>
      </c>
      <c r="P32" s="26">
        <f t="shared" si="18"/>
        <v>15881210</v>
      </c>
      <c r="Q32" s="4"/>
      <c r="R32" s="4"/>
      <c r="S32" s="4"/>
      <c r="T32" s="4"/>
      <c r="U32" s="3"/>
      <c r="V32" s="4"/>
      <c r="W32" s="4"/>
      <c r="X32" s="3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0"/>
      <c r="GI32" s="10"/>
      <c r="GJ32" s="10"/>
    </row>
    <row r="33" spans="1:193" s="10" customFormat="1" ht="15.75" x14ac:dyDescent="0.25">
      <c r="A33" s="17" t="s">
        <v>26</v>
      </c>
      <c r="B33" s="31" t="s">
        <v>40</v>
      </c>
      <c r="C33" s="19">
        <f t="shared" ref="C33:N33" si="19">C6+C11+C13+C14+C15+C17+C20+C28+C29+C30+C31</f>
        <v>10833283</v>
      </c>
      <c r="D33" s="19">
        <f t="shared" si="19"/>
        <v>12374880</v>
      </c>
      <c r="E33" s="19">
        <f t="shared" si="19"/>
        <v>13950392</v>
      </c>
      <c r="F33" s="19">
        <f t="shared" si="19"/>
        <v>15048693</v>
      </c>
      <c r="G33" s="19">
        <f t="shared" si="19"/>
        <v>16359501</v>
      </c>
      <c r="H33" s="19">
        <f t="shared" si="19"/>
        <v>17983866</v>
      </c>
      <c r="I33" s="19">
        <f t="shared" si="19"/>
        <v>20036748</v>
      </c>
      <c r="J33" s="19">
        <f t="shared" si="19"/>
        <v>21336358</v>
      </c>
      <c r="K33" s="19">
        <f t="shared" si="19"/>
        <v>22345219</v>
      </c>
      <c r="L33" s="19">
        <f t="shared" si="19"/>
        <v>21218294</v>
      </c>
      <c r="M33" s="19">
        <f t="shared" si="19"/>
        <v>23900458</v>
      </c>
      <c r="N33" s="19">
        <f t="shared" si="19"/>
        <v>27185184</v>
      </c>
      <c r="O33" s="19">
        <f t="shared" ref="O33:P33" si="20">O6+O11+O13+O14+O15+O17+O20+O28+O29+O30+O31</f>
        <v>30693924</v>
      </c>
      <c r="P33" s="19">
        <f t="shared" si="20"/>
        <v>34512947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K33" s="11"/>
    </row>
    <row r="34" spans="1:193" ht="15.75" x14ac:dyDescent="0.25">
      <c r="A34" s="32" t="s">
        <v>42</v>
      </c>
      <c r="B34" s="33" t="s">
        <v>24</v>
      </c>
      <c r="C34" s="22">
        <v>919682</v>
      </c>
      <c r="D34" s="22">
        <v>1067367</v>
      </c>
      <c r="E34" s="22">
        <v>1217857</v>
      </c>
      <c r="F34" s="22">
        <v>1392111</v>
      </c>
      <c r="G34" s="22">
        <v>1633720</v>
      </c>
      <c r="H34" s="22">
        <v>1757054</v>
      </c>
      <c r="I34" s="22">
        <v>2232084</v>
      </c>
      <c r="J34" s="22">
        <v>1890978</v>
      </c>
      <c r="K34" s="22">
        <v>1824252</v>
      </c>
      <c r="L34" s="22">
        <v>1751462</v>
      </c>
      <c r="M34" s="22">
        <v>2141050</v>
      </c>
      <c r="N34" s="22">
        <v>2598158</v>
      </c>
      <c r="O34" s="22">
        <v>3176226</v>
      </c>
      <c r="P34" s="22">
        <v>3896777</v>
      </c>
      <c r="Q34" s="4"/>
      <c r="R34" s="4"/>
      <c r="S34" s="4"/>
      <c r="T34" s="4"/>
      <c r="U34" s="3"/>
      <c r="V34" s="4"/>
      <c r="W34" s="4"/>
      <c r="X34" s="3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</row>
    <row r="35" spans="1:193" ht="15.75" x14ac:dyDescent="0.25">
      <c r="A35" s="32" t="s">
        <v>43</v>
      </c>
      <c r="B35" s="33" t="s">
        <v>23</v>
      </c>
      <c r="C35" s="22">
        <v>220207</v>
      </c>
      <c r="D35" s="22">
        <v>280963</v>
      </c>
      <c r="E35" s="22">
        <v>260811</v>
      </c>
      <c r="F35" s="22">
        <v>296913</v>
      </c>
      <c r="G35" s="22">
        <v>276921</v>
      </c>
      <c r="H35" s="22">
        <v>228434</v>
      </c>
      <c r="I35" s="22">
        <v>246620</v>
      </c>
      <c r="J35" s="22">
        <v>194592</v>
      </c>
      <c r="K35" s="22">
        <v>243181</v>
      </c>
      <c r="L35" s="22">
        <v>408080</v>
      </c>
      <c r="M35" s="22">
        <v>544860</v>
      </c>
      <c r="N35" s="22">
        <v>516348</v>
      </c>
      <c r="O35" s="22">
        <v>570362</v>
      </c>
      <c r="P35" s="22">
        <v>585271</v>
      </c>
      <c r="Q35" s="4"/>
      <c r="R35" s="4"/>
      <c r="S35" s="4"/>
      <c r="T35" s="4"/>
      <c r="U35" s="3"/>
      <c r="V35" s="4"/>
      <c r="W35" s="4"/>
      <c r="X35" s="3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</row>
    <row r="36" spans="1:193" s="11" customFormat="1" ht="15.75" x14ac:dyDescent="0.25">
      <c r="A36" s="34" t="s">
        <v>44</v>
      </c>
      <c r="B36" s="35" t="s">
        <v>54</v>
      </c>
      <c r="C36" s="26">
        <f>C33+C34-C35</f>
        <v>11532758</v>
      </c>
      <c r="D36" s="26">
        <f t="shared" ref="D36:E36" si="21">D33+D34-D35</f>
        <v>13161284</v>
      </c>
      <c r="E36" s="26">
        <f t="shared" si="21"/>
        <v>14907438</v>
      </c>
      <c r="F36" s="26">
        <f t="shared" ref="F36:N36" si="22">F33+F34-F35</f>
        <v>16143891</v>
      </c>
      <c r="G36" s="26">
        <f t="shared" si="22"/>
        <v>17716300</v>
      </c>
      <c r="H36" s="26">
        <f t="shared" si="22"/>
        <v>19512486</v>
      </c>
      <c r="I36" s="26">
        <f t="shared" si="22"/>
        <v>22022212</v>
      </c>
      <c r="J36" s="26">
        <f t="shared" si="22"/>
        <v>23032744</v>
      </c>
      <c r="K36" s="26">
        <f t="shared" si="22"/>
        <v>23926290</v>
      </c>
      <c r="L36" s="26">
        <f t="shared" si="22"/>
        <v>22561676</v>
      </c>
      <c r="M36" s="26">
        <f t="shared" si="22"/>
        <v>25496648</v>
      </c>
      <c r="N36" s="26">
        <f t="shared" si="22"/>
        <v>29266994</v>
      </c>
      <c r="O36" s="26">
        <f t="shared" ref="O36:P36" si="23">O33+O34-O35</f>
        <v>33299788</v>
      </c>
      <c r="P36" s="26">
        <f t="shared" si="23"/>
        <v>37824453</v>
      </c>
      <c r="Q36" s="4"/>
      <c r="R36" s="4"/>
      <c r="S36" s="4"/>
      <c r="T36" s="4"/>
      <c r="U36" s="3"/>
      <c r="V36" s="4"/>
      <c r="W36" s="4"/>
      <c r="X36" s="3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</row>
    <row r="37" spans="1:193" ht="15.75" x14ac:dyDescent="0.25">
      <c r="A37" s="32" t="s">
        <v>45</v>
      </c>
      <c r="B37" s="33" t="s">
        <v>41</v>
      </c>
      <c r="C37" s="36">
        <v>101640</v>
      </c>
      <c r="D37" s="36">
        <v>102980</v>
      </c>
      <c r="E37" s="36">
        <v>104320</v>
      </c>
      <c r="F37" s="36">
        <v>105650</v>
      </c>
      <c r="G37" s="36">
        <v>106990</v>
      </c>
      <c r="H37" s="36">
        <v>108300</v>
      </c>
      <c r="I37" s="36">
        <v>109590</v>
      </c>
      <c r="J37" s="36">
        <v>110880</v>
      </c>
      <c r="K37" s="36">
        <v>112170</v>
      </c>
      <c r="L37" s="36">
        <v>113460</v>
      </c>
      <c r="M37" s="36">
        <v>114680</v>
      </c>
      <c r="N37" s="36">
        <v>115870</v>
      </c>
      <c r="O37" s="36">
        <v>117060</v>
      </c>
      <c r="P37" s="36">
        <v>118240</v>
      </c>
      <c r="Y37" s="1"/>
      <c r="Z37" s="1"/>
      <c r="AA37" s="1"/>
      <c r="AB37" s="1"/>
    </row>
    <row r="38" spans="1:193" s="11" customFormat="1" ht="15.75" x14ac:dyDescent="0.25">
      <c r="A38" s="34" t="s">
        <v>46</v>
      </c>
      <c r="B38" s="35" t="s">
        <v>57</v>
      </c>
      <c r="C38" s="26">
        <f>C36/C37*1000</f>
        <v>113466.72569854389</v>
      </c>
      <c r="D38" s="26">
        <f t="shared" ref="D38:E38" si="24">D36/D37*1000</f>
        <v>127804.2726743057</v>
      </c>
      <c r="E38" s="26">
        <f t="shared" si="24"/>
        <v>142901.05444785277</v>
      </c>
      <c r="F38" s="26">
        <f t="shared" ref="F38:N38" si="25">F36/F37*1000</f>
        <v>152805.40463795551</v>
      </c>
      <c r="G38" s="26">
        <f t="shared" si="25"/>
        <v>165588.37274511639</v>
      </c>
      <c r="H38" s="26">
        <f t="shared" si="25"/>
        <v>180170.69252077563</v>
      </c>
      <c r="I38" s="26">
        <f t="shared" si="25"/>
        <v>200950.92617939593</v>
      </c>
      <c r="J38" s="26">
        <f t="shared" si="25"/>
        <v>207726.76767676769</v>
      </c>
      <c r="K38" s="26">
        <f t="shared" si="25"/>
        <v>213303.82455201924</v>
      </c>
      <c r="L38" s="26">
        <f t="shared" si="25"/>
        <v>198851.36612021859</v>
      </c>
      <c r="M38" s="26">
        <f t="shared" si="25"/>
        <v>222328.63620509245</v>
      </c>
      <c r="N38" s="26">
        <f t="shared" si="25"/>
        <v>252584.74152066972</v>
      </c>
      <c r="O38" s="26">
        <f t="shared" ref="O38:P38" si="26">O36/O37*1000</f>
        <v>284467.69178199215</v>
      </c>
      <c r="P38" s="26">
        <f t="shared" si="26"/>
        <v>319895.57679296349</v>
      </c>
      <c r="Q38" s="2"/>
      <c r="R38" s="2"/>
      <c r="S38" s="2"/>
      <c r="T38" s="2"/>
      <c r="U38" s="1"/>
      <c r="V38" s="2"/>
      <c r="W38" s="2"/>
      <c r="X38" s="3"/>
      <c r="Y38" s="3"/>
      <c r="Z38" s="3"/>
      <c r="AA38" s="3"/>
      <c r="AB38" s="3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CC38" s="12"/>
      <c r="CD38" s="12"/>
      <c r="CE38" s="12"/>
      <c r="CF38" s="12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</row>
    <row r="39" spans="1:193" x14ac:dyDescent="0.25">
      <c r="A39" s="2" t="s">
        <v>77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8" max="1048575" man="1"/>
    <brk id="40" max="1048575" man="1"/>
    <brk id="56" max="1048575" man="1"/>
    <brk id="120" max="95" man="1"/>
    <brk id="156" max="1048575" man="1"/>
    <brk id="180" max="1048575" man="1"/>
    <brk id="188" max="9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S39"/>
  <sheetViews>
    <sheetView tabSelected="1" zoomScale="78" zoomScaleNormal="78" zoomScaleSheetLayoutView="100" workbookViewId="0">
      <pane xSplit="2" ySplit="5" topLeftCell="C6" activePane="bottomRight" state="frozen"/>
      <selection activeCell="S30" sqref="S30"/>
      <selection pane="topRight" activeCell="S30" sqref="S30"/>
      <selection pane="bottomLeft" activeCell="S30" sqref="S30"/>
      <selection pane="bottomRight" activeCell="S30" sqref="S30"/>
    </sheetView>
  </sheetViews>
  <sheetFormatPr defaultColWidth="8.85546875" defaultRowHeight="15" x14ac:dyDescent="0.25"/>
  <cols>
    <col min="1" max="1" width="11" style="2" customWidth="1"/>
    <col min="2" max="2" width="36.140625" style="2" customWidth="1"/>
    <col min="3" max="6" width="11.140625" style="2" customWidth="1"/>
    <col min="7" max="16" width="11.85546875" style="1" customWidth="1"/>
    <col min="17" max="17" width="11.7109375" style="1" customWidth="1"/>
    <col min="18" max="18" width="9.140625" style="2" customWidth="1"/>
    <col min="19" max="19" width="10.85546875" style="2" customWidth="1"/>
    <col min="20" max="20" width="10.85546875" style="1" customWidth="1"/>
    <col min="21" max="21" width="11" style="2" customWidth="1"/>
    <col min="22" max="24" width="11.42578125" style="2" customWidth="1"/>
    <col min="25" max="52" width="9.140625" style="2" customWidth="1"/>
    <col min="53" max="53" width="12.42578125" style="2" customWidth="1"/>
    <col min="54" max="75" width="9.140625" style="2" customWidth="1"/>
    <col min="76" max="76" width="12.140625" style="2" customWidth="1"/>
    <col min="77" max="80" width="9.140625" style="2" customWidth="1"/>
    <col min="81" max="85" width="9.140625" style="2" hidden="1" customWidth="1"/>
    <col min="86" max="86" width="9.140625" style="2" customWidth="1"/>
    <col min="87" max="91" width="9.140625" style="2" hidden="1" customWidth="1"/>
    <col min="92" max="92" width="9.140625" style="2" customWidth="1"/>
    <col min="93" max="97" width="9.140625" style="2" hidden="1" customWidth="1"/>
    <col min="98" max="98" width="9.140625" style="2" customWidth="1"/>
    <col min="99" max="103" width="9.140625" style="2" hidden="1" customWidth="1"/>
    <col min="104" max="104" width="9.140625" style="2" customWidth="1"/>
    <col min="105" max="109" width="9.140625" style="2" hidden="1" customWidth="1"/>
    <col min="110" max="110" width="9.140625" style="1" customWidth="1"/>
    <col min="111" max="115" width="9.140625" style="1" hidden="1" customWidth="1"/>
    <col min="116" max="116" width="9.140625" style="1" customWidth="1"/>
    <col min="117" max="121" width="9.140625" style="1" hidden="1" customWidth="1"/>
    <col min="122" max="122" width="9.140625" style="1" customWidth="1"/>
    <col min="123" max="127" width="9.140625" style="1" hidden="1" customWidth="1"/>
    <col min="128" max="128" width="9.140625" style="1" customWidth="1"/>
    <col min="129" max="158" width="9.140625" style="2" customWidth="1"/>
    <col min="159" max="159" width="9.140625" style="2" hidden="1" customWidth="1"/>
    <col min="160" max="167" width="9.140625" style="2" customWidth="1"/>
    <col min="168" max="168" width="9.140625" style="2" hidden="1" customWidth="1"/>
    <col min="169" max="173" width="9.140625" style="2" customWidth="1"/>
    <col min="174" max="174" width="9.140625" style="2" hidden="1" customWidth="1"/>
    <col min="175" max="184" width="9.140625" style="2" customWidth="1"/>
    <col min="185" max="185" width="9.140625" style="2"/>
    <col min="186" max="188" width="8.85546875" style="2"/>
    <col min="189" max="189" width="12.7109375" style="2" bestFit="1" customWidth="1"/>
    <col min="190" max="16384" width="8.85546875" style="2"/>
  </cols>
  <sheetData>
    <row r="1" spans="1:189" ht="18.75" x14ac:dyDescent="0.3">
      <c r="A1" s="2" t="s">
        <v>52</v>
      </c>
      <c r="B1" s="6" t="s">
        <v>65</v>
      </c>
      <c r="S1" s="3"/>
    </row>
    <row r="2" spans="1:189" ht="15.75" x14ac:dyDescent="0.25">
      <c r="A2" s="7" t="s">
        <v>48</v>
      </c>
      <c r="I2" s="1" t="str">
        <f>[1]GSVA_cur!$I$3</f>
        <v>01.08.2025</v>
      </c>
    </row>
    <row r="3" spans="1:189" ht="15.75" x14ac:dyDescent="0.25">
      <c r="A3" s="7"/>
    </row>
    <row r="4" spans="1:189" ht="15.75" x14ac:dyDescent="0.25">
      <c r="A4" s="7"/>
      <c r="E4" s="8"/>
      <c r="F4" s="8" t="s">
        <v>56</v>
      </c>
    </row>
    <row r="5" spans="1:189" ht="15.75" x14ac:dyDescent="0.25">
      <c r="A5" s="13" t="s">
        <v>0</v>
      </c>
      <c r="B5" s="14" t="s">
        <v>1</v>
      </c>
      <c r="C5" s="15" t="s">
        <v>20</v>
      </c>
      <c r="D5" s="15" t="s">
        <v>21</v>
      </c>
      <c r="E5" s="15" t="s">
        <v>22</v>
      </c>
      <c r="F5" s="15" t="s">
        <v>55</v>
      </c>
      <c r="G5" s="16" t="s">
        <v>64</v>
      </c>
      <c r="H5" s="16" t="s">
        <v>68</v>
      </c>
      <c r="I5" s="16" t="s">
        <v>70</v>
      </c>
      <c r="J5" s="16" t="s">
        <v>71</v>
      </c>
      <c r="K5" s="16" t="s">
        <v>72</v>
      </c>
      <c r="L5" s="16" t="s">
        <v>73</v>
      </c>
      <c r="M5" s="16" t="s">
        <v>74</v>
      </c>
      <c r="N5" s="16" t="s">
        <v>75</v>
      </c>
      <c r="O5" s="16" t="s">
        <v>76</v>
      </c>
      <c r="P5" s="16" t="s">
        <v>78</v>
      </c>
    </row>
    <row r="6" spans="1:189" s="10" customFormat="1" ht="15.75" x14ac:dyDescent="0.25">
      <c r="A6" s="17" t="s">
        <v>25</v>
      </c>
      <c r="B6" s="18" t="s">
        <v>2</v>
      </c>
      <c r="C6" s="19">
        <f>SUM(C7:C10)</f>
        <v>1330210</v>
      </c>
      <c r="D6" s="19">
        <f t="shared" ref="D6:F6" si="0">SUM(D7:D10)</f>
        <v>1355632</v>
      </c>
      <c r="E6" s="19">
        <f t="shared" si="0"/>
        <v>1339655</v>
      </c>
      <c r="F6" s="19">
        <f t="shared" si="0"/>
        <v>1335730</v>
      </c>
      <c r="G6" s="19">
        <f t="shared" ref="G6:N6" si="1">SUM(G7:G10)</f>
        <v>1312631</v>
      </c>
      <c r="H6" s="19">
        <f t="shared" si="1"/>
        <v>1366212</v>
      </c>
      <c r="I6" s="19">
        <f t="shared" si="1"/>
        <v>1367992</v>
      </c>
      <c r="J6" s="19">
        <f t="shared" si="1"/>
        <v>1405076</v>
      </c>
      <c r="K6" s="19">
        <f t="shared" si="1"/>
        <v>1467874</v>
      </c>
      <c r="L6" s="19">
        <f t="shared" si="1"/>
        <v>1489996</v>
      </c>
      <c r="M6" s="19">
        <f t="shared" si="1"/>
        <v>1510230</v>
      </c>
      <c r="N6" s="19">
        <f t="shared" si="1"/>
        <v>1416086</v>
      </c>
      <c r="O6" s="19">
        <f t="shared" ref="O6:P6" si="2">SUM(O7:O10)</f>
        <v>1475914</v>
      </c>
      <c r="P6" s="19">
        <f t="shared" si="2"/>
        <v>1469812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G6" s="11"/>
    </row>
    <row r="7" spans="1:189" ht="15.75" x14ac:dyDescent="0.25">
      <c r="A7" s="20">
        <v>1.1000000000000001</v>
      </c>
      <c r="B7" s="21" t="s">
        <v>58</v>
      </c>
      <c r="C7" s="22">
        <v>764026</v>
      </c>
      <c r="D7" s="22">
        <v>772456</v>
      </c>
      <c r="E7" s="22">
        <v>725587</v>
      </c>
      <c r="F7" s="22">
        <v>715033</v>
      </c>
      <c r="G7" s="22">
        <v>652182</v>
      </c>
      <c r="H7" s="22">
        <v>692683</v>
      </c>
      <c r="I7" s="22">
        <v>698175</v>
      </c>
      <c r="J7" s="22">
        <v>691749</v>
      </c>
      <c r="K7" s="22">
        <v>716739</v>
      </c>
      <c r="L7" s="22">
        <v>754278</v>
      </c>
      <c r="M7" s="22">
        <v>777668</v>
      </c>
      <c r="N7" s="22">
        <v>664331</v>
      </c>
      <c r="O7" s="22">
        <v>695428</v>
      </c>
      <c r="P7" s="22">
        <v>667174</v>
      </c>
      <c r="Q7" s="3"/>
      <c r="R7" s="4"/>
      <c r="S7" s="4"/>
      <c r="T7" s="3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1"/>
      <c r="GE7" s="1"/>
      <c r="GF7" s="1"/>
    </row>
    <row r="8" spans="1:189" ht="15.75" x14ac:dyDescent="0.25">
      <c r="A8" s="20">
        <v>1.2</v>
      </c>
      <c r="B8" s="21" t="s">
        <v>59</v>
      </c>
      <c r="C8" s="22">
        <v>287788</v>
      </c>
      <c r="D8" s="22">
        <v>308814</v>
      </c>
      <c r="E8" s="22">
        <v>328325</v>
      </c>
      <c r="F8" s="22">
        <v>333707</v>
      </c>
      <c r="G8" s="22">
        <v>356442</v>
      </c>
      <c r="H8" s="22">
        <v>366563</v>
      </c>
      <c r="I8" s="22">
        <v>374376</v>
      </c>
      <c r="J8" s="22">
        <v>383036</v>
      </c>
      <c r="K8" s="22">
        <v>390993</v>
      </c>
      <c r="L8" s="22">
        <v>378060</v>
      </c>
      <c r="M8" s="22">
        <v>387061</v>
      </c>
      <c r="N8" s="22">
        <v>397215</v>
      </c>
      <c r="O8" s="22">
        <v>406890</v>
      </c>
      <c r="P8" s="22">
        <v>419380</v>
      </c>
      <c r="Q8" s="3"/>
      <c r="R8" s="4"/>
      <c r="S8" s="4"/>
      <c r="T8" s="3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1"/>
      <c r="GE8" s="1"/>
      <c r="GF8" s="1"/>
    </row>
    <row r="9" spans="1:189" ht="15.75" x14ac:dyDescent="0.25">
      <c r="A9" s="20">
        <v>1.3</v>
      </c>
      <c r="B9" s="21" t="s">
        <v>60</v>
      </c>
      <c r="C9" s="22">
        <v>274834</v>
      </c>
      <c r="D9" s="22">
        <v>270748</v>
      </c>
      <c r="E9" s="22">
        <v>282085</v>
      </c>
      <c r="F9" s="22">
        <v>283253</v>
      </c>
      <c r="G9" s="22">
        <v>300161</v>
      </c>
      <c r="H9" s="22">
        <v>302972</v>
      </c>
      <c r="I9" s="22">
        <v>291186</v>
      </c>
      <c r="J9" s="22">
        <v>325688</v>
      </c>
      <c r="K9" s="22">
        <v>355374</v>
      </c>
      <c r="L9" s="22">
        <v>352670</v>
      </c>
      <c r="M9" s="22">
        <v>339841</v>
      </c>
      <c r="N9" s="22">
        <v>347733</v>
      </c>
      <c r="O9" s="22">
        <v>365317</v>
      </c>
      <c r="P9" s="22">
        <v>374202</v>
      </c>
      <c r="Q9" s="3"/>
      <c r="R9" s="4"/>
      <c r="S9" s="4"/>
      <c r="T9" s="3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1"/>
      <c r="GE9" s="1"/>
      <c r="GF9" s="1"/>
    </row>
    <row r="10" spans="1:189" ht="15.75" x14ac:dyDescent="0.25">
      <c r="A10" s="20">
        <v>1.4</v>
      </c>
      <c r="B10" s="21" t="s">
        <v>61</v>
      </c>
      <c r="C10" s="22">
        <v>3562</v>
      </c>
      <c r="D10" s="22">
        <v>3614</v>
      </c>
      <c r="E10" s="22">
        <v>3658</v>
      </c>
      <c r="F10" s="22">
        <v>3737</v>
      </c>
      <c r="G10" s="22">
        <v>3846</v>
      </c>
      <c r="H10" s="22">
        <v>3994</v>
      </c>
      <c r="I10" s="22">
        <v>4255</v>
      </c>
      <c r="J10" s="22">
        <v>4603</v>
      </c>
      <c r="K10" s="22">
        <v>4768</v>
      </c>
      <c r="L10" s="22">
        <v>4988</v>
      </c>
      <c r="M10" s="22">
        <v>5660</v>
      </c>
      <c r="N10" s="22">
        <v>6807</v>
      </c>
      <c r="O10" s="22">
        <v>8279</v>
      </c>
      <c r="P10" s="22">
        <v>9056</v>
      </c>
      <c r="Q10" s="3"/>
      <c r="R10" s="4"/>
      <c r="S10" s="4"/>
      <c r="T10" s="3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1"/>
      <c r="GE10" s="1"/>
      <c r="GF10" s="1"/>
    </row>
    <row r="11" spans="1:189" ht="15.75" x14ac:dyDescent="0.25">
      <c r="A11" s="23" t="s">
        <v>30</v>
      </c>
      <c r="B11" s="21" t="s">
        <v>3</v>
      </c>
      <c r="C11" s="22">
        <v>186083</v>
      </c>
      <c r="D11" s="22">
        <v>181554</v>
      </c>
      <c r="E11" s="22">
        <v>296810</v>
      </c>
      <c r="F11" s="22">
        <v>218174</v>
      </c>
      <c r="G11" s="22">
        <v>191875</v>
      </c>
      <c r="H11" s="22">
        <v>255701</v>
      </c>
      <c r="I11" s="22">
        <v>325180</v>
      </c>
      <c r="J11" s="22">
        <v>311424</v>
      </c>
      <c r="K11" s="22">
        <v>288049</v>
      </c>
      <c r="L11" s="22">
        <v>230545</v>
      </c>
      <c r="M11" s="22">
        <v>209796</v>
      </c>
      <c r="N11" s="22">
        <v>175250</v>
      </c>
      <c r="O11" s="22">
        <v>186324</v>
      </c>
      <c r="P11" s="22">
        <v>200292</v>
      </c>
      <c r="Q11" s="3"/>
      <c r="R11" s="4"/>
      <c r="S11" s="4"/>
      <c r="T11" s="3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1"/>
      <c r="GE11" s="1"/>
      <c r="GF11" s="1"/>
    </row>
    <row r="12" spans="1:189" s="11" customFormat="1" ht="15.75" x14ac:dyDescent="0.25">
      <c r="A12" s="24"/>
      <c r="B12" s="25" t="s">
        <v>27</v>
      </c>
      <c r="C12" s="26">
        <f>C6+C11</f>
        <v>1516293</v>
      </c>
      <c r="D12" s="26">
        <f t="shared" ref="D12:F12" si="3">D6+D11</f>
        <v>1537186</v>
      </c>
      <c r="E12" s="26">
        <f t="shared" si="3"/>
        <v>1636465</v>
      </c>
      <c r="F12" s="26">
        <f t="shared" si="3"/>
        <v>1553904</v>
      </c>
      <c r="G12" s="26">
        <f t="shared" ref="G12:N12" si="4">G6+G11</f>
        <v>1504506</v>
      </c>
      <c r="H12" s="26">
        <f t="shared" si="4"/>
        <v>1621913</v>
      </c>
      <c r="I12" s="26">
        <f t="shared" si="4"/>
        <v>1693172</v>
      </c>
      <c r="J12" s="26">
        <f t="shared" si="4"/>
        <v>1716500</v>
      </c>
      <c r="K12" s="26">
        <f t="shared" si="4"/>
        <v>1755923</v>
      </c>
      <c r="L12" s="26">
        <f t="shared" si="4"/>
        <v>1720541</v>
      </c>
      <c r="M12" s="26">
        <f t="shared" si="4"/>
        <v>1720026</v>
      </c>
      <c r="N12" s="26">
        <f t="shared" si="4"/>
        <v>1591336</v>
      </c>
      <c r="O12" s="26">
        <f t="shared" ref="O12:P12" si="5">O6+O11</f>
        <v>1662238</v>
      </c>
      <c r="P12" s="26">
        <f t="shared" si="5"/>
        <v>1670104</v>
      </c>
      <c r="Q12" s="3"/>
      <c r="R12" s="4"/>
      <c r="S12" s="4"/>
      <c r="T12" s="3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0"/>
      <c r="GE12" s="10"/>
      <c r="GF12" s="10"/>
    </row>
    <row r="13" spans="1:189" s="1" customFormat="1" ht="15.75" x14ac:dyDescent="0.25">
      <c r="A13" s="27" t="s">
        <v>31</v>
      </c>
      <c r="B13" s="28" t="s">
        <v>4</v>
      </c>
      <c r="C13" s="22">
        <v>4365135</v>
      </c>
      <c r="D13" s="22">
        <v>4869750</v>
      </c>
      <c r="E13" s="22">
        <v>5050710</v>
      </c>
      <c r="F13" s="22">
        <v>5288415</v>
      </c>
      <c r="G13" s="22">
        <v>5796017</v>
      </c>
      <c r="H13" s="22">
        <v>6345624</v>
      </c>
      <c r="I13" s="22">
        <v>6772170</v>
      </c>
      <c r="J13" s="22">
        <v>6733288</v>
      </c>
      <c r="K13" s="22">
        <v>6645436</v>
      </c>
      <c r="L13" s="22">
        <v>5654961</v>
      </c>
      <c r="M13" s="22">
        <v>5241092</v>
      </c>
      <c r="N13" s="22">
        <v>5263334</v>
      </c>
      <c r="O13" s="22">
        <v>5665354</v>
      </c>
      <c r="P13" s="22">
        <v>6024226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G13" s="2"/>
    </row>
    <row r="14" spans="1:189" ht="30" x14ac:dyDescent="0.25">
      <c r="A14" s="23" t="s">
        <v>32</v>
      </c>
      <c r="B14" s="21" t="s">
        <v>5</v>
      </c>
      <c r="C14" s="22">
        <v>398079</v>
      </c>
      <c r="D14" s="22">
        <v>427949</v>
      </c>
      <c r="E14" s="22">
        <v>431792</v>
      </c>
      <c r="F14" s="22">
        <v>466887</v>
      </c>
      <c r="G14" s="22">
        <v>505301</v>
      </c>
      <c r="H14" s="22">
        <v>540975</v>
      </c>
      <c r="I14" s="22">
        <v>604845</v>
      </c>
      <c r="J14" s="22">
        <v>642989</v>
      </c>
      <c r="K14" s="22">
        <v>665978</v>
      </c>
      <c r="L14" s="22">
        <v>627331</v>
      </c>
      <c r="M14" s="22">
        <v>728035</v>
      </c>
      <c r="N14" s="22">
        <v>801016</v>
      </c>
      <c r="O14" s="22">
        <v>852983</v>
      </c>
      <c r="P14" s="22">
        <v>896039</v>
      </c>
      <c r="Q14" s="3"/>
      <c r="R14" s="4"/>
      <c r="S14" s="4"/>
      <c r="T14" s="3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3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3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3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1"/>
      <c r="GE14" s="1"/>
      <c r="GF14" s="1"/>
    </row>
    <row r="15" spans="1:189" ht="15.75" x14ac:dyDescent="0.25">
      <c r="A15" s="23" t="s">
        <v>33</v>
      </c>
      <c r="B15" s="21" t="s">
        <v>6</v>
      </c>
      <c r="C15" s="22">
        <v>883766</v>
      </c>
      <c r="D15" s="22">
        <v>852422</v>
      </c>
      <c r="E15" s="22">
        <v>1080655</v>
      </c>
      <c r="F15" s="22">
        <v>1094865</v>
      </c>
      <c r="G15" s="22">
        <v>1092495</v>
      </c>
      <c r="H15" s="22">
        <v>1213594</v>
      </c>
      <c r="I15" s="22">
        <v>1284062</v>
      </c>
      <c r="J15" s="22">
        <v>1354812</v>
      </c>
      <c r="K15" s="22">
        <v>1355760</v>
      </c>
      <c r="L15" s="22">
        <v>1298723</v>
      </c>
      <c r="M15" s="22">
        <v>1579513</v>
      </c>
      <c r="N15" s="22">
        <v>2176195</v>
      </c>
      <c r="O15" s="22">
        <v>2374094</v>
      </c>
      <c r="P15" s="22">
        <v>2660928</v>
      </c>
      <c r="Q15" s="3"/>
      <c r="R15" s="4"/>
      <c r="S15" s="4"/>
      <c r="T15" s="3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3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3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3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1"/>
      <c r="GE15" s="1"/>
      <c r="GF15" s="1"/>
    </row>
    <row r="16" spans="1:189" s="11" customFormat="1" ht="15.75" x14ac:dyDescent="0.25">
      <c r="A16" s="24"/>
      <c r="B16" s="25" t="s">
        <v>28</v>
      </c>
      <c r="C16" s="26">
        <f>+C13+C14+C15</f>
        <v>5646980</v>
      </c>
      <c r="D16" s="26">
        <f t="shared" ref="D16:F16" si="6">+D13+D14+D15</f>
        <v>6150121</v>
      </c>
      <c r="E16" s="26">
        <f t="shared" si="6"/>
        <v>6563157</v>
      </c>
      <c r="F16" s="26">
        <f t="shared" si="6"/>
        <v>6850167</v>
      </c>
      <c r="G16" s="26">
        <f t="shared" ref="G16:I16" si="7">+G13+G14+G15</f>
        <v>7393813</v>
      </c>
      <c r="H16" s="26">
        <f t="shared" si="7"/>
        <v>8100193</v>
      </c>
      <c r="I16" s="26">
        <f t="shared" si="7"/>
        <v>8661077</v>
      </c>
      <c r="J16" s="26">
        <f t="shared" ref="J16:K16" si="8">+J13+J14+J15</f>
        <v>8731089</v>
      </c>
      <c r="K16" s="26">
        <f t="shared" si="8"/>
        <v>8667174</v>
      </c>
      <c r="L16" s="26">
        <f t="shared" ref="L16:M16" si="9">+L13+L14+L15</f>
        <v>7581015</v>
      </c>
      <c r="M16" s="26">
        <f t="shared" si="9"/>
        <v>7548640</v>
      </c>
      <c r="N16" s="26">
        <f t="shared" ref="N16" si="10">+N13+N14+N15</f>
        <v>8240545</v>
      </c>
      <c r="O16" s="26">
        <f t="shared" ref="O16:P16" si="11">+O13+O14+O15</f>
        <v>8892431</v>
      </c>
      <c r="P16" s="26">
        <f t="shared" si="11"/>
        <v>9581193</v>
      </c>
      <c r="Q16" s="3"/>
      <c r="R16" s="4"/>
      <c r="S16" s="4"/>
      <c r="T16" s="3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9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9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9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0"/>
      <c r="GE16" s="10"/>
      <c r="GF16" s="10"/>
    </row>
    <row r="17" spans="1:189" s="10" customFormat="1" ht="15.75" x14ac:dyDescent="0.25">
      <c r="A17" s="17" t="s">
        <v>34</v>
      </c>
      <c r="B17" s="18" t="s">
        <v>7</v>
      </c>
      <c r="C17" s="19">
        <f>C18+C19</f>
        <v>1192896</v>
      </c>
      <c r="D17" s="19">
        <f t="shared" ref="D17:F17" si="12">D18+D19</f>
        <v>1306187</v>
      </c>
      <c r="E17" s="19">
        <f t="shared" si="12"/>
        <v>1418883</v>
      </c>
      <c r="F17" s="19">
        <f t="shared" si="12"/>
        <v>1518569</v>
      </c>
      <c r="G17" s="19">
        <f t="shared" ref="G17:I17" si="13">G18+G19</f>
        <v>1691788</v>
      </c>
      <c r="H17" s="19">
        <f t="shared" si="13"/>
        <v>1955352</v>
      </c>
      <c r="I17" s="19">
        <f t="shared" si="13"/>
        <v>2222555</v>
      </c>
      <c r="J17" s="19">
        <f t="shared" ref="J17:K17" si="14">J18+J19</f>
        <v>2480838</v>
      </c>
      <c r="K17" s="19">
        <f t="shared" si="14"/>
        <v>2646355</v>
      </c>
      <c r="L17" s="19">
        <f t="shared" ref="L17:M17" si="15">L18+L19</f>
        <v>1931675</v>
      </c>
      <c r="M17" s="19">
        <f t="shared" si="15"/>
        <v>2388250</v>
      </c>
      <c r="N17" s="19">
        <f t="shared" ref="N17" si="16">N18+N19</f>
        <v>2885557</v>
      </c>
      <c r="O17" s="19">
        <f t="shared" ref="O17:P17" si="17">O18+O19</f>
        <v>3172405</v>
      </c>
      <c r="P17" s="19">
        <f t="shared" si="17"/>
        <v>3322050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G17" s="11"/>
    </row>
    <row r="18" spans="1:189" ht="15.75" x14ac:dyDescent="0.25">
      <c r="A18" s="20">
        <v>6.1</v>
      </c>
      <c r="B18" s="21" t="s">
        <v>8</v>
      </c>
      <c r="C18" s="22">
        <v>1013998</v>
      </c>
      <c r="D18" s="22">
        <v>1129990</v>
      </c>
      <c r="E18" s="22">
        <v>1253849</v>
      </c>
      <c r="F18" s="22">
        <v>1350961</v>
      </c>
      <c r="G18" s="22">
        <v>1502961</v>
      </c>
      <c r="H18" s="22">
        <v>1755841</v>
      </c>
      <c r="I18" s="22">
        <v>2000848</v>
      </c>
      <c r="J18" s="22">
        <v>2233656</v>
      </c>
      <c r="K18" s="22">
        <v>2399520</v>
      </c>
      <c r="L18" s="22">
        <v>1831276</v>
      </c>
      <c r="M18" s="22">
        <v>2208590</v>
      </c>
      <c r="N18" s="22">
        <v>2585167</v>
      </c>
      <c r="O18" s="22">
        <v>2833713</v>
      </c>
      <c r="P18" s="22">
        <v>2970562</v>
      </c>
      <c r="Q18" s="3"/>
      <c r="R18" s="4"/>
      <c r="S18" s="4"/>
      <c r="T18" s="3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1"/>
      <c r="GE18" s="1"/>
      <c r="GF18" s="1"/>
    </row>
    <row r="19" spans="1:189" ht="15.75" x14ac:dyDescent="0.25">
      <c r="A19" s="20">
        <v>6.2</v>
      </c>
      <c r="B19" s="21" t="s">
        <v>9</v>
      </c>
      <c r="C19" s="22">
        <v>178898</v>
      </c>
      <c r="D19" s="22">
        <v>176197</v>
      </c>
      <c r="E19" s="22">
        <v>165034</v>
      </c>
      <c r="F19" s="22">
        <v>167608</v>
      </c>
      <c r="G19" s="22">
        <v>188827</v>
      </c>
      <c r="H19" s="22">
        <v>199511</v>
      </c>
      <c r="I19" s="22">
        <v>221707</v>
      </c>
      <c r="J19" s="22">
        <v>247182</v>
      </c>
      <c r="K19" s="22">
        <v>246835</v>
      </c>
      <c r="L19" s="22">
        <v>100399</v>
      </c>
      <c r="M19" s="22">
        <v>179660</v>
      </c>
      <c r="N19" s="22">
        <v>300390</v>
      </c>
      <c r="O19" s="22">
        <v>338692</v>
      </c>
      <c r="P19" s="22">
        <v>351488</v>
      </c>
      <c r="Q19" s="3"/>
      <c r="R19" s="4"/>
      <c r="S19" s="4"/>
      <c r="T19" s="3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1"/>
      <c r="GE19" s="1"/>
      <c r="GF19" s="1"/>
    </row>
    <row r="20" spans="1:189" s="10" customFormat="1" ht="30" x14ac:dyDescent="0.25">
      <c r="A20" s="29" t="s">
        <v>35</v>
      </c>
      <c r="B20" s="30" t="s">
        <v>10</v>
      </c>
      <c r="C20" s="19">
        <f>SUM(C21:C27)</f>
        <v>691812</v>
      </c>
      <c r="D20" s="19">
        <f t="shared" ref="D20:F20" si="18">SUM(D21:D27)</f>
        <v>754203</v>
      </c>
      <c r="E20" s="19">
        <f t="shared" si="18"/>
        <v>823750</v>
      </c>
      <c r="F20" s="19">
        <f t="shared" si="18"/>
        <v>928595</v>
      </c>
      <c r="G20" s="19">
        <f t="shared" ref="G20:N20" si="19">SUM(G21:G27)</f>
        <v>1110298</v>
      </c>
      <c r="H20" s="19">
        <f t="shared" si="19"/>
        <v>1106664</v>
      </c>
      <c r="I20" s="19">
        <f t="shared" si="19"/>
        <v>1043747</v>
      </c>
      <c r="J20" s="19">
        <f t="shared" si="19"/>
        <v>1049469</v>
      </c>
      <c r="K20" s="19">
        <f t="shared" si="19"/>
        <v>1188573</v>
      </c>
      <c r="L20" s="19">
        <f t="shared" si="19"/>
        <v>1098541</v>
      </c>
      <c r="M20" s="19">
        <f t="shared" si="19"/>
        <v>1280563</v>
      </c>
      <c r="N20" s="19">
        <f t="shared" si="19"/>
        <v>1419015</v>
      </c>
      <c r="O20" s="19">
        <f t="shared" ref="O20:P20" si="20">SUM(O21:O27)</f>
        <v>1529954</v>
      </c>
      <c r="P20" s="19">
        <f t="shared" si="20"/>
        <v>1646855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G20" s="11"/>
    </row>
    <row r="21" spans="1:189" ht="15.75" x14ac:dyDescent="0.25">
      <c r="A21" s="20">
        <v>7.1</v>
      </c>
      <c r="B21" s="21" t="s">
        <v>11</v>
      </c>
      <c r="C21" s="22">
        <v>14143</v>
      </c>
      <c r="D21" s="22">
        <v>15801</v>
      </c>
      <c r="E21" s="22">
        <v>16099</v>
      </c>
      <c r="F21" s="22">
        <v>19208</v>
      </c>
      <c r="G21" s="22">
        <v>22249</v>
      </c>
      <c r="H21" s="22">
        <v>22892</v>
      </c>
      <c r="I21" s="22">
        <v>22107</v>
      </c>
      <c r="J21" s="22">
        <v>23131</v>
      </c>
      <c r="K21" s="22">
        <v>27622</v>
      </c>
      <c r="L21" s="22">
        <v>21681</v>
      </c>
      <c r="M21" s="22">
        <v>14378</v>
      </c>
      <c r="N21" s="22">
        <v>25914</v>
      </c>
      <c r="O21" s="22">
        <v>28794</v>
      </c>
      <c r="P21" s="22">
        <v>31397</v>
      </c>
      <c r="Q21" s="3"/>
      <c r="R21" s="4"/>
      <c r="S21" s="4"/>
      <c r="T21" s="3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1"/>
      <c r="GE21" s="1"/>
      <c r="GF21" s="1"/>
    </row>
    <row r="22" spans="1:189" ht="15.75" x14ac:dyDescent="0.25">
      <c r="A22" s="20">
        <v>7.2</v>
      </c>
      <c r="B22" s="21" t="s">
        <v>69</v>
      </c>
      <c r="C22" s="22">
        <v>218488</v>
      </c>
      <c r="D22" s="22">
        <v>241308</v>
      </c>
      <c r="E22" s="22">
        <v>252711</v>
      </c>
      <c r="F22" s="22">
        <v>267447</v>
      </c>
      <c r="G22" s="22">
        <v>288864</v>
      </c>
      <c r="H22" s="22">
        <v>313368</v>
      </c>
      <c r="I22" s="22">
        <v>335949</v>
      </c>
      <c r="J22" s="22">
        <v>347200</v>
      </c>
      <c r="K22" s="22">
        <v>375504</v>
      </c>
      <c r="L22" s="22">
        <v>260434</v>
      </c>
      <c r="M22" s="22">
        <v>367758</v>
      </c>
      <c r="N22" s="22">
        <v>360468</v>
      </c>
      <c r="O22" s="22">
        <v>371414</v>
      </c>
      <c r="P22" s="22">
        <v>387762</v>
      </c>
      <c r="Q22" s="3"/>
      <c r="R22" s="4"/>
      <c r="S22" s="4"/>
      <c r="T22" s="3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1"/>
      <c r="GE22" s="1"/>
      <c r="GF22" s="1"/>
    </row>
    <row r="23" spans="1:189" ht="15.75" x14ac:dyDescent="0.25">
      <c r="A23" s="20">
        <v>7.3</v>
      </c>
      <c r="B23" s="21" t="s">
        <v>12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3"/>
      <c r="R23" s="4"/>
      <c r="S23" s="4"/>
      <c r="T23" s="3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1"/>
      <c r="GE23" s="1"/>
      <c r="GF23" s="1"/>
    </row>
    <row r="24" spans="1:189" ht="15.75" x14ac:dyDescent="0.25">
      <c r="A24" s="20">
        <v>7.4</v>
      </c>
      <c r="B24" s="21" t="s">
        <v>13</v>
      </c>
      <c r="C24" s="22">
        <v>652</v>
      </c>
      <c r="D24" s="22">
        <v>1142</v>
      </c>
      <c r="E24" s="22">
        <v>1900</v>
      </c>
      <c r="F24" s="22">
        <v>1987</v>
      </c>
      <c r="G24" s="22">
        <v>3783</v>
      </c>
      <c r="H24" s="22">
        <v>6410</v>
      </c>
      <c r="I24" s="22">
        <v>7060</v>
      </c>
      <c r="J24" s="22">
        <v>3713</v>
      </c>
      <c r="K24" s="22">
        <v>6868</v>
      </c>
      <c r="L24" s="22">
        <v>4195</v>
      </c>
      <c r="M24" s="22">
        <v>3410</v>
      </c>
      <c r="N24" s="22">
        <v>4976</v>
      </c>
      <c r="O24" s="22">
        <v>6057</v>
      </c>
      <c r="P24" s="22">
        <v>7364</v>
      </c>
      <c r="Q24" s="3"/>
      <c r="R24" s="4"/>
      <c r="S24" s="4"/>
      <c r="T24" s="3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1"/>
      <c r="GE24" s="1"/>
      <c r="GF24" s="1"/>
    </row>
    <row r="25" spans="1:189" ht="15.75" x14ac:dyDescent="0.25">
      <c r="A25" s="20">
        <v>7.5</v>
      </c>
      <c r="B25" s="21" t="s">
        <v>14</v>
      </c>
      <c r="C25" s="22">
        <v>0</v>
      </c>
      <c r="D25" s="22">
        <v>0</v>
      </c>
      <c r="E25" s="22">
        <v>0</v>
      </c>
      <c r="F25" s="22">
        <v>-66</v>
      </c>
      <c r="G25" s="22">
        <v>-29</v>
      </c>
      <c r="H25" s="22">
        <v>6392</v>
      </c>
      <c r="I25" s="22">
        <v>6698</v>
      </c>
      <c r="J25" s="22">
        <v>3816</v>
      </c>
      <c r="K25" s="22">
        <v>8699</v>
      </c>
      <c r="L25" s="22">
        <v>1723</v>
      </c>
      <c r="M25" s="22">
        <v>3580</v>
      </c>
      <c r="N25" s="22">
        <v>8461</v>
      </c>
      <c r="O25" s="22">
        <v>8699</v>
      </c>
      <c r="P25" s="22">
        <v>9081</v>
      </c>
      <c r="Q25" s="3"/>
      <c r="R25" s="4"/>
      <c r="S25" s="4"/>
      <c r="T25" s="3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1"/>
      <c r="GE25" s="1"/>
      <c r="GF25" s="1"/>
    </row>
    <row r="26" spans="1:189" ht="15.75" x14ac:dyDescent="0.25">
      <c r="A26" s="20">
        <v>7.6</v>
      </c>
      <c r="B26" s="21" t="s">
        <v>15</v>
      </c>
      <c r="C26" s="22">
        <v>579</v>
      </c>
      <c r="D26" s="22">
        <v>629</v>
      </c>
      <c r="E26" s="22">
        <v>647</v>
      </c>
      <c r="F26" s="22">
        <v>563</v>
      </c>
      <c r="G26" s="22">
        <v>618</v>
      </c>
      <c r="H26" s="22">
        <v>1226</v>
      </c>
      <c r="I26" s="22">
        <v>161</v>
      </c>
      <c r="J26" s="22">
        <v>1810</v>
      </c>
      <c r="K26" s="22">
        <v>857</v>
      </c>
      <c r="L26" s="22">
        <v>482</v>
      </c>
      <c r="M26" s="22">
        <v>686</v>
      </c>
      <c r="N26" s="22">
        <v>619</v>
      </c>
      <c r="O26" s="22">
        <v>626</v>
      </c>
      <c r="P26" s="22">
        <v>653</v>
      </c>
      <c r="Q26" s="3"/>
      <c r="R26" s="4"/>
      <c r="S26" s="4"/>
      <c r="T26" s="3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1"/>
      <c r="GE26" s="1"/>
      <c r="GF26" s="1"/>
    </row>
    <row r="27" spans="1:189" ht="30" x14ac:dyDescent="0.25">
      <c r="A27" s="20">
        <v>7.7</v>
      </c>
      <c r="B27" s="21" t="s">
        <v>16</v>
      </c>
      <c r="C27" s="22">
        <v>457950</v>
      </c>
      <c r="D27" s="22">
        <v>495323</v>
      </c>
      <c r="E27" s="22">
        <v>552393</v>
      </c>
      <c r="F27" s="22">
        <v>639456</v>
      </c>
      <c r="G27" s="22">
        <v>794813</v>
      </c>
      <c r="H27" s="22">
        <v>756376</v>
      </c>
      <c r="I27" s="22">
        <v>671772</v>
      </c>
      <c r="J27" s="22">
        <v>669799</v>
      </c>
      <c r="K27" s="22">
        <v>769023</v>
      </c>
      <c r="L27" s="22">
        <v>810026</v>
      </c>
      <c r="M27" s="22">
        <v>890751</v>
      </c>
      <c r="N27" s="22">
        <v>1018577</v>
      </c>
      <c r="O27" s="22">
        <v>1114364</v>
      </c>
      <c r="P27" s="22">
        <v>1210598</v>
      </c>
      <c r="Q27" s="3"/>
      <c r="R27" s="4"/>
      <c r="S27" s="4"/>
      <c r="T27" s="3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1"/>
      <c r="GE27" s="1"/>
      <c r="GF27" s="1"/>
    </row>
    <row r="28" spans="1:189" ht="15.75" x14ac:dyDescent="0.25">
      <c r="A28" s="23" t="s">
        <v>36</v>
      </c>
      <c r="B28" s="21" t="s">
        <v>17</v>
      </c>
      <c r="C28" s="22">
        <v>293318</v>
      </c>
      <c r="D28" s="22">
        <v>316227</v>
      </c>
      <c r="E28" s="22">
        <v>346284</v>
      </c>
      <c r="F28" s="22">
        <v>384652</v>
      </c>
      <c r="G28" s="22">
        <v>415169</v>
      </c>
      <c r="H28" s="22">
        <v>421254</v>
      </c>
      <c r="I28" s="22">
        <v>457372</v>
      </c>
      <c r="J28" s="22">
        <v>471881</v>
      </c>
      <c r="K28" s="22">
        <v>491657</v>
      </c>
      <c r="L28" s="22">
        <v>573307</v>
      </c>
      <c r="M28" s="22">
        <v>518391</v>
      </c>
      <c r="N28" s="22">
        <v>542560</v>
      </c>
      <c r="O28" s="22">
        <v>590848</v>
      </c>
      <c r="P28" s="22">
        <v>630914</v>
      </c>
      <c r="Q28" s="3"/>
      <c r="R28" s="4"/>
      <c r="S28" s="4"/>
      <c r="T28" s="3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1"/>
      <c r="GE28" s="1"/>
      <c r="GF28" s="1"/>
    </row>
    <row r="29" spans="1:189" ht="30" x14ac:dyDescent="0.25">
      <c r="A29" s="23" t="s">
        <v>37</v>
      </c>
      <c r="B29" s="21" t="s">
        <v>18</v>
      </c>
      <c r="C29" s="22">
        <v>588825</v>
      </c>
      <c r="D29" s="22">
        <v>639825</v>
      </c>
      <c r="E29" s="22">
        <v>625463</v>
      </c>
      <c r="F29" s="22">
        <v>717356</v>
      </c>
      <c r="G29" s="22">
        <v>734252</v>
      </c>
      <c r="H29" s="22">
        <v>790987</v>
      </c>
      <c r="I29" s="22">
        <v>848212</v>
      </c>
      <c r="J29" s="22">
        <v>914525</v>
      </c>
      <c r="K29" s="22">
        <v>993820</v>
      </c>
      <c r="L29" s="22">
        <v>974834</v>
      </c>
      <c r="M29" s="22">
        <v>1068179</v>
      </c>
      <c r="N29" s="22">
        <v>1123482</v>
      </c>
      <c r="O29" s="22">
        <v>1171307</v>
      </c>
      <c r="P29" s="22">
        <v>1229878</v>
      </c>
      <c r="Q29" s="3"/>
      <c r="R29" s="4"/>
      <c r="S29" s="4"/>
      <c r="T29" s="3"/>
      <c r="U29" s="5"/>
      <c r="V29" s="5"/>
      <c r="W29" s="5"/>
      <c r="X29" s="5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1"/>
      <c r="GE29" s="1"/>
      <c r="GF29" s="1"/>
    </row>
    <row r="30" spans="1:189" ht="15.75" x14ac:dyDescent="0.25">
      <c r="A30" s="23" t="s">
        <v>38</v>
      </c>
      <c r="B30" s="21" t="s">
        <v>53</v>
      </c>
      <c r="C30" s="22">
        <v>404304</v>
      </c>
      <c r="D30" s="22">
        <v>287555</v>
      </c>
      <c r="E30" s="22">
        <v>413007</v>
      </c>
      <c r="F30" s="22">
        <v>492779</v>
      </c>
      <c r="G30" s="22">
        <v>541212</v>
      </c>
      <c r="H30" s="22">
        <v>594707</v>
      </c>
      <c r="I30" s="22">
        <v>704436</v>
      </c>
      <c r="J30" s="22">
        <v>654718</v>
      </c>
      <c r="K30" s="22">
        <v>577913</v>
      </c>
      <c r="L30" s="22">
        <v>655458</v>
      </c>
      <c r="M30" s="22">
        <v>728775</v>
      </c>
      <c r="N30" s="22">
        <v>754982</v>
      </c>
      <c r="O30" s="22">
        <v>827768</v>
      </c>
      <c r="P30" s="22">
        <v>940188</v>
      </c>
      <c r="Q30" s="3"/>
      <c r="R30" s="4"/>
      <c r="S30" s="4"/>
      <c r="T30" s="3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1"/>
      <c r="GE30" s="1"/>
      <c r="GF30" s="1"/>
    </row>
    <row r="31" spans="1:189" ht="15.75" x14ac:dyDescent="0.25">
      <c r="A31" s="23" t="s">
        <v>39</v>
      </c>
      <c r="B31" s="21" t="s">
        <v>19</v>
      </c>
      <c r="C31" s="22">
        <v>498856</v>
      </c>
      <c r="D31" s="22">
        <v>619019</v>
      </c>
      <c r="E31" s="22">
        <v>727454</v>
      </c>
      <c r="F31" s="22">
        <v>778844</v>
      </c>
      <c r="G31" s="22">
        <v>839745</v>
      </c>
      <c r="H31" s="22">
        <v>935185</v>
      </c>
      <c r="I31" s="22">
        <v>1079778</v>
      </c>
      <c r="J31" s="22">
        <v>1074171</v>
      </c>
      <c r="K31" s="22">
        <v>1122464</v>
      </c>
      <c r="L31" s="22">
        <v>1048631</v>
      </c>
      <c r="M31" s="22">
        <v>1115433</v>
      </c>
      <c r="N31" s="22">
        <v>1108804</v>
      </c>
      <c r="O31" s="22">
        <v>1179091</v>
      </c>
      <c r="P31" s="22">
        <v>1252994</v>
      </c>
      <c r="Q31" s="3"/>
      <c r="R31" s="4"/>
      <c r="S31" s="4"/>
      <c r="T31" s="3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1"/>
      <c r="GE31" s="1"/>
      <c r="GF31" s="1"/>
    </row>
    <row r="32" spans="1:189" s="11" customFormat="1" ht="15.75" x14ac:dyDescent="0.25">
      <c r="A32" s="24"/>
      <c r="B32" s="25" t="s">
        <v>29</v>
      </c>
      <c r="C32" s="26">
        <f>C17+C20+C28+C29+C30+C31</f>
        <v>3670011</v>
      </c>
      <c r="D32" s="26">
        <f t="shared" ref="D32:F32" si="21">D17+D20+D28+D29+D30+D31</f>
        <v>3923016</v>
      </c>
      <c r="E32" s="26">
        <f t="shared" si="21"/>
        <v>4354841</v>
      </c>
      <c r="F32" s="26">
        <f t="shared" si="21"/>
        <v>4820795</v>
      </c>
      <c r="G32" s="26">
        <f t="shared" ref="G32:H32" si="22">G17+G20+G28+G29+G30+G31</f>
        <v>5332464</v>
      </c>
      <c r="H32" s="26">
        <f t="shared" si="22"/>
        <v>5804149</v>
      </c>
      <c r="I32" s="26">
        <f t="shared" ref="I32:K32" si="23">I17+I20+I28+I29+I30+I31</f>
        <v>6356100</v>
      </c>
      <c r="J32" s="26">
        <f t="shared" si="23"/>
        <v>6645602</v>
      </c>
      <c r="K32" s="26">
        <f t="shared" si="23"/>
        <v>7020782</v>
      </c>
      <c r="L32" s="26">
        <f t="shared" ref="L32:M32" si="24">L17+L20+L28+L29+L30+L31</f>
        <v>6282446</v>
      </c>
      <c r="M32" s="26">
        <f t="shared" si="24"/>
        <v>7099591</v>
      </c>
      <c r="N32" s="26">
        <f t="shared" ref="N32" si="25">N17+N20+N28+N29+N30+N31</f>
        <v>7834400</v>
      </c>
      <c r="O32" s="26">
        <f t="shared" ref="O32:P32" si="26">O17+O20+O28+O29+O30+O31</f>
        <v>8471373</v>
      </c>
      <c r="P32" s="26">
        <f t="shared" si="26"/>
        <v>9022879</v>
      </c>
      <c r="Q32" s="3"/>
      <c r="R32" s="4"/>
      <c r="S32" s="4"/>
      <c r="T32" s="3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0"/>
      <c r="GE32" s="10"/>
      <c r="GF32" s="10"/>
    </row>
    <row r="33" spans="1:189" s="10" customFormat="1" ht="15.75" x14ac:dyDescent="0.25">
      <c r="A33" s="17" t="s">
        <v>26</v>
      </c>
      <c r="B33" s="31" t="s">
        <v>40</v>
      </c>
      <c r="C33" s="19">
        <f t="shared" ref="C33:H33" si="27">C6+C11+C13+C14+C15+C17+C20+C28+C29+C30+C31</f>
        <v>10833284</v>
      </c>
      <c r="D33" s="19">
        <f t="shared" si="27"/>
        <v>11610323</v>
      </c>
      <c r="E33" s="19">
        <f t="shared" si="27"/>
        <v>12554463</v>
      </c>
      <c r="F33" s="19">
        <f t="shared" si="27"/>
        <v>13224866</v>
      </c>
      <c r="G33" s="19">
        <f t="shared" si="27"/>
        <v>14230783</v>
      </c>
      <c r="H33" s="19">
        <f t="shared" si="27"/>
        <v>15526255</v>
      </c>
      <c r="I33" s="19">
        <f t="shared" ref="I33:K33" si="28">I6+I11+I13+I14+I15+I17+I20+I28+I29+I30+I31</f>
        <v>16710349</v>
      </c>
      <c r="J33" s="19">
        <f t="shared" si="28"/>
        <v>17093191</v>
      </c>
      <c r="K33" s="19">
        <f t="shared" si="28"/>
        <v>17443879</v>
      </c>
      <c r="L33" s="19">
        <f t="shared" ref="L33:M33" si="29">L6+L11+L13+L14+L15+L17+L20+L28+L29+L30+L31</f>
        <v>15584002</v>
      </c>
      <c r="M33" s="19">
        <f t="shared" si="29"/>
        <v>16368257</v>
      </c>
      <c r="N33" s="19">
        <f t="shared" ref="N33" si="30">N6+N11+N13+N14+N15+N17+N20+N28+N29+N30+N31</f>
        <v>17666281</v>
      </c>
      <c r="O33" s="19">
        <f t="shared" ref="O33:P33" si="31">O6+O11+O13+O14+O15+O17+O20+O28+O29+O30+O31</f>
        <v>19026042</v>
      </c>
      <c r="P33" s="19">
        <f t="shared" si="31"/>
        <v>20274176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G33" s="11"/>
    </row>
    <row r="34" spans="1:189" ht="15.75" x14ac:dyDescent="0.25">
      <c r="A34" s="32" t="s">
        <v>42</v>
      </c>
      <c r="B34" s="33" t="s">
        <v>24</v>
      </c>
      <c r="C34" s="22">
        <v>919682</v>
      </c>
      <c r="D34" s="22">
        <v>1024286</v>
      </c>
      <c r="E34" s="22">
        <v>1098486</v>
      </c>
      <c r="F34" s="22">
        <v>1163827</v>
      </c>
      <c r="G34" s="22">
        <v>1279978</v>
      </c>
      <c r="H34" s="22">
        <v>1441287</v>
      </c>
      <c r="I34" s="22">
        <v>1590940</v>
      </c>
      <c r="J34" s="22">
        <v>1670976</v>
      </c>
      <c r="K34" s="22">
        <v>1720000</v>
      </c>
      <c r="L34" s="22">
        <v>1394341</v>
      </c>
      <c r="M34" s="22">
        <v>1468372</v>
      </c>
      <c r="N34" s="22">
        <v>1616595</v>
      </c>
      <c r="O34" s="22">
        <v>1758989</v>
      </c>
      <c r="P34" s="22">
        <v>1851315</v>
      </c>
      <c r="Q34" s="3"/>
      <c r="R34" s="4"/>
      <c r="S34" s="4"/>
      <c r="T34" s="3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</row>
    <row r="35" spans="1:189" ht="15.75" x14ac:dyDescent="0.25">
      <c r="A35" s="32" t="s">
        <v>43</v>
      </c>
      <c r="B35" s="33" t="s">
        <v>23</v>
      </c>
      <c r="C35" s="22">
        <v>220207</v>
      </c>
      <c r="D35" s="22">
        <v>263604</v>
      </c>
      <c r="E35" s="22">
        <v>234713</v>
      </c>
      <c r="F35" s="22">
        <v>260929</v>
      </c>
      <c r="G35" s="22">
        <v>240888</v>
      </c>
      <c r="H35" s="22">
        <v>197217</v>
      </c>
      <c r="I35" s="22">
        <v>205677</v>
      </c>
      <c r="J35" s="22">
        <v>155893</v>
      </c>
      <c r="K35" s="22">
        <v>189840</v>
      </c>
      <c r="L35" s="22">
        <v>299719</v>
      </c>
      <c r="M35" s="22">
        <v>373148</v>
      </c>
      <c r="N35" s="22">
        <v>335549</v>
      </c>
      <c r="O35" s="22">
        <v>353547</v>
      </c>
      <c r="P35" s="22">
        <v>343810</v>
      </c>
      <c r="Q35" s="3"/>
      <c r="R35" s="4"/>
      <c r="S35" s="4"/>
      <c r="T35" s="3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</row>
    <row r="36" spans="1:189" s="11" customFormat="1" ht="15.75" x14ac:dyDescent="0.25">
      <c r="A36" s="34" t="s">
        <v>44</v>
      </c>
      <c r="B36" s="35" t="s">
        <v>54</v>
      </c>
      <c r="C36" s="26">
        <f>C33+C34-C35</f>
        <v>11532759</v>
      </c>
      <c r="D36" s="26">
        <f t="shared" ref="D36:N36" si="32">D33+D34-D35</f>
        <v>12371005</v>
      </c>
      <c r="E36" s="26">
        <f t="shared" si="32"/>
        <v>13418236</v>
      </c>
      <c r="F36" s="26">
        <f t="shared" si="32"/>
        <v>14127764</v>
      </c>
      <c r="G36" s="26">
        <f t="shared" si="32"/>
        <v>15269873</v>
      </c>
      <c r="H36" s="26">
        <f t="shared" si="32"/>
        <v>16770325</v>
      </c>
      <c r="I36" s="26">
        <f t="shared" si="32"/>
        <v>18095612</v>
      </c>
      <c r="J36" s="26">
        <f t="shared" si="32"/>
        <v>18608274</v>
      </c>
      <c r="K36" s="26">
        <f t="shared" si="32"/>
        <v>18974039</v>
      </c>
      <c r="L36" s="26">
        <f t="shared" si="32"/>
        <v>16678624</v>
      </c>
      <c r="M36" s="26">
        <f t="shared" si="32"/>
        <v>17463481</v>
      </c>
      <c r="N36" s="26">
        <f t="shared" si="32"/>
        <v>18947327</v>
      </c>
      <c r="O36" s="26">
        <f t="shared" ref="O36" si="33">O33+O34-O35</f>
        <v>20431484</v>
      </c>
      <c r="P36" s="26">
        <f t="shared" ref="P36" si="34">P33+P34-P35</f>
        <v>21781681</v>
      </c>
      <c r="Q36" s="3"/>
      <c r="R36" s="4"/>
      <c r="S36" s="4"/>
      <c r="T36" s="3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</row>
    <row r="37" spans="1:189" s="11" customFormat="1" ht="15.75" x14ac:dyDescent="0.25">
      <c r="A37" s="34" t="s">
        <v>45</v>
      </c>
      <c r="B37" s="35" t="s">
        <v>41</v>
      </c>
      <c r="C37" s="37">
        <f>GSVA_cur!C37</f>
        <v>101640</v>
      </c>
      <c r="D37" s="37">
        <f>GSVA_cur!D37</f>
        <v>102980</v>
      </c>
      <c r="E37" s="37">
        <f>GSVA_cur!E37</f>
        <v>104320</v>
      </c>
      <c r="F37" s="37">
        <f>GSVA_cur!F37</f>
        <v>105650</v>
      </c>
      <c r="G37" s="37">
        <f>GSVA_cur!G37</f>
        <v>106990</v>
      </c>
      <c r="H37" s="37">
        <f>GSVA_cur!H37</f>
        <v>108300</v>
      </c>
      <c r="I37" s="37">
        <f>GSVA_cur!I37</f>
        <v>109590</v>
      </c>
      <c r="J37" s="37">
        <f>GSVA_cur!J37</f>
        <v>110880</v>
      </c>
      <c r="K37" s="37">
        <f>GSVA_cur!K37</f>
        <v>112170</v>
      </c>
      <c r="L37" s="37">
        <f>GSVA_cur!L37</f>
        <v>113460</v>
      </c>
      <c r="M37" s="37">
        <f>GSVA_cur!M37</f>
        <v>114680</v>
      </c>
      <c r="N37" s="37">
        <f>GSVA_cur!N37</f>
        <v>115870</v>
      </c>
      <c r="O37" s="37">
        <f>GSVA_cur!O37</f>
        <v>117060</v>
      </c>
      <c r="P37" s="37">
        <f>GSVA_cur!P37</f>
        <v>118240</v>
      </c>
      <c r="Q37" s="1"/>
      <c r="R37" s="2"/>
      <c r="S37" s="2"/>
      <c r="T37" s="1"/>
      <c r="U37" s="1"/>
      <c r="V37" s="1"/>
      <c r="W37" s="1"/>
      <c r="X37" s="1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</row>
    <row r="38" spans="1:189" s="11" customFormat="1" ht="15.75" x14ac:dyDescent="0.25">
      <c r="A38" s="34" t="s">
        <v>46</v>
      </c>
      <c r="B38" s="35" t="s">
        <v>57</v>
      </c>
      <c r="C38" s="26">
        <f>C36/C37*1000</f>
        <v>113466.73553719009</v>
      </c>
      <c r="D38" s="26">
        <f t="shared" ref="D38:N38" si="35">D36/D37*1000</f>
        <v>120130.17090697223</v>
      </c>
      <c r="E38" s="26">
        <f t="shared" si="35"/>
        <v>128625.72852760735</v>
      </c>
      <c r="F38" s="26">
        <f t="shared" si="35"/>
        <v>133722.32844297207</v>
      </c>
      <c r="G38" s="26">
        <f t="shared" si="35"/>
        <v>142722.43200299091</v>
      </c>
      <c r="H38" s="26">
        <f t="shared" si="35"/>
        <v>154850.64635272391</v>
      </c>
      <c r="I38" s="26">
        <f t="shared" si="35"/>
        <v>165121.01469112144</v>
      </c>
      <c r="J38" s="26">
        <f t="shared" si="35"/>
        <v>167823.53896103895</v>
      </c>
      <c r="K38" s="26">
        <f t="shared" si="35"/>
        <v>169154.31042168138</v>
      </c>
      <c r="L38" s="26">
        <f t="shared" si="35"/>
        <v>147000.03525471533</v>
      </c>
      <c r="M38" s="26">
        <f t="shared" si="35"/>
        <v>152280.09243111266</v>
      </c>
      <c r="N38" s="26">
        <f t="shared" si="35"/>
        <v>163522.28359368257</v>
      </c>
      <c r="O38" s="26">
        <f t="shared" ref="O38" si="36">O36/O37*1000</f>
        <v>174538.56142149324</v>
      </c>
      <c r="P38" s="26">
        <f t="shared" ref="P38" si="37">P36/P37*1000</f>
        <v>184215.84066305816</v>
      </c>
      <c r="Q38" s="1"/>
      <c r="R38" s="2"/>
      <c r="S38" s="2"/>
      <c r="T38" s="3"/>
      <c r="U38" s="3"/>
      <c r="V38" s="3"/>
      <c r="W38" s="3"/>
      <c r="X38" s="3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Y38" s="12"/>
      <c r="BZ38" s="12"/>
      <c r="CA38" s="12"/>
      <c r="CB38" s="12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</row>
    <row r="39" spans="1:189" x14ac:dyDescent="0.25">
      <c r="A39" s="2" t="s">
        <v>77</v>
      </c>
      <c r="C39" s="4"/>
      <c r="D39" s="4"/>
      <c r="E39" s="4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4" max="1048575" man="1"/>
    <brk id="36" max="1048575" man="1"/>
    <brk id="52" max="1048575" man="1"/>
    <brk id="116" max="95" man="1"/>
    <brk id="152" max="1048575" man="1"/>
    <brk id="176" max="1048575" man="1"/>
    <brk id="184" max="9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W39"/>
  <sheetViews>
    <sheetView zoomScale="78" zoomScaleNormal="78" zoomScaleSheetLayoutView="100" workbookViewId="0">
      <pane xSplit="2" ySplit="5" topLeftCell="C92" activePane="bottomRight" state="frozen"/>
      <selection activeCell="S30" sqref="S30"/>
      <selection pane="topRight" activeCell="S30" sqref="S30"/>
      <selection pane="bottomLeft" activeCell="S30" sqref="S30"/>
      <selection pane="bottomRight" activeCell="S30" sqref="S30"/>
    </sheetView>
  </sheetViews>
  <sheetFormatPr defaultColWidth="8.85546875" defaultRowHeight="15" x14ac:dyDescent="0.25"/>
  <cols>
    <col min="1" max="1" width="11" style="2" customWidth="1"/>
    <col min="2" max="2" width="32.7109375" style="2" customWidth="1"/>
    <col min="3" max="6" width="11.28515625" style="2" customWidth="1"/>
    <col min="7" max="16" width="11.85546875" style="1" customWidth="1"/>
    <col min="17" max="18" width="9.140625" style="2" customWidth="1"/>
    <col min="19" max="19" width="11.85546875" style="2" customWidth="1"/>
    <col min="20" max="20" width="11.28515625" style="2" customWidth="1"/>
    <col min="21" max="21" width="11.7109375" style="1" customWidth="1"/>
    <col min="22" max="22" width="9.140625" style="2" customWidth="1"/>
    <col min="23" max="23" width="10.85546875" style="2" customWidth="1"/>
    <col min="24" max="24" width="10.85546875" style="1" customWidth="1"/>
    <col min="25" max="25" width="11" style="2" customWidth="1"/>
    <col min="26" max="28" width="11.42578125" style="2" customWidth="1"/>
    <col min="29" max="56" width="9.140625" style="2" customWidth="1"/>
    <col min="57" max="57" width="12.42578125" style="2" customWidth="1"/>
    <col min="58" max="79" width="9.140625" style="2" customWidth="1"/>
    <col min="80" max="80" width="12.140625" style="2" customWidth="1"/>
    <col min="81" max="84" width="9.140625" style="2" customWidth="1"/>
    <col min="85" max="89" width="9.140625" style="2" hidden="1" customWidth="1"/>
    <col min="90" max="90" width="9.140625" style="2" customWidth="1"/>
    <col min="91" max="95" width="9.140625" style="2" hidden="1" customWidth="1"/>
    <col min="96" max="96" width="9.140625" style="2" customWidth="1"/>
    <col min="97" max="101" width="9.140625" style="2" hidden="1" customWidth="1"/>
    <col min="102" max="102" width="9.140625" style="2" customWidth="1"/>
    <col min="103" max="107" width="9.140625" style="2" hidden="1" customWidth="1"/>
    <col min="108" max="108" width="9.140625" style="2" customWidth="1"/>
    <col min="109" max="113" width="9.140625" style="2" hidden="1" customWidth="1"/>
    <col min="114" max="114" width="9.140625" style="1" customWidth="1"/>
    <col min="115" max="119" width="9.140625" style="1" hidden="1" customWidth="1"/>
    <col min="120" max="120" width="9.140625" style="1" customWidth="1"/>
    <col min="121" max="125" width="9.140625" style="1" hidden="1" customWidth="1"/>
    <col min="126" max="126" width="9.140625" style="1" customWidth="1"/>
    <col min="127" max="131" width="9.140625" style="1" hidden="1" customWidth="1"/>
    <col min="132" max="132" width="9.140625" style="1" customWidth="1"/>
    <col min="133" max="162" width="9.140625" style="2" customWidth="1"/>
    <col min="163" max="163" width="9.140625" style="2" hidden="1" customWidth="1"/>
    <col min="164" max="171" width="9.140625" style="2" customWidth="1"/>
    <col min="172" max="172" width="9.140625" style="2" hidden="1" customWidth="1"/>
    <col min="173" max="177" width="9.140625" style="2" customWidth="1"/>
    <col min="178" max="178" width="9.140625" style="2" hidden="1" customWidth="1"/>
    <col min="179" max="188" width="9.140625" style="2" customWidth="1"/>
    <col min="189" max="192" width="8.85546875" style="2"/>
    <col min="193" max="193" width="12.7109375" style="2" bestFit="1" customWidth="1"/>
    <col min="194" max="16384" width="8.85546875" style="2"/>
  </cols>
  <sheetData>
    <row r="1" spans="1:193" ht="18.75" x14ac:dyDescent="0.3">
      <c r="A1" s="2" t="s">
        <v>52</v>
      </c>
      <c r="B1" s="6" t="s">
        <v>65</v>
      </c>
      <c r="W1" s="3"/>
    </row>
    <row r="2" spans="1:193" ht="15.75" x14ac:dyDescent="0.25">
      <c r="A2" s="7" t="s">
        <v>49</v>
      </c>
      <c r="I2" s="1" t="str">
        <f>[1]GSVA_cur!$I$3</f>
        <v>01.08.2025</v>
      </c>
    </row>
    <row r="3" spans="1:193" ht="15.75" x14ac:dyDescent="0.25">
      <c r="A3" s="7"/>
    </row>
    <row r="4" spans="1:193" ht="15.75" x14ac:dyDescent="0.25">
      <c r="A4" s="7"/>
      <c r="E4" s="8"/>
      <c r="F4" s="8" t="s">
        <v>56</v>
      </c>
    </row>
    <row r="5" spans="1:193" ht="15.75" x14ac:dyDescent="0.25">
      <c r="A5" s="13" t="s">
        <v>0</v>
      </c>
      <c r="B5" s="14" t="s">
        <v>1</v>
      </c>
      <c r="C5" s="15" t="s">
        <v>20</v>
      </c>
      <c r="D5" s="15" t="s">
        <v>21</v>
      </c>
      <c r="E5" s="15" t="s">
        <v>22</v>
      </c>
      <c r="F5" s="15" t="s">
        <v>55</v>
      </c>
      <c r="G5" s="16" t="s">
        <v>64</v>
      </c>
      <c r="H5" s="16" t="s">
        <v>68</v>
      </c>
      <c r="I5" s="16" t="s">
        <v>70</v>
      </c>
      <c r="J5" s="16" t="s">
        <v>71</v>
      </c>
      <c r="K5" s="16" t="s">
        <v>72</v>
      </c>
      <c r="L5" s="16" t="s">
        <v>73</v>
      </c>
      <c r="M5" s="16" t="s">
        <v>74</v>
      </c>
      <c r="N5" s="16" t="s">
        <v>75</v>
      </c>
      <c r="O5" s="16" t="s">
        <v>76</v>
      </c>
      <c r="P5" s="16" t="s">
        <v>78</v>
      </c>
    </row>
    <row r="6" spans="1:193" s="10" customFormat="1" ht="15.75" x14ac:dyDescent="0.25">
      <c r="A6" s="17" t="s">
        <v>25</v>
      </c>
      <c r="B6" s="18" t="s">
        <v>2</v>
      </c>
      <c r="C6" s="19">
        <f>SUM(C7:C10)</f>
        <v>1213170</v>
      </c>
      <c r="D6" s="19">
        <f t="shared" ref="D6:N6" si="0">SUM(D7:D10)</f>
        <v>1401550</v>
      </c>
      <c r="E6" s="19">
        <f t="shared" si="0"/>
        <v>1419465</v>
      </c>
      <c r="F6" s="19">
        <f t="shared" si="0"/>
        <v>1432575</v>
      </c>
      <c r="G6" s="19">
        <f t="shared" si="0"/>
        <v>1436512</v>
      </c>
      <c r="H6" s="19">
        <f t="shared" si="0"/>
        <v>1487936</v>
      </c>
      <c r="I6" s="19">
        <f t="shared" si="0"/>
        <v>1695787</v>
      </c>
      <c r="J6" s="19">
        <f t="shared" si="0"/>
        <v>1751565</v>
      </c>
      <c r="K6" s="19">
        <f t="shared" si="0"/>
        <v>2079594</v>
      </c>
      <c r="L6" s="19">
        <f t="shared" si="0"/>
        <v>2404110</v>
      </c>
      <c r="M6" s="19">
        <f t="shared" si="0"/>
        <v>2331785</v>
      </c>
      <c r="N6" s="19">
        <f t="shared" si="0"/>
        <v>2155740</v>
      </c>
      <c r="O6" s="19">
        <f t="shared" ref="O6:P6" si="1">SUM(O7:O10)</f>
        <v>2224367</v>
      </c>
      <c r="P6" s="19">
        <f t="shared" si="1"/>
        <v>2341264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K6" s="11"/>
    </row>
    <row r="7" spans="1:193" ht="15.75" x14ac:dyDescent="0.25">
      <c r="A7" s="20">
        <v>1.1000000000000001</v>
      </c>
      <c r="B7" s="21" t="s">
        <v>58</v>
      </c>
      <c r="C7" s="22">
        <v>654767</v>
      </c>
      <c r="D7" s="22">
        <v>775511</v>
      </c>
      <c r="E7" s="22">
        <v>700763</v>
      </c>
      <c r="F7" s="22">
        <v>692967</v>
      </c>
      <c r="G7" s="22">
        <v>652381</v>
      </c>
      <c r="H7" s="22">
        <v>660791</v>
      </c>
      <c r="I7" s="22">
        <v>805380</v>
      </c>
      <c r="J7" s="22">
        <v>778793</v>
      </c>
      <c r="K7" s="22">
        <v>937238</v>
      </c>
      <c r="L7" s="22">
        <v>1009004</v>
      </c>
      <c r="M7" s="22">
        <v>998953</v>
      </c>
      <c r="N7" s="22">
        <v>646811</v>
      </c>
      <c r="O7" s="22">
        <v>700351</v>
      </c>
      <c r="P7" s="22">
        <v>734906</v>
      </c>
      <c r="Q7" s="4"/>
      <c r="R7" s="4"/>
      <c r="S7" s="4"/>
      <c r="T7" s="4"/>
      <c r="U7" s="3"/>
      <c r="V7" s="4"/>
      <c r="W7" s="4"/>
      <c r="X7" s="3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1"/>
      <c r="GI7" s="1"/>
      <c r="GJ7" s="1"/>
    </row>
    <row r="8" spans="1:193" ht="15.75" x14ac:dyDescent="0.25">
      <c r="A8" s="20">
        <v>1.2</v>
      </c>
      <c r="B8" s="21" t="s">
        <v>59</v>
      </c>
      <c r="C8" s="22">
        <v>283437</v>
      </c>
      <c r="D8" s="22">
        <v>308835</v>
      </c>
      <c r="E8" s="22">
        <v>345879</v>
      </c>
      <c r="F8" s="22">
        <v>395013</v>
      </c>
      <c r="G8" s="22">
        <v>444688</v>
      </c>
      <c r="H8" s="22">
        <v>484616</v>
      </c>
      <c r="I8" s="22">
        <v>528121</v>
      </c>
      <c r="J8" s="22">
        <v>582477</v>
      </c>
      <c r="K8" s="22">
        <v>620061</v>
      </c>
      <c r="L8" s="22">
        <v>623375</v>
      </c>
      <c r="M8" s="22">
        <v>651136</v>
      </c>
      <c r="N8" s="22">
        <v>690921</v>
      </c>
      <c r="O8" s="22">
        <v>748607</v>
      </c>
      <c r="P8" s="22">
        <v>797881</v>
      </c>
      <c r="Q8" s="4"/>
      <c r="R8" s="4"/>
      <c r="S8" s="4"/>
      <c r="T8" s="4"/>
      <c r="U8" s="3"/>
      <c r="V8" s="4"/>
      <c r="W8" s="4"/>
      <c r="X8" s="3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1"/>
      <c r="GI8" s="1"/>
      <c r="GJ8" s="1"/>
    </row>
    <row r="9" spans="1:193" ht="15.75" x14ac:dyDescent="0.25">
      <c r="A9" s="20">
        <v>1.3</v>
      </c>
      <c r="B9" s="21" t="s">
        <v>60</v>
      </c>
      <c r="C9" s="22">
        <v>271823</v>
      </c>
      <c r="D9" s="22">
        <v>313817</v>
      </c>
      <c r="E9" s="22">
        <v>368801</v>
      </c>
      <c r="F9" s="22">
        <v>340250</v>
      </c>
      <c r="G9" s="22">
        <v>334778</v>
      </c>
      <c r="H9" s="22">
        <v>337535</v>
      </c>
      <c r="I9" s="22">
        <v>356682</v>
      </c>
      <c r="J9" s="22">
        <v>384082</v>
      </c>
      <c r="K9" s="22">
        <v>515531</v>
      </c>
      <c r="L9" s="22">
        <v>765282</v>
      </c>
      <c r="M9" s="22">
        <v>674613</v>
      </c>
      <c r="N9" s="22">
        <v>808201</v>
      </c>
      <c r="O9" s="22">
        <v>762651</v>
      </c>
      <c r="P9" s="22">
        <v>794102</v>
      </c>
      <c r="Q9" s="4"/>
      <c r="R9" s="4"/>
      <c r="S9" s="4"/>
      <c r="T9" s="4"/>
      <c r="U9" s="3"/>
      <c r="V9" s="4"/>
      <c r="W9" s="4"/>
      <c r="X9" s="3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1"/>
      <c r="GI9" s="1"/>
      <c r="GJ9" s="1"/>
    </row>
    <row r="10" spans="1:193" ht="15.75" x14ac:dyDescent="0.25">
      <c r="A10" s="20">
        <v>1.4</v>
      </c>
      <c r="B10" s="21" t="s">
        <v>61</v>
      </c>
      <c r="C10" s="22">
        <v>3143</v>
      </c>
      <c r="D10" s="22">
        <v>3387</v>
      </c>
      <c r="E10" s="22">
        <v>4022</v>
      </c>
      <c r="F10" s="22">
        <v>4345</v>
      </c>
      <c r="G10" s="22">
        <v>4665</v>
      </c>
      <c r="H10" s="22">
        <v>4994</v>
      </c>
      <c r="I10" s="22">
        <v>5604</v>
      </c>
      <c r="J10" s="22">
        <v>6213</v>
      </c>
      <c r="K10" s="22">
        <v>6764</v>
      </c>
      <c r="L10" s="22">
        <v>6449</v>
      </c>
      <c r="M10" s="22">
        <v>7083</v>
      </c>
      <c r="N10" s="22">
        <v>9807</v>
      </c>
      <c r="O10" s="22">
        <v>12758</v>
      </c>
      <c r="P10" s="22">
        <v>14375</v>
      </c>
      <c r="Q10" s="4"/>
      <c r="R10" s="4"/>
      <c r="S10" s="4"/>
      <c r="T10" s="4"/>
      <c r="U10" s="3"/>
      <c r="V10" s="4"/>
      <c r="W10" s="4"/>
      <c r="X10" s="3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1"/>
      <c r="GI10" s="1"/>
      <c r="GJ10" s="1"/>
    </row>
    <row r="11" spans="1:193" ht="15.75" x14ac:dyDescent="0.25">
      <c r="A11" s="23" t="s">
        <v>30</v>
      </c>
      <c r="B11" s="21" t="s">
        <v>3</v>
      </c>
      <c r="C11" s="22">
        <v>154792</v>
      </c>
      <c r="D11" s="22">
        <v>161095</v>
      </c>
      <c r="E11" s="22">
        <v>256450</v>
      </c>
      <c r="F11" s="22">
        <v>200940</v>
      </c>
      <c r="G11" s="22">
        <v>169672</v>
      </c>
      <c r="H11" s="22">
        <v>213134</v>
      </c>
      <c r="I11" s="22">
        <v>248671</v>
      </c>
      <c r="J11" s="22">
        <v>287658</v>
      </c>
      <c r="K11" s="22">
        <v>235431</v>
      </c>
      <c r="L11" s="22">
        <v>174869</v>
      </c>
      <c r="M11" s="22">
        <v>246982</v>
      </c>
      <c r="N11" s="22">
        <v>292560</v>
      </c>
      <c r="O11" s="22">
        <v>323335</v>
      </c>
      <c r="P11" s="22">
        <v>358493</v>
      </c>
      <c r="Q11" s="4"/>
      <c r="R11" s="4"/>
      <c r="S11" s="4"/>
      <c r="T11" s="4"/>
      <c r="U11" s="3"/>
      <c r="V11" s="4"/>
      <c r="W11" s="4"/>
      <c r="X11" s="3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1"/>
      <c r="GI11" s="1"/>
      <c r="GJ11" s="1"/>
    </row>
    <row r="12" spans="1:193" s="11" customFormat="1" ht="15.75" x14ac:dyDescent="0.25">
      <c r="A12" s="24"/>
      <c r="B12" s="25" t="s">
        <v>27</v>
      </c>
      <c r="C12" s="26">
        <f>C6+C11</f>
        <v>1367962</v>
      </c>
      <c r="D12" s="26">
        <f t="shared" ref="D12:N12" si="2">D6+D11</f>
        <v>1562645</v>
      </c>
      <c r="E12" s="26">
        <f t="shared" si="2"/>
        <v>1675915</v>
      </c>
      <c r="F12" s="26">
        <f t="shared" si="2"/>
        <v>1633515</v>
      </c>
      <c r="G12" s="26">
        <f t="shared" si="2"/>
        <v>1606184</v>
      </c>
      <c r="H12" s="26">
        <f t="shared" si="2"/>
        <v>1701070</v>
      </c>
      <c r="I12" s="26">
        <f t="shared" si="2"/>
        <v>1944458</v>
      </c>
      <c r="J12" s="26">
        <f t="shared" si="2"/>
        <v>2039223</v>
      </c>
      <c r="K12" s="26">
        <f t="shared" si="2"/>
        <v>2315025</v>
      </c>
      <c r="L12" s="26">
        <f t="shared" si="2"/>
        <v>2578979</v>
      </c>
      <c r="M12" s="26">
        <f t="shared" si="2"/>
        <v>2578767</v>
      </c>
      <c r="N12" s="26">
        <f t="shared" si="2"/>
        <v>2448300</v>
      </c>
      <c r="O12" s="26">
        <f t="shared" ref="O12:P12" si="3">O6+O11</f>
        <v>2547702</v>
      </c>
      <c r="P12" s="26">
        <f t="shared" si="3"/>
        <v>2699757</v>
      </c>
      <c r="Q12" s="4"/>
      <c r="R12" s="4"/>
      <c r="S12" s="4"/>
      <c r="T12" s="4"/>
      <c r="U12" s="3"/>
      <c r="V12" s="4"/>
      <c r="W12" s="4"/>
      <c r="X12" s="3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0"/>
      <c r="GI12" s="10"/>
      <c r="GJ12" s="10"/>
    </row>
    <row r="13" spans="1:193" s="1" customFormat="1" ht="15.75" x14ac:dyDescent="0.25">
      <c r="A13" s="27" t="s">
        <v>31</v>
      </c>
      <c r="B13" s="28" t="s">
        <v>4</v>
      </c>
      <c r="C13" s="22">
        <v>3741191</v>
      </c>
      <c r="D13" s="22">
        <v>4442738</v>
      </c>
      <c r="E13" s="22">
        <v>4790836</v>
      </c>
      <c r="F13" s="22">
        <v>5242331</v>
      </c>
      <c r="G13" s="22">
        <v>5740501</v>
      </c>
      <c r="H13" s="22">
        <v>6419260</v>
      </c>
      <c r="I13" s="22">
        <v>6965287</v>
      </c>
      <c r="J13" s="22">
        <v>7150837</v>
      </c>
      <c r="K13" s="22">
        <v>7086507</v>
      </c>
      <c r="L13" s="22">
        <v>6075824</v>
      </c>
      <c r="M13" s="22">
        <v>6011948</v>
      </c>
      <c r="N13" s="22">
        <v>6215987</v>
      </c>
      <c r="O13" s="22">
        <v>6994720</v>
      </c>
      <c r="P13" s="22">
        <v>7754542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K13" s="2"/>
    </row>
    <row r="14" spans="1:193" ht="30" x14ac:dyDescent="0.25">
      <c r="A14" s="23" t="s">
        <v>32</v>
      </c>
      <c r="B14" s="21" t="s">
        <v>5</v>
      </c>
      <c r="C14" s="22">
        <v>275878</v>
      </c>
      <c r="D14" s="22">
        <v>281177</v>
      </c>
      <c r="E14" s="22">
        <v>247257</v>
      </c>
      <c r="F14" s="22">
        <v>280188</v>
      </c>
      <c r="G14" s="22">
        <v>374982</v>
      </c>
      <c r="H14" s="22">
        <v>385802</v>
      </c>
      <c r="I14" s="22">
        <v>463359</v>
      </c>
      <c r="J14" s="22">
        <v>482789</v>
      </c>
      <c r="K14" s="22">
        <v>514697</v>
      </c>
      <c r="L14" s="22">
        <v>512032</v>
      </c>
      <c r="M14" s="22">
        <v>610956</v>
      </c>
      <c r="N14" s="22">
        <v>575992</v>
      </c>
      <c r="O14" s="22">
        <v>663057</v>
      </c>
      <c r="P14" s="22">
        <v>770626</v>
      </c>
      <c r="Q14" s="4"/>
      <c r="R14" s="4"/>
      <c r="S14" s="4"/>
      <c r="T14" s="4"/>
      <c r="U14" s="3"/>
      <c r="V14" s="4"/>
      <c r="W14" s="4"/>
      <c r="X14" s="3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3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3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3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1"/>
      <c r="GI14" s="1"/>
      <c r="GJ14" s="1"/>
    </row>
    <row r="15" spans="1:193" ht="15.75" x14ac:dyDescent="0.25">
      <c r="A15" s="23" t="s">
        <v>33</v>
      </c>
      <c r="B15" s="21" t="s">
        <v>6</v>
      </c>
      <c r="C15" s="22">
        <v>841393</v>
      </c>
      <c r="D15" s="22">
        <v>887346</v>
      </c>
      <c r="E15" s="22">
        <v>1166721</v>
      </c>
      <c r="F15" s="22">
        <v>1221319</v>
      </c>
      <c r="G15" s="22">
        <v>1235382</v>
      </c>
      <c r="H15" s="22">
        <v>1329432</v>
      </c>
      <c r="I15" s="22">
        <v>1460067</v>
      </c>
      <c r="J15" s="22">
        <v>1668761</v>
      </c>
      <c r="K15" s="22">
        <v>1665487</v>
      </c>
      <c r="L15" s="22">
        <v>1618749</v>
      </c>
      <c r="M15" s="22">
        <v>2230983</v>
      </c>
      <c r="N15" s="22">
        <v>3248976</v>
      </c>
      <c r="O15" s="22">
        <v>3817921</v>
      </c>
      <c r="P15" s="22">
        <v>4467863</v>
      </c>
      <c r="Q15" s="4"/>
      <c r="R15" s="4"/>
      <c r="S15" s="4"/>
      <c r="T15" s="4"/>
      <c r="U15" s="3"/>
      <c r="V15" s="4"/>
      <c r="W15" s="4"/>
      <c r="X15" s="3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3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3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3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1"/>
      <c r="GI15" s="1"/>
      <c r="GJ15" s="1"/>
    </row>
    <row r="16" spans="1:193" s="11" customFormat="1" ht="15.75" x14ac:dyDescent="0.25">
      <c r="A16" s="24"/>
      <c r="B16" s="25" t="s">
        <v>28</v>
      </c>
      <c r="C16" s="26">
        <f>+C13+C14+C15</f>
        <v>4858462</v>
      </c>
      <c r="D16" s="26">
        <f t="shared" ref="D16:N16" si="4">+D13+D14+D15</f>
        <v>5611261</v>
      </c>
      <c r="E16" s="26">
        <f t="shared" si="4"/>
        <v>6204814</v>
      </c>
      <c r="F16" s="26">
        <f t="shared" si="4"/>
        <v>6743838</v>
      </c>
      <c r="G16" s="26">
        <f t="shared" si="4"/>
        <v>7350865</v>
      </c>
      <c r="H16" s="26">
        <f t="shared" si="4"/>
        <v>8134494</v>
      </c>
      <c r="I16" s="26">
        <f t="shared" si="4"/>
        <v>8888713</v>
      </c>
      <c r="J16" s="26">
        <f t="shared" si="4"/>
        <v>9302387</v>
      </c>
      <c r="K16" s="26">
        <f t="shared" si="4"/>
        <v>9266691</v>
      </c>
      <c r="L16" s="26">
        <f t="shared" si="4"/>
        <v>8206605</v>
      </c>
      <c r="M16" s="26">
        <f t="shared" si="4"/>
        <v>8853887</v>
      </c>
      <c r="N16" s="26">
        <f t="shared" si="4"/>
        <v>10040955</v>
      </c>
      <c r="O16" s="26">
        <f t="shared" ref="O16:P16" si="5">+O13+O14+O15</f>
        <v>11475698</v>
      </c>
      <c r="P16" s="26">
        <f t="shared" si="5"/>
        <v>12993031</v>
      </c>
      <c r="Q16" s="4"/>
      <c r="R16" s="4"/>
      <c r="S16" s="4"/>
      <c r="T16" s="4"/>
      <c r="U16" s="3"/>
      <c r="V16" s="4"/>
      <c r="W16" s="4"/>
      <c r="X16" s="3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9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9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9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0"/>
      <c r="GI16" s="10"/>
      <c r="GJ16" s="10"/>
    </row>
    <row r="17" spans="1:193" s="10" customFormat="1" ht="30" x14ac:dyDescent="0.25">
      <c r="A17" s="17" t="s">
        <v>34</v>
      </c>
      <c r="B17" s="18" t="s">
        <v>7</v>
      </c>
      <c r="C17" s="19">
        <f>C18+C19</f>
        <v>1136811</v>
      </c>
      <c r="D17" s="19">
        <f t="shared" ref="D17:N17" si="6">D18+D19</f>
        <v>1344055</v>
      </c>
      <c r="E17" s="19">
        <f t="shared" si="6"/>
        <v>1542920</v>
      </c>
      <c r="F17" s="19">
        <f t="shared" si="6"/>
        <v>1708605</v>
      </c>
      <c r="G17" s="19">
        <f t="shared" si="6"/>
        <v>1933088</v>
      </c>
      <c r="H17" s="19">
        <f t="shared" si="6"/>
        <v>2305561</v>
      </c>
      <c r="I17" s="19">
        <f t="shared" si="6"/>
        <v>2727162</v>
      </c>
      <c r="J17" s="19">
        <f t="shared" si="6"/>
        <v>3176930</v>
      </c>
      <c r="K17" s="19">
        <f t="shared" si="6"/>
        <v>3498950</v>
      </c>
      <c r="L17" s="19">
        <f t="shared" si="6"/>
        <v>2714531</v>
      </c>
      <c r="M17" s="19">
        <f t="shared" si="6"/>
        <v>3578482</v>
      </c>
      <c r="N17" s="19">
        <f t="shared" si="6"/>
        <v>4586517</v>
      </c>
      <c r="O17" s="19">
        <f t="shared" ref="O17:P17" si="7">O18+O19</f>
        <v>5196336</v>
      </c>
      <c r="P17" s="19">
        <f t="shared" si="7"/>
        <v>5607791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K17" s="11"/>
    </row>
    <row r="18" spans="1:193" ht="15.75" x14ac:dyDescent="0.25">
      <c r="A18" s="20">
        <v>6.1</v>
      </c>
      <c r="B18" s="21" t="s">
        <v>8</v>
      </c>
      <c r="C18" s="22">
        <v>966324</v>
      </c>
      <c r="D18" s="22">
        <v>1162750</v>
      </c>
      <c r="E18" s="22">
        <v>1378222</v>
      </c>
      <c r="F18" s="22">
        <v>1535833</v>
      </c>
      <c r="G18" s="22">
        <v>1733167</v>
      </c>
      <c r="H18" s="22">
        <v>2083147</v>
      </c>
      <c r="I18" s="22">
        <v>2479062</v>
      </c>
      <c r="J18" s="22">
        <v>2883681</v>
      </c>
      <c r="K18" s="22">
        <v>3199362</v>
      </c>
      <c r="L18" s="22">
        <v>2612229</v>
      </c>
      <c r="M18" s="22">
        <v>3358991</v>
      </c>
      <c r="N18" s="22">
        <v>4166514</v>
      </c>
      <c r="O18" s="22">
        <v>4715370</v>
      </c>
      <c r="P18" s="22">
        <v>5105589</v>
      </c>
      <c r="Q18" s="4"/>
      <c r="R18" s="4"/>
      <c r="S18" s="4"/>
      <c r="T18" s="4"/>
      <c r="U18" s="3"/>
      <c r="V18" s="4"/>
      <c r="W18" s="4"/>
      <c r="X18" s="3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1"/>
      <c r="GI18" s="1"/>
      <c r="GJ18" s="1"/>
    </row>
    <row r="19" spans="1:193" ht="15.75" x14ac:dyDescent="0.25">
      <c r="A19" s="20">
        <v>6.2</v>
      </c>
      <c r="B19" s="21" t="s">
        <v>9</v>
      </c>
      <c r="C19" s="22">
        <v>170487</v>
      </c>
      <c r="D19" s="22">
        <v>181305</v>
      </c>
      <c r="E19" s="22">
        <v>164698</v>
      </c>
      <c r="F19" s="22">
        <v>172772</v>
      </c>
      <c r="G19" s="22">
        <v>199921</v>
      </c>
      <c r="H19" s="22">
        <v>222414</v>
      </c>
      <c r="I19" s="22">
        <v>248100</v>
      </c>
      <c r="J19" s="22">
        <v>293249</v>
      </c>
      <c r="K19" s="22">
        <v>299588</v>
      </c>
      <c r="L19" s="22">
        <v>102302</v>
      </c>
      <c r="M19" s="22">
        <v>219491</v>
      </c>
      <c r="N19" s="22">
        <v>420003</v>
      </c>
      <c r="O19" s="22">
        <v>480966</v>
      </c>
      <c r="P19" s="22">
        <v>502202</v>
      </c>
      <c r="Q19" s="4"/>
      <c r="R19" s="4"/>
      <c r="S19" s="4"/>
      <c r="T19" s="4"/>
      <c r="U19" s="3"/>
      <c r="V19" s="4"/>
      <c r="W19" s="4"/>
      <c r="X19" s="3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1"/>
      <c r="GI19" s="1"/>
      <c r="GJ19" s="1"/>
    </row>
    <row r="20" spans="1:193" s="10" customFormat="1" ht="30" x14ac:dyDescent="0.25">
      <c r="A20" s="29" t="s">
        <v>35</v>
      </c>
      <c r="B20" s="30" t="s">
        <v>10</v>
      </c>
      <c r="C20" s="19">
        <f>SUM(C21:C27)</f>
        <v>527892</v>
      </c>
      <c r="D20" s="19">
        <f t="shared" ref="D20:N20" si="8">SUM(D21:D27)</f>
        <v>636477</v>
      </c>
      <c r="E20" s="19">
        <f t="shared" si="8"/>
        <v>734391</v>
      </c>
      <c r="F20" s="19">
        <f t="shared" si="8"/>
        <v>844065</v>
      </c>
      <c r="G20" s="19">
        <f t="shared" si="8"/>
        <v>1018349</v>
      </c>
      <c r="H20" s="19">
        <f t="shared" si="8"/>
        <v>1012301</v>
      </c>
      <c r="I20" s="19">
        <f t="shared" si="8"/>
        <v>919433</v>
      </c>
      <c r="J20" s="19">
        <f t="shared" si="8"/>
        <v>925323</v>
      </c>
      <c r="K20" s="19">
        <f t="shared" si="8"/>
        <v>1056872</v>
      </c>
      <c r="L20" s="19">
        <f t="shared" si="8"/>
        <v>1093691</v>
      </c>
      <c r="M20" s="19">
        <f t="shared" si="8"/>
        <v>1470945</v>
      </c>
      <c r="N20" s="19">
        <f t="shared" si="8"/>
        <v>1708176</v>
      </c>
      <c r="O20" s="19">
        <f t="shared" ref="O20:P20" si="9">SUM(O21:O27)</f>
        <v>1872080</v>
      </c>
      <c r="P20" s="19">
        <f t="shared" si="9"/>
        <v>2050041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K20" s="11"/>
    </row>
    <row r="21" spans="1:193" ht="15.75" x14ac:dyDescent="0.25">
      <c r="A21" s="20">
        <v>7.1</v>
      </c>
      <c r="B21" s="21" t="s">
        <v>11</v>
      </c>
      <c r="C21" s="22">
        <v>9539</v>
      </c>
      <c r="D21" s="22">
        <v>11306</v>
      </c>
      <c r="E21" s="22">
        <v>10973</v>
      </c>
      <c r="F21" s="22">
        <v>13349</v>
      </c>
      <c r="G21" s="22">
        <v>16823</v>
      </c>
      <c r="H21" s="22">
        <v>16357</v>
      </c>
      <c r="I21" s="22">
        <v>14623</v>
      </c>
      <c r="J21" s="22">
        <v>12601</v>
      </c>
      <c r="K21" s="22">
        <v>18363</v>
      </c>
      <c r="L21" s="22">
        <v>15192</v>
      </c>
      <c r="M21" s="22">
        <v>9823</v>
      </c>
      <c r="N21" s="22">
        <v>16564</v>
      </c>
      <c r="O21" s="22">
        <v>20053</v>
      </c>
      <c r="P21" s="22">
        <v>26003</v>
      </c>
      <c r="Q21" s="4"/>
      <c r="R21" s="4"/>
      <c r="S21" s="4"/>
      <c r="T21" s="4"/>
      <c r="U21" s="3"/>
      <c r="V21" s="4"/>
      <c r="W21" s="4"/>
      <c r="X21" s="3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1"/>
      <c r="GI21" s="1"/>
      <c r="GJ21" s="1"/>
    </row>
    <row r="22" spans="1:193" ht="15.75" x14ac:dyDescent="0.25">
      <c r="A22" s="20">
        <v>7.2</v>
      </c>
      <c r="B22" s="21" t="s">
        <v>69</v>
      </c>
      <c r="C22" s="22">
        <v>190572</v>
      </c>
      <c r="D22" s="22">
        <v>228072</v>
      </c>
      <c r="E22" s="22">
        <v>247857</v>
      </c>
      <c r="F22" s="22">
        <v>267337</v>
      </c>
      <c r="G22" s="22">
        <v>289761</v>
      </c>
      <c r="H22" s="22">
        <v>315397</v>
      </c>
      <c r="I22" s="22">
        <v>337890</v>
      </c>
      <c r="J22" s="22">
        <v>359163</v>
      </c>
      <c r="K22" s="22">
        <v>368441</v>
      </c>
      <c r="L22" s="22">
        <v>295424</v>
      </c>
      <c r="M22" s="22">
        <v>495292</v>
      </c>
      <c r="N22" s="22">
        <v>499192</v>
      </c>
      <c r="O22" s="22">
        <v>521316</v>
      </c>
      <c r="P22" s="22">
        <v>553131</v>
      </c>
      <c r="Q22" s="4"/>
      <c r="R22" s="4"/>
      <c r="S22" s="4"/>
      <c r="T22" s="4"/>
      <c r="U22" s="3"/>
      <c r="V22" s="4"/>
      <c r="W22" s="4"/>
      <c r="X22" s="3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1"/>
      <c r="GI22" s="1"/>
      <c r="GJ22" s="1"/>
    </row>
    <row r="23" spans="1:193" ht="15.75" x14ac:dyDescent="0.25">
      <c r="A23" s="20">
        <v>7.3</v>
      </c>
      <c r="B23" s="21" t="s">
        <v>12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4"/>
      <c r="R23" s="4"/>
      <c r="S23" s="4"/>
      <c r="T23" s="4"/>
      <c r="U23" s="3"/>
      <c r="V23" s="4"/>
      <c r="W23" s="4"/>
      <c r="X23" s="3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1"/>
      <c r="GI23" s="1"/>
      <c r="GJ23" s="1"/>
    </row>
    <row r="24" spans="1:193" ht="15.75" x14ac:dyDescent="0.25">
      <c r="A24" s="20">
        <v>7.4</v>
      </c>
      <c r="B24" s="21" t="s">
        <v>13</v>
      </c>
      <c r="C24" s="22">
        <v>569</v>
      </c>
      <c r="D24" s="22">
        <v>1079</v>
      </c>
      <c r="E24" s="22">
        <v>1863</v>
      </c>
      <c r="F24" s="22">
        <v>1524</v>
      </c>
      <c r="G24" s="22">
        <v>3591</v>
      </c>
      <c r="H24" s="22">
        <v>6330</v>
      </c>
      <c r="I24" s="22">
        <v>7011</v>
      </c>
      <c r="J24" s="22">
        <v>3281</v>
      </c>
      <c r="K24" s="22">
        <v>5468</v>
      </c>
      <c r="L24" s="22">
        <v>807</v>
      </c>
      <c r="M24" s="22">
        <v>393</v>
      </c>
      <c r="N24" s="22">
        <v>2683</v>
      </c>
      <c r="O24" s="22">
        <v>4597</v>
      </c>
      <c r="P24" s="22">
        <v>6797</v>
      </c>
      <c r="Q24" s="4"/>
      <c r="R24" s="4"/>
      <c r="S24" s="4"/>
      <c r="T24" s="4"/>
      <c r="U24" s="3"/>
      <c r="V24" s="4"/>
      <c r="W24" s="4"/>
      <c r="X24" s="3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1"/>
      <c r="GI24" s="1"/>
      <c r="GJ24" s="1"/>
    </row>
    <row r="25" spans="1:193" ht="15.75" x14ac:dyDescent="0.25">
      <c r="A25" s="20">
        <v>7.5</v>
      </c>
      <c r="B25" s="21" t="s">
        <v>14</v>
      </c>
      <c r="C25" s="22">
        <v>0</v>
      </c>
      <c r="D25" s="22">
        <v>0</v>
      </c>
      <c r="E25" s="22">
        <v>0</v>
      </c>
      <c r="F25" s="22">
        <v>-76</v>
      </c>
      <c r="G25" s="22">
        <v>-34</v>
      </c>
      <c r="H25" s="22">
        <v>6512</v>
      </c>
      <c r="I25" s="22">
        <v>6827</v>
      </c>
      <c r="J25" s="22">
        <v>4030</v>
      </c>
      <c r="K25" s="22">
        <v>9439</v>
      </c>
      <c r="L25" s="22">
        <v>2034</v>
      </c>
      <c r="M25" s="22">
        <v>4793</v>
      </c>
      <c r="N25" s="22">
        <v>12143</v>
      </c>
      <c r="O25" s="22">
        <v>12993</v>
      </c>
      <c r="P25" s="22">
        <v>13148</v>
      </c>
      <c r="Q25" s="4"/>
      <c r="R25" s="4"/>
      <c r="S25" s="4"/>
      <c r="T25" s="4"/>
      <c r="U25" s="3"/>
      <c r="V25" s="4"/>
      <c r="W25" s="4"/>
      <c r="X25" s="3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1"/>
      <c r="GI25" s="1"/>
      <c r="GJ25" s="1"/>
    </row>
    <row r="26" spans="1:193" ht="15.75" x14ac:dyDescent="0.25">
      <c r="A26" s="20">
        <v>7.6</v>
      </c>
      <c r="B26" s="21" t="s">
        <v>15</v>
      </c>
      <c r="C26" s="22">
        <v>496</v>
      </c>
      <c r="D26" s="22">
        <v>587</v>
      </c>
      <c r="E26" s="22">
        <v>622</v>
      </c>
      <c r="F26" s="22">
        <v>544</v>
      </c>
      <c r="G26" s="22">
        <v>598</v>
      </c>
      <c r="H26" s="22">
        <v>1207</v>
      </c>
      <c r="I26" s="22">
        <v>160</v>
      </c>
      <c r="J26" s="22">
        <v>2065</v>
      </c>
      <c r="K26" s="22">
        <v>1015</v>
      </c>
      <c r="L26" s="22">
        <v>639</v>
      </c>
      <c r="M26" s="22">
        <v>984</v>
      </c>
      <c r="N26" s="22">
        <v>934</v>
      </c>
      <c r="O26" s="22">
        <v>980</v>
      </c>
      <c r="P26" s="22">
        <v>1069</v>
      </c>
      <c r="Q26" s="4"/>
      <c r="R26" s="4"/>
      <c r="S26" s="4"/>
      <c r="T26" s="4"/>
      <c r="U26" s="3"/>
      <c r="V26" s="4"/>
      <c r="W26" s="4"/>
      <c r="X26" s="3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1"/>
      <c r="GI26" s="1"/>
      <c r="GJ26" s="1"/>
    </row>
    <row r="27" spans="1:193" ht="30" x14ac:dyDescent="0.25">
      <c r="A27" s="20">
        <v>7.7</v>
      </c>
      <c r="B27" s="21" t="s">
        <v>16</v>
      </c>
      <c r="C27" s="22">
        <v>326716</v>
      </c>
      <c r="D27" s="22">
        <v>395433</v>
      </c>
      <c r="E27" s="22">
        <v>473076</v>
      </c>
      <c r="F27" s="22">
        <v>561387</v>
      </c>
      <c r="G27" s="22">
        <v>707610</v>
      </c>
      <c r="H27" s="22">
        <v>666498</v>
      </c>
      <c r="I27" s="22">
        <v>552922</v>
      </c>
      <c r="J27" s="22">
        <v>544183</v>
      </c>
      <c r="K27" s="22">
        <v>654146</v>
      </c>
      <c r="L27" s="22">
        <v>779595</v>
      </c>
      <c r="M27" s="22">
        <v>959660</v>
      </c>
      <c r="N27" s="22">
        <v>1176660</v>
      </c>
      <c r="O27" s="22">
        <v>1312141</v>
      </c>
      <c r="P27" s="22">
        <v>1449893</v>
      </c>
      <c r="Q27" s="4"/>
      <c r="R27" s="4"/>
      <c r="S27" s="4"/>
      <c r="T27" s="4"/>
      <c r="U27" s="3"/>
      <c r="V27" s="4"/>
      <c r="W27" s="4"/>
      <c r="X27" s="3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1"/>
      <c r="GI27" s="1"/>
      <c r="GJ27" s="1"/>
    </row>
    <row r="28" spans="1:193" ht="15.75" x14ac:dyDescent="0.25">
      <c r="A28" s="23" t="s">
        <v>36</v>
      </c>
      <c r="B28" s="21" t="s">
        <v>17</v>
      </c>
      <c r="C28" s="22">
        <v>288686</v>
      </c>
      <c r="D28" s="22">
        <v>314745</v>
      </c>
      <c r="E28" s="22">
        <v>353151</v>
      </c>
      <c r="F28" s="22">
        <v>394906</v>
      </c>
      <c r="G28" s="22">
        <v>438799</v>
      </c>
      <c r="H28" s="22">
        <v>443352</v>
      </c>
      <c r="I28" s="22">
        <v>519771</v>
      </c>
      <c r="J28" s="22">
        <v>577273</v>
      </c>
      <c r="K28" s="22">
        <v>629057</v>
      </c>
      <c r="L28" s="22">
        <v>735415</v>
      </c>
      <c r="M28" s="22">
        <v>712352</v>
      </c>
      <c r="N28" s="22">
        <v>854150</v>
      </c>
      <c r="O28" s="22">
        <v>938112</v>
      </c>
      <c r="P28" s="22">
        <v>1076706</v>
      </c>
      <c r="Q28" s="4"/>
      <c r="R28" s="4"/>
      <c r="S28" s="4"/>
      <c r="T28" s="4"/>
      <c r="U28" s="3"/>
      <c r="V28" s="4"/>
      <c r="W28" s="4"/>
      <c r="X28" s="3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1"/>
      <c r="GI28" s="1"/>
      <c r="GJ28" s="1"/>
    </row>
    <row r="29" spans="1:193" ht="30" x14ac:dyDescent="0.25">
      <c r="A29" s="23" t="s">
        <v>37</v>
      </c>
      <c r="B29" s="21" t="s">
        <v>18</v>
      </c>
      <c r="C29" s="22">
        <v>458980</v>
      </c>
      <c r="D29" s="22">
        <v>519027</v>
      </c>
      <c r="E29" s="22">
        <v>563330</v>
      </c>
      <c r="F29" s="22">
        <v>619845</v>
      </c>
      <c r="G29" s="22">
        <v>643928</v>
      </c>
      <c r="H29" s="22">
        <v>697363</v>
      </c>
      <c r="I29" s="22">
        <v>778264</v>
      </c>
      <c r="J29" s="22">
        <v>848885</v>
      </c>
      <c r="K29" s="22">
        <v>892013</v>
      </c>
      <c r="L29" s="22">
        <v>890729</v>
      </c>
      <c r="M29" s="22">
        <v>1015937</v>
      </c>
      <c r="N29" s="22">
        <v>1128711</v>
      </c>
      <c r="O29" s="22">
        <v>1297704</v>
      </c>
      <c r="P29" s="22">
        <v>1448112</v>
      </c>
      <c r="Q29" s="4"/>
      <c r="R29" s="4"/>
      <c r="S29" s="4"/>
      <c r="T29" s="4"/>
      <c r="U29" s="3"/>
      <c r="V29" s="4"/>
      <c r="W29" s="4"/>
      <c r="X29" s="3"/>
      <c r="Y29" s="5"/>
      <c r="Z29" s="5"/>
      <c r="AA29" s="5"/>
      <c r="AB29" s="5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1"/>
      <c r="GI29" s="1"/>
      <c r="GJ29" s="1"/>
    </row>
    <row r="30" spans="1:193" ht="15.75" x14ac:dyDescent="0.25">
      <c r="A30" s="23" t="s">
        <v>38</v>
      </c>
      <c r="B30" s="21" t="s">
        <v>53</v>
      </c>
      <c r="C30" s="22">
        <v>396607</v>
      </c>
      <c r="D30" s="22">
        <v>307267</v>
      </c>
      <c r="E30" s="22">
        <v>378633</v>
      </c>
      <c r="F30" s="22">
        <v>486807</v>
      </c>
      <c r="G30" s="22">
        <v>540161</v>
      </c>
      <c r="H30" s="22">
        <v>620647</v>
      </c>
      <c r="I30" s="22">
        <v>772522</v>
      </c>
      <c r="J30" s="22">
        <v>747178</v>
      </c>
      <c r="K30" s="22">
        <v>702942</v>
      </c>
      <c r="L30" s="22">
        <v>801708</v>
      </c>
      <c r="M30" s="22">
        <v>904437</v>
      </c>
      <c r="N30" s="22">
        <v>950757</v>
      </c>
      <c r="O30" s="22">
        <v>1062833</v>
      </c>
      <c r="P30" s="22">
        <v>1232414</v>
      </c>
      <c r="Q30" s="4"/>
      <c r="R30" s="4"/>
      <c r="S30" s="4"/>
      <c r="T30" s="4"/>
      <c r="U30" s="3"/>
      <c r="V30" s="4"/>
      <c r="W30" s="4"/>
      <c r="X30" s="3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1"/>
      <c r="GI30" s="1"/>
      <c r="GJ30" s="1"/>
    </row>
    <row r="31" spans="1:193" ht="15.75" x14ac:dyDescent="0.25">
      <c r="A31" s="23" t="s">
        <v>39</v>
      </c>
      <c r="B31" s="21" t="s">
        <v>19</v>
      </c>
      <c r="C31" s="22">
        <v>461087</v>
      </c>
      <c r="D31" s="22">
        <v>622245</v>
      </c>
      <c r="E31" s="22">
        <v>771210</v>
      </c>
      <c r="F31" s="22">
        <v>852108</v>
      </c>
      <c r="G31" s="22">
        <v>939549</v>
      </c>
      <c r="H31" s="22">
        <v>1074345</v>
      </c>
      <c r="I31" s="22">
        <v>1284386</v>
      </c>
      <c r="J31" s="22">
        <v>1333070</v>
      </c>
      <c r="K31" s="22">
        <v>1432256</v>
      </c>
      <c r="L31" s="22">
        <v>1436733</v>
      </c>
      <c r="M31" s="22">
        <v>1613733</v>
      </c>
      <c r="N31" s="22">
        <v>1674607</v>
      </c>
      <c r="O31" s="22">
        <v>1821325</v>
      </c>
      <c r="P31" s="22">
        <v>1986025</v>
      </c>
      <c r="Q31" s="4"/>
      <c r="R31" s="4"/>
      <c r="S31" s="4"/>
      <c r="T31" s="4"/>
      <c r="U31" s="3"/>
      <c r="V31" s="4"/>
      <c r="W31" s="4"/>
      <c r="X31" s="3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1"/>
      <c r="GI31" s="1"/>
      <c r="GJ31" s="1"/>
    </row>
    <row r="32" spans="1:193" s="11" customFormat="1" ht="15.75" x14ac:dyDescent="0.25">
      <c r="A32" s="24"/>
      <c r="B32" s="25" t="s">
        <v>29</v>
      </c>
      <c r="C32" s="26">
        <f>C17+C20+C28+C29+C30+C31</f>
        <v>3270063</v>
      </c>
      <c r="D32" s="26">
        <f t="shared" ref="D32:M32" si="10">D17+D20+D28+D29+D30+D31</f>
        <v>3743816</v>
      </c>
      <c r="E32" s="26">
        <f t="shared" si="10"/>
        <v>4343635</v>
      </c>
      <c r="F32" s="26">
        <f t="shared" si="10"/>
        <v>4906336</v>
      </c>
      <c r="G32" s="26">
        <f t="shared" si="10"/>
        <v>5513874</v>
      </c>
      <c r="H32" s="26">
        <f t="shared" si="10"/>
        <v>6153569</v>
      </c>
      <c r="I32" s="26">
        <f t="shared" si="10"/>
        <v>7001538</v>
      </c>
      <c r="J32" s="26">
        <f t="shared" si="10"/>
        <v>7608659</v>
      </c>
      <c r="K32" s="26">
        <f t="shared" si="10"/>
        <v>8212090</v>
      </c>
      <c r="L32" s="26">
        <f t="shared" si="10"/>
        <v>7672807</v>
      </c>
      <c r="M32" s="26">
        <f t="shared" si="10"/>
        <v>9295886</v>
      </c>
      <c r="N32" s="26">
        <f t="shared" ref="N32" si="11">N17+N20+N28+N29+N30+N31</f>
        <v>10902918</v>
      </c>
      <c r="O32" s="26">
        <f t="shared" ref="O32" si="12">O17+O20+O28+O29+O30+O31</f>
        <v>12188390</v>
      </c>
      <c r="P32" s="26">
        <f t="shared" ref="P32" si="13">P17+P20+P28+P29+P30+P31</f>
        <v>13401089</v>
      </c>
      <c r="Q32" s="4"/>
      <c r="R32" s="4"/>
      <c r="S32" s="4"/>
      <c r="T32" s="4"/>
      <c r="U32" s="3"/>
      <c r="V32" s="4"/>
      <c r="W32" s="4"/>
      <c r="X32" s="3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0"/>
      <c r="GI32" s="10"/>
      <c r="GJ32" s="10"/>
    </row>
    <row r="33" spans="1:193" s="10" customFormat="1" ht="15.75" x14ac:dyDescent="0.25">
      <c r="A33" s="17" t="s">
        <v>26</v>
      </c>
      <c r="B33" s="31" t="s">
        <v>50</v>
      </c>
      <c r="C33" s="19">
        <f t="shared" ref="C33:M33" si="14">C6+C11+C13+C14+C15+C17+C20+C28+C29+C30+C31</f>
        <v>9496487</v>
      </c>
      <c r="D33" s="19">
        <f t="shared" si="14"/>
        <v>10917722</v>
      </c>
      <c r="E33" s="19">
        <f t="shared" si="14"/>
        <v>12224364</v>
      </c>
      <c r="F33" s="19">
        <f t="shared" si="14"/>
        <v>13283689</v>
      </c>
      <c r="G33" s="19">
        <f t="shared" si="14"/>
        <v>14470923</v>
      </c>
      <c r="H33" s="19">
        <f t="shared" si="14"/>
        <v>15989133</v>
      </c>
      <c r="I33" s="19">
        <f t="shared" si="14"/>
        <v>17834709</v>
      </c>
      <c r="J33" s="19">
        <f t="shared" si="14"/>
        <v>18950269</v>
      </c>
      <c r="K33" s="19">
        <f t="shared" si="14"/>
        <v>19793806</v>
      </c>
      <c r="L33" s="19">
        <f t="shared" si="14"/>
        <v>18458391</v>
      </c>
      <c r="M33" s="19">
        <f t="shared" si="14"/>
        <v>20728540</v>
      </c>
      <c r="N33" s="19">
        <f t="shared" ref="N33" si="15">N6+N11+N13+N14+N15+N17+N20+N28+N29+N30+N31</f>
        <v>23392173</v>
      </c>
      <c r="O33" s="19">
        <f t="shared" ref="O33" si="16">O6+O11+O13+O14+O15+O17+O20+O28+O29+O30+O31</f>
        <v>26211790</v>
      </c>
      <c r="P33" s="19">
        <f t="shared" ref="P33" si="17">P6+P11+P13+P14+P15+P17+P20+P28+P29+P30+P31</f>
        <v>29093877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K33" s="11"/>
    </row>
    <row r="34" spans="1:193" s="11" customFormat="1" ht="15.75" x14ac:dyDescent="0.25">
      <c r="A34" s="34" t="s">
        <v>42</v>
      </c>
      <c r="B34" s="35" t="s">
        <v>24</v>
      </c>
      <c r="C34" s="37">
        <f>GSVA_cur!C34</f>
        <v>919682</v>
      </c>
      <c r="D34" s="37">
        <f>GSVA_cur!D34</f>
        <v>1067367</v>
      </c>
      <c r="E34" s="37">
        <f>GSVA_cur!E34</f>
        <v>1217857</v>
      </c>
      <c r="F34" s="37">
        <f>GSVA_cur!F34</f>
        <v>1392111</v>
      </c>
      <c r="G34" s="37">
        <f>GSVA_cur!G34</f>
        <v>1633720</v>
      </c>
      <c r="H34" s="37">
        <f>GSVA_cur!H34</f>
        <v>1757054</v>
      </c>
      <c r="I34" s="37">
        <f>GSVA_cur!I34</f>
        <v>2232084</v>
      </c>
      <c r="J34" s="37">
        <f>GSVA_cur!J34</f>
        <v>1890978</v>
      </c>
      <c r="K34" s="37">
        <f>GSVA_cur!K34</f>
        <v>1824252</v>
      </c>
      <c r="L34" s="37">
        <f>GSVA_cur!L34</f>
        <v>1751462</v>
      </c>
      <c r="M34" s="37">
        <f>GSVA_cur!M34</f>
        <v>2141050</v>
      </c>
      <c r="N34" s="37">
        <f>GSVA_cur!N34</f>
        <v>2598158</v>
      </c>
      <c r="O34" s="37">
        <f>GSVA_cur!O34</f>
        <v>3176226</v>
      </c>
      <c r="P34" s="37">
        <f>GSVA_cur!P34</f>
        <v>3896777</v>
      </c>
      <c r="Q34" s="4"/>
      <c r="R34" s="4"/>
      <c r="S34" s="4"/>
      <c r="T34" s="4"/>
      <c r="U34" s="3"/>
      <c r="V34" s="4"/>
      <c r="W34" s="4"/>
      <c r="X34" s="3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</row>
    <row r="35" spans="1:193" s="11" customFormat="1" ht="15.75" x14ac:dyDescent="0.25">
      <c r="A35" s="34" t="s">
        <v>43</v>
      </c>
      <c r="B35" s="35" t="s">
        <v>23</v>
      </c>
      <c r="C35" s="37">
        <f>GSVA_cur!C35</f>
        <v>220207</v>
      </c>
      <c r="D35" s="37">
        <f>GSVA_cur!D35</f>
        <v>280963</v>
      </c>
      <c r="E35" s="37">
        <f>GSVA_cur!E35</f>
        <v>260811</v>
      </c>
      <c r="F35" s="37">
        <f>GSVA_cur!F35</f>
        <v>296913</v>
      </c>
      <c r="G35" s="37">
        <f>GSVA_cur!G35</f>
        <v>276921</v>
      </c>
      <c r="H35" s="37">
        <f>GSVA_cur!H35</f>
        <v>228434</v>
      </c>
      <c r="I35" s="37">
        <f>GSVA_cur!I35</f>
        <v>246620</v>
      </c>
      <c r="J35" s="37">
        <f>GSVA_cur!J35</f>
        <v>194592</v>
      </c>
      <c r="K35" s="37">
        <f>GSVA_cur!K35</f>
        <v>243181</v>
      </c>
      <c r="L35" s="37">
        <f>GSVA_cur!L35</f>
        <v>408080</v>
      </c>
      <c r="M35" s="37">
        <f>GSVA_cur!M35</f>
        <v>544860</v>
      </c>
      <c r="N35" s="37">
        <f>GSVA_cur!N35</f>
        <v>516348</v>
      </c>
      <c r="O35" s="37">
        <f>GSVA_cur!O35</f>
        <v>570362</v>
      </c>
      <c r="P35" s="37">
        <f>GSVA_cur!P35</f>
        <v>585271</v>
      </c>
      <c r="Q35" s="4"/>
      <c r="R35" s="4"/>
      <c r="S35" s="4"/>
      <c r="T35" s="4"/>
      <c r="U35" s="3"/>
      <c r="V35" s="4"/>
      <c r="W35" s="4"/>
      <c r="X35" s="3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</row>
    <row r="36" spans="1:193" s="11" customFormat="1" ht="15.75" x14ac:dyDescent="0.25">
      <c r="A36" s="34" t="s">
        <v>44</v>
      </c>
      <c r="B36" s="35" t="s">
        <v>62</v>
      </c>
      <c r="C36" s="26">
        <f>C33+C34-C35</f>
        <v>10195962</v>
      </c>
      <c r="D36" s="26">
        <f t="shared" ref="D36:N36" si="18">D33+D34-D35</f>
        <v>11704126</v>
      </c>
      <c r="E36" s="26">
        <f t="shared" si="18"/>
        <v>13181410</v>
      </c>
      <c r="F36" s="26">
        <f t="shared" si="18"/>
        <v>14378887</v>
      </c>
      <c r="G36" s="26">
        <f t="shared" si="18"/>
        <v>15827722</v>
      </c>
      <c r="H36" s="26">
        <f t="shared" si="18"/>
        <v>17517753</v>
      </c>
      <c r="I36" s="26">
        <f t="shared" si="18"/>
        <v>19820173</v>
      </c>
      <c r="J36" s="26">
        <f t="shared" si="18"/>
        <v>20646655</v>
      </c>
      <c r="K36" s="26">
        <f t="shared" si="18"/>
        <v>21374877</v>
      </c>
      <c r="L36" s="26">
        <f t="shared" si="18"/>
        <v>19801773</v>
      </c>
      <c r="M36" s="26">
        <f t="shared" si="18"/>
        <v>22324730</v>
      </c>
      <c r="N36" s="26">
        <f t="shared" si="18"/>
        <v>25473983</v>
      </c>
      <c r="O36" s="26">
        <f t="shared" ref="O36" si="19">O33+O34-O35</f>
        <v>28817654</v>
      </c>
      <c r="P36" s="26">
        <f t="shared" ref="P36" si="20">P33+P34-P35</f>
        <v>32405383</v>
      </c>
      <c r="Q36" s="4"/>
      <c r="R36" s="4"/>
      <c r="S36" s="4"/>
      <c r="T36" s="4"/>
      <c r="U36" s="3"/>
      <c r="V36" s="4"/>
      <c r="W36" s="4"/>
      <c r="X36" s="3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</row>
    <row r="37" spans="1:193" s="11" customFormat="1" ht="15.75" x14ac:dyDescent="0.25">
      <c r="A37" s="34" t="s">
        <v>45</v>
      </c>
      <c r="B37" s="35" t="s">
        <v>41</v>
      </c>
      <c r="C37" s="37">
        <f>GSVA_cur!C37</f>
        <v>101640</v>
      </c>
      <c r="D37" s="37">
        <f>GSVA_cur!D37</f>
        <v>102980</v>
      </c>
      <c r="E37" s="37">
        <f>GSVA_cur!E37</f>
        <v>104320</v>
      </c>
      <c r="F37" s="37">
        <f>GSVA_cur!F37</f>
        <v>105650</v>
      </c>
      <c r="G37" s="37">
        <f>GSVA_cur!G37</f>
        <v>106990</v>
      </c>
      <c r="H37" s="37">
        <f>GSVA_cur!H37</f>
        <v>108300</v>
      </c>
      <c r="I37" s="37">
        <f>GSVA_cur!I37</f>
        <v>109590</v>
      </c>
      <c r="J37" s="37">
        <f>GSVA_cur!J37</f>
        <v>110880</v>
      </c>
      <c r="K37" s="37">
        <f>GSVA_cur!K37</f>
        <v>112170</v>
      </c>
      <c r="L37" s="37">
        <f>GSVA_cur!L37</f>
        <v>113460</v>
      </c>
      <c r="M37" s="37">
        <f>GSVA_cur!M37</f>
        <v>114680</v>
      </c>
      <c r="N37" s="37">
        <f>GSVA_cur!N37</f>
        <v>115870</v>
      </c>
      <c r="O37" s="37">
        <f>GSVA_cur!O37</f>
        <v>117060</v>
      </c>
      <c r="P37" s="37">
        <f>GSVA_cur!P37</f>
        <v>118240</v>
      </c>
      <c r="Q37" s="2"/>
      <c r="R37" s="2"/>
      <c r="S37" s="2"/>
      <c r="T37" s="2"/>
      <c r="U37" s="1"/>
      <c r="V37" s="2"/>
      <c r="W37" s="2"/>
      <c r="X37" s="1"/>
      <c r="Y37" s="1"/>
      <c r="Z37" s="1"/>
      <c r="AA37" s="1"/>
      <c r="AB37" s="1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</row>
    <row r="38" spans="1:193" s="11" customFormat="1" ht="15.75" x14ac:dyDescent="0.25">
      <c r="A38" s="34" t="s">
        <v>46</v>
      </c>
      <c r="B38" s="35" t="s">
        <v>63</v>
      </c>
      <c r="C38" s="26">
        <f>C36/C37*1000</f>
        <v>100314.46280991736</v>
      </c>
      <c r="D38" s="26">
        <f t="shared" ref="D38:L38" si="21">D36/D37*1000</f>
        <v>113654.3600699165</v>
      </c>
      <c r="E38" s="26">
        <f t="shared" si="21"/>
        <v>126355.54064417178</v>
      </c>
      <c r="F38" s="26">
        <f t="shared" si="21"/>
        <v>136099.26171320397</v>
      </c>
      <c r="G38" s="26">
        <f t="shared" si="21"/>
        <v>147936.46135152818</v>
      </c>
      <c r="H38" s="26">
        <f t="shared" si="21"/>
        <v>161752.10526315789</v>
      </c>
      <c r="I38" s="26">
        <f t="shared" si="21"/>
        <v>180857.49612190892</v>
      </c>
      <c r="J38" s="26">
        <f t="shared" si="21"/>
        <v>186207.205988456</v>
      </c>
      <c r="K38" s="26">
        <f t="shared" si="21"/>
        <v>190557.87643755015</v>
      </c>
      <c r="L38" s="26">
        <f t="shared" si="21"/>
        <v>174526.46747752512</v>
      </c>
      <c r="M38" s="26">
        <f t="shared" ref="M38:N38" si="22">M36/M37*1000</f>
        <v>194669.77677014301</v>
      </c>
      <c r="N38" s="26">
        <f t="shared" si="22"/>
        <v>219849.68499180116</v>
      </c>
      <c r="O38" s="26">
        <f t="shared" ref="O38" si="23">O36/O37*1000</f>
        <v>246178.48966342048</v>
      </c>
      <c r="P38" s="26">
        <f t="shared" ref="P38" si="24">P36/P37*1000</f>
        <v>274064.47056833562</v>
      </c>
      <c r="Q38" s="2"/>
      <c r="R38" s="2"/>
      <c r="S38" s="2"/>
      <c r="T38" s="2"/>
      <c r="U38" s="1"/>
      <c r="V38" s="2"/>
      <c r="W38" s="2"/>
      <c r="X38" s="3"/>
      <c r="Y38" s="3"/>
      <c r="Z38" s="3"/>
      <c r="AA38" s="3"/>
      <c r="AB38" s="3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CC38" s="12"/>
      <c r="CD38" s="12"/>
      <c r="CE38" s="12"/>
      <c r="CF38" s="12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</row>
    <row r="39" spans="1:193" x14ac:dyDescent="0.25">
      <c r="A39" s="2" t="s">
        <v>77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8" max="1048575" man="1"/>
    <brk id="40" max="1048575" man="1"/>
    <brk id="56" max="1048575" man="1"/>
    <brk id="120" max="95" man="1"/>
    <brk id="156" max="1048575" man="1"/>
    <brk id="180" max="1048575" man="1"/>
    <brk id="188" max="9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S39"/>
  <sheetViews>
    <sheetView zoomScale="78" zoomScaleNormal="78" zoomScaleSheetLayoutView="100" workbookViewId="0">
      <pane xSplit="2" ySplit="5" topLeftCell="C30" activePane="bottomRight" state="frozen"/>
      <selection activeCell="S30" sqref="S30"/>
      <selection pane="topRight" activeCell="S30" sqref="S30"/>
      <selection pane="bottomLeft" activeCell="S30" sqref="S30"/>
      <selection pane="bottomRight" activeCell="S30" sqref="S30"/>
    </sheetView>
  </sheetViews>
  <sheetFormatPr defaultColWidth="8.85546875" defaultRowHeight="15" x14ac:dyDescent="0.25"/>
  <cols>
    <col min="1" max="1" width="11" style="2" customWidth="1"/>
    <col min="2" max="2" width="22.7109375" style="2" customWidth="1"/>
    <col min="3" max="6" width="10" style="2" customWidth="1"/>
    <col min="7" max="16" width="10" style="1" customWidth="1"/>
    <col min="17" max="17" width="11.7109375" style="1" customWidth="1"/>
    <col min="18" max="18" width="9.140625" style="2" customWidth="1"/>
    <col min="19" max="19" width="10.85546875" style="2" customWidth="1"/>
    <col min="20" max="20" width="10.85546875" style="1" customWidth="1"/>
    <col min="21" max="21" width="11" style="2" customWidth="1"/>
    <col min="22" max="24" width="11.42578125" style="2" customWidth="1"/>
    <col min="25" max="52" width="9.140625" style="2" customWidth="1"/>
    <col min="53" max="53" width="12.42578125" style="2" customWidth="1"/>
    <col min="54" max="75" width="9.140625" style="2" customWidth="1"/>
    <col min="76" max="76" width="12.140625" style="2" customWidth="1"/>
    <col min="77" max="80" width="9.140625" style="2" customWidth="1"/>
    <col min="81" max="85" width="9.140625" style="2" hidden="1" customWidth="1"/>
    <col min="86" max="86" width="9.140625" style="2" customWidth="1"/>
    <col min="87" max="91" width="9.140625" style="2" hidden="1" customWidth="1"/>
    <col min="92" max="92" width="9.140625" style="2" customWidth="1"/>
    <col min="93" max="97" width="9.140625" style="2" hidden="1" customWidth="1"/>
    <col min="98" max="98" width="9.140625" style="2" customWidth="1"/>
    <col min="99" max="103" width="9.140625" style="2" hidden="1" customWidth="1"/>
    <col min="104" max="104" width="9.140625" style="2" customWidth="1"/>
    <col min="105" max="109" width="9.140625" style="2" hidden="1" customWidth="1"/>
    <col min="110" max="110" width="9.140625" style="1" customWidth="1"/>
    <col min="111" max="115" width="9.140625" style="1" hidden="1" customWidth="1"/>
    <col min="116" max="116" width="9.140625" style="1" customWidth="1"/>
    <col min="117" max="121" width="9.140625" style="1" hidden="1" customWidth="1"/>
    <col min="122" max="122" width="9.140625" style="1" customWidth="1"/>
    <col min="123" max="127" width="9.140625" style="1" hidden="1" customWidth="1"/>
    <col min="128" max="128" width="9.140625" style="1" customWidth="1"/>
    <col min="129" max="158" width="9.140625" style="2" customWidth="1"/>
    <col min="159" max="159" width="9.140625" style="2" hidden="1" customWidth="1"/>
    <col min="160" max="167" width="9.140625" style="2" customWidth="1"/>
    <col min="168" max="168" width="9.140625" style="2" hidden="1" customWidth="1"/>
    <col min="169" max="173" width="9.140625" style="2" customWidth="1"/>
    <col min="174" max="174" width="9.140625" style="2" hidden="1" customWidth="1"/>
    <col min="175" max="184" width="9.140625" style="2" customWidth="1"/>
    <col min="185" max="188" width="8.85546875" style="2"/>
    <col min="189" max="189" width="12.7109375" style="2" bestFit="1" customWidth="1"/>
    <col min="190" max="16384" width="8.85546875" style="2"/>
  </cols>
  <sheetData>
    <row r="1" spans="1:189" ht="18.75" x14ac:dyDescent="0.3">
      <c r="A1" s="2" t="s">
        <v>52</v>
      </c>
      <c r="B1" s="6" t="s">
        <v>65</v>
      </c>
      <c r="S1" s="3"/>
    </row>
    <row r="2" spans="1:189" ht="15.75" x14ac:dyDescent="0.25">
      <c r="A2" s="7" t="s">
        <v>51</v>
      </c>
      <c r="I2" s="1" t="str">
        <f>[1]GSVA_cur!$I$3</f>
        <v>01.08.2025</v>
      </c>
    </row>
    <row r="3" spans="1:189" ht="15.75" x14ac:dyDescent="0.25">
      <c r="A3" s="7"/>
    </row>
    <row r="4" spans="1:189" ht="15.75" x14ac:dyDescent="0.25">
      <c r="A4" s="7"/>
      <c r="E4" s="8"/>
      <c r="F4" s="8" t="s">
        <v>56</v>
      </c>
    </row>
    <row r="5" spans="1:189" ht="15.75" x14ac:dyDescent="0.25">
      <c r="A5" s="13" t="s">
        <v>0</v>
      </c>
      <c r="B5" s="14" t="s">
        <v>1</v>
      </c>
      <c r="C5" s="15" t="s">
        <v>20</v>
      </c>
      <c r="D5" s="15" t="s">
        <v>21</v>
      </c>
      <c r="E5" s="15" t="s">
        <v>22</v>
      </c>
      <c r="F5" s="15" t="s">
        <v>55</v>
      </c>
      <c r="G5" s="16" t="s">
        <v>64</v>
      </c>
      <c r="H5" s="16" t="s">
        <v>68</v>
      </c>
      <c r="I5" s="16" t="s">
        <v>70</v>
      </c>
      <c r="J5" s="16" t="s">
        <v>71</v>
      </c>
      <c r="K5" s="16" t="s">
        <v>72</v>
      </c>
      <c r="L5" s="16" t="s">
        <v>73</v>
      </c>
      <c r="M5" s="16" t="s">
        <v>74</v>
      </c>
      <c r="N5" s="16" t="s">
        <v>75</v>
      </c>
      <c r="O5" s="16" t="s">
        <v>76</v>
      </c>
      <c r="P5" s="16" t="s">
        <v>78</v>
      </c>
    </row>
    <row r="6" spans="1:189" s="10" customFormat="1" ht="30" x14ac:dyDescent="0.25">
      <c r="A6" s="17" t="s">
        <v>25</v>
      </c>
      <c r="B6" s="18" t="s">
        <v>2</v>
      </c>
      <c r="C6" s="19">
        <f>SUM(C7:C10)</f>
        <v>1213171</v>
      </c>
      <c r="D6" s="19">
        <f t="shared" ref="D6:F6" si="0">SUM(D7:D10)</f>
        <v>1230430</v>
      </c>
      <c r="E6" s="19">
        <f t="shared" si="0"/>
        <v>1202748</v>
      </c>
      <c r="F6" s="19">
        <f t="shared" si="0"/>
        <v>1189556</v>
      </c>
      <c r="G6" s="19">
        <f t="shared" ref="G6:N6" si="1">SUM(G7:G10)</f>
        <v>1161853</v>
      </c>
      <c r="H6" s="19">
        <f t="shared" si="1"/>
        <v>1209502</v>
      </c>
      <c r="I6" s="19">
        <f t="shared" si="1"/>
        <v>1204443</v>
      </c>
      <c r="J6" s="19">
        <f t="shared" si="1"/>
        <v>1233933</v>
      </c>
      <c r="K6" s="19">
        <f t="shared" si="1"/>
        <v>1287877</v>
      </c>
      <c r="L6" s="19">
        <f t="shared" si="1"/>
        <v>1298018</v>
      </c>
      <c r="M6" s="19">
        <f t="shared" si="1"/>
        <v>1303256</v>
      </c>
      <c r="N6" s="19">
        <f t="shared" si="1"/>
        <v>1186250</v>
      </c>
      <c r="O6" s="19">
        <f t="shared" ref="O6:P6" si="2">SUM(O7:O10)</f>
        <v>1231536</v>
      </c>
      <c r="P6" s="19">
        <f t="shared" si="2"/>
        <v>1209065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G6" s="11"/>
    </row>
    <row r="7" spans="1:189" ht="15.75" x14ac:dyDescent="0.25">
      <c r="A7" s="20">
        <v>1.1000000000000001</v>
      </c>
      <c r="B7" s="21" t="s">
        <v>58</v>
      </c>
      <c r="C7" s="22">
        <v>654767</v>
      </c>
      <c r="D7" s="22">
        <v>655489</v>
      </c>
      <c r="E7" s="22">
        <v>597741</v>
      </c>
      <c r="F7" s="22">
        <v>577197</v>
      </c>
      <c r="G7" s="22">
        <v>509725</v>
      </c>
      <c r="H7" s="22">
        <v>543819</v>
      </c>
      <c r="I7" s="22">
        <v>542775</v>
      </c>
      <c r="J7" s="22">
        <v>529012</v>
      </c>
      <c r="K7" s="22">
        <v>545956</v>
      </c>
      <c r="L7" s="22">
        <v>573273</v>
      </c>
      <c r="M7" s="22">
        <v>581246</v>
      </c>
      <c r="N7" s="22">
        <v>446001</v>
      </c>
      <c r="O7" s="22">
        <v>463309</v>
      </c>
      <c r="P7" s="22">
        <v>419792</v>
      </c>
      <c r="Q7" s="3"/>
      <c r="R7" s="4"/>
      <c r="S7" s="4"/>
      <c r="T7" s="3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1"/>
      <c r="GE7" s="1"/>
      <c r="GF7" s="1"/>
    </row>
    <row r="8" spans="1:189" ht="15.75" x14ac:dyDescent="0.25">
      <c r="A8" s="20">
        <v>1.2</v>
      </c>
      <c r="B8" s="21" t="s">
        <v>59</v>
      </c>
      <c r="C8" s="22">
        <v>283437</v>
      </c>
      <c r="D8" s="22">
        <v>304267</v>
      </c>
      <c r="E8" s="22">
        <v>323455</v>
      </c>
      <c r="F8" s="22">
        <v>328656</v>
      </c>
      <c r="G8" s="22">
        <v>351308</v>
      </c>
      <c r="H8" s="22">
        <v>361407</v>
      </c>
      <c r="I8" s="22">
        <v>369226</v>
      </c>
      <c r="J8" s="22">
        <v>377775</v>
      </c>
      <c r="K8" s="22">
        <v>385717</v>
      </c>
      <c r="L8" s="22">
        <v>372931</v>
      </c>
      <c r="M8" s="22">
        <v>381819</v>
      </c>
      <c r="N8" s="22">
        <v>391752</v>
      </c>
      <c r="O8" s="22">
        <v>401377</v>
      </c>
      <c r="P8" s="22">
        <v>413813</v>
      </c>
      <c r="Q8" s="3"/>
      <c r="R8" s="4"/>
      <c r="S8" s="4"/>
      <c r="T8" s="3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1"/>
      <c r="GE8" s="1"/>
      <c r="GF8" s="1"/>
    </row>
    <row r="9" spans="1:189" ht="15.75" x14ac:dyDescent="0.25">
      <c r="A9" s="20">
        <v>1.3</v>
      </c>
      <c r="B9" s="21" t="s">
        <v>60</v>
      </c>
      <c r="C9" s="22">
        <v>271824</v>
      </c>
      <c r="D9" s="22">
        <v>267464</v>
      </c>
      <c r="E9" s="22">
        <v>278311</v>
      </c>
      <c r="F9" s="22">
        <v>280365</v>
      </c>
      <c r="G9" s="22">
        <v>297375</v>
      </c>
      <c r="H9" s="22">
        <v>300677</v>
      </c>
      <c r="I9" s="22">
        <v>288581</v>
      </c>
      <c r="J9" s="22">
        <v>322956</v>
      </c>
      <c r="K9" s="22">
        <v>351874</v>
      </c>
      <c r="L9" s="22">
        <v>347263</v>
      </c>
      <c r="M9" s="22">
        <v>334981</v>
      </c>
      <c r="N9" s="22">
        <v>342289</v>
      </c>
      <c r="O9" s="22">
        <v>359210</v>
      </c>
      <c r="P9" s="22">
        <v>367091</v>
      </c>
      <c r="Q9" s="3"/>
      <c r="R9" s="4"/>
      <c r="S9" s="4"/>
      <c r="T9" s="3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1"/>
      <c r="GE9" s="1"/>
      <c r="GF9" s="1"/>
    </row>
    <row r="10" spans="1:189" ht="15.75" x14ac:dyDescent="0.25">
      <c r="A10" s="20">
        <v>1.4</v>
      </c>
      <c r="B10" s="21" t="s">
        <v>61</v>
      </c>
      <c r="C10" s="22">
        <v>3143</v>
      </c>
      <c r="D10" s="22">
        <v>3210</v>
      </c>
      <c r="E10" s="22">
        <v>3241</v>
      </c>
      <c r="F10" s="22">
        <v>3338</v>
      </c>
      <c r="G10" s="22">
        <v>3445</v>
      </c>
      <c r="H10" s="22">
        <v>3599</v>
      </c>
      <c r="I10" s="22">
        <v>3861</v>
      </c>
      <c r="J10" s="22">
        <v>4190</v>
      </c>
      <c r="K10" s="22">
        <v>4330</v>
      </c>
      <c r="L10" s="22">
        <v>4551</v>
      </c>
      <c r="M10" s="22">
        <v>5210</v>
      </c>
      <c r="N10" s="22">
        <v>6208</v>
      </c>
      <c r="O10" s="22">
        <v>7640</v>
      </c>
      <c r="P10" s="22">
        <v>8369</v>
      </c>
      <c r="Q10" s="3"/>
      <c r="R10" s="4"/>
      <c r="S10" s="4"/>
      <c r="T10" s="3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1"/>
      <c r="GE10" s="1"/>
      <c r="GF10" s="1"/>
    </row>
    <row r="11" spans="1:189" ht="15.75" x14ac:dyDescent="0.25">
      <c r="A11" s="23" t="s">
        <v>30</v>
      </c>
      <c r="B11" s="21" t="s">
        <v>3</v>
      </c>
      <c r="C11" s="22">
        <v>154792</v>
      </c>
      <c r="D11" s="22">
        <v>139063</v>
      </c>
      <c r="E11" s="22">
        <v>206698</v>
      </c>
      <c r="F11" s="22">
        <v>187381</v>
      </c>
      <c r="G11" s="22">
        <v>164158</v>
      </c>
      <c r="H11" s="22">
        <v>222202</v>
      </c>
      <c r="I11" s="22">
        <v>281833</v>
      </c>
      <c r="J11" s="22">
        <v>269919</v>
      </c>
      <c r="K11" s="22">
        <v>249885</v>
      </c>
      <c r="L11" s="22">
        <v>195885</v>
      </c>
      <c r="M11" s="22">
        <v>175997</v>
      </c>
      <c r="N11" s="22">
        <v>141184</v>
      </c>
      <c r="O11" s="22">
        <v>150941</v>
      </c>
      <c r="P11" s="22">
        <v>164398</v>
      </c>
      <c r="Q11" s="3"/>
      <c r="R11" s="4"/>
      <c r="S11" s="4"/>
      <c r="T11" s="3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1"/>
      <c r="GE11" s="1"/>
      <c r="GF11" s="1"/>
    </row>
    <row r="12" spans="1:189" s="11" customFormat="1" ht="15.75" x14ac:dyDescent="0.25">
      <c r="A12" s="24"/>
      <c r="B12" s="25" t="s">
        <v>27</v>
      </c>
      <c r="C12" s="26">
        <f>C6+C11</f>
        <v>1367963</v>
      </c>
      <c r="D12" s="26">
        <f t="shared" ref="D12:F12" si="3">D6+D11</f>
        <v>1369493</v>
      </c>
      <c r="E12" s="26">
        <f t="shared" si="3"/>
        <v>1409446</v>
      </c>
      <c r="F12" s="26">
        <f t="shared" si="3"/>
        <v>1376937</v>
      </c>
      <c r="G12" s="26">
        <f t="shared" ref="G12:N12" si="4">G6+G11</f>
        <v>1326011</v>
      </c>
      <c r="H12" s="26">
        <f t="shared" si="4"/>
        <v>1431704</v>
      </c>
      <c r="I12" s="26">
        <f t="shared" si="4"/>
        <v>1486276</v>
      </c>
      <c r="J12" s="26">
        <f t="shared" si="4"/>
        <v>1503852</v>
      </c>
      <c r="K12" s="26">
        <f t="shared" si="4"/>
        <v>1537762</v>
      </c>
      <c r="L12" s="26">
        <f t="shared" si="4"/>
        <v>1493903</v>
      </c>
      <c r="M12" s="26">
        <f t="shared" si="4"/>
        <v>1479253</v>
      </c>
      <c r="N12" s="26">
        <f t="shared" si="4"/>
        <v>1327434</v>
      </c>
      <c r="O12" s="26">
        <f t="shared" ref="O12:P12" si="5">O6+O11</f>
        <v>1382477</v>
      </c>
      <c r="P12" s="26">
        <f t="shared" si="5"/>
        <v>1373463</v>
      </c>
      <c r="Q12" s="3"/>
      <c r="R12" s="4"/>
      <c r="S12" s="4"/>
      <c r="T12" s="3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0"/>
      <c r="GE12" s="10"/>
      <c r="GF12" s="10"/>
    </row>
    <row r="13" spans="1:189" s="1" customFormat="1" ht="15.75" x14ac:dyDescent="0.25">
      <c r="A13" s="27" t="s">
        <v>31</v>
      </c>
      <c r="B13" s="28" t="s">
        <v>4</v>
      </c>
      <c r="C13" s="22">
        <v>3741191</v>
      </c>
      <c r="D13" s="22">
        <v>4229589</v>
      </c>
      <c r="E13" s="22">
        <v>4401140</v>
      </c>
      <c r="F13" s="22">
        <v>4719555</v>
      </c>
      <c r="G13" s="22">
        <v>5233268</v>
      </c>
      <c r="H13" s="22">
        <v>5796529</v>
      </c>
      <c r="I13" s="22">
        <v>6216712</v>
      </c>
      <c r="J13" s="22">
        <v>6193203</v>
      </c>
      <c r="K13" s="22">
        <v>6097016</v>
      </c>
      <c r="L13" s="22">
        <v>5123892</v>
      </c>
      <c r="M13" s="22">
        <v>4672446</v>
      </c>
      <c r="N13" s="22">
        <v>4668669</v>
      </c>
      <c r="O13" s="22">
        <v>5043480</v>
      </c>
      <c r="P13" s="22">
        <v>5373898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G13" s="2"/>
    </row>
    <row r="14" spans="1:189" ht="45" x14ac:dyDescent="0.25">
      <c r="A14" s="23" t="s">
        <v>32</v>
      </c>
      <c r="B14" s="21" t="s">
        <v>5</v>
      </c>
      <c r="C14" s="22">
        <v>275878</v>
      </c>
      <c r="D14" s="22">
        <v>297896</v>
      </c>
      <c r="E14" s="22">
        <v>311918</v>
      </c>
      <c r="F14" s="22">
        <v>331812</v>
      </c>
      <c r="G14" s="22">
        <v>342376</v>
      </c>
      <c r="H14" s="22">
        <v>367668</v>
      </c>
      <c r="I14" s="22">
        <v>426527</v>
      </c>
      <c r="J14" s="22">
        <v>447030</v>
      </c>
      <c r="K14" s="22">
        <v>475209</v>
      </c>
      <c r="L14" s="22">
        <v>421985</v>
      </c>
      <c r="M14" s="22">
        <v>505903</v>
      </c>
      <c r="N14" s="22">
        <v>591002</v>
      </c>
      <c r="O14" s="22">
        <v>634909</v>
      </c>
      <c r="P14" s="22">
        <v>670384</v>
      </c>
      <c r="Q14" s="3"/>
      <c r="R14" s="4"/>
      <c r="S14" s="4"/>
      <c r="T14" s="3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3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3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3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1"/>
      <c r="GE14" s="1"/>
      <c r="GF14" s="1"/>
    </row>
    <row r="15" spans="1:189" ht="15.75" x14ac:dyDescent="0.25">
      <c r="A15" s="23" t="s">
        <v>33</v>
      </c>
      <c r="B15" s="21" t="s">
        <v>6</v>
      </c>
      <c r="C15" s="22">
        <v>841393</v>
      </c>
      <c r="D15" s="22">
        <v>802818</v>
      </c>
      <c r="E15" s="22">
        <v>1004970</v>
      </c>
      <c r="F15" s="22">
        <v>1024113</v>
      </c>
      <c r="G15" s="22">
        <v>1019679</v>
      </c>
      <c r="H15" s="22">
        <v>1130722</v>
      </c>
      <c r="I15" s="22">
        <v>1158719</v>
      </c>
      <c r="J15" s="22">
        <v>1245750</v>
      </c>
      <c r="K15" s="22">
        <v>1230515</v>
      </c>
      <c r="L15" s="22">
        <v>1155713</v>
      </c>
      <c r="M15" s="22">
        <v>1420938</v>
      </c>
      <c r="N15" s="22">
        <v>1961844</v>
      </c>
      <c r="O15" s="22">
        <v>2120807</v>
      </c>
      <c r="P15" s="22">
        <v>2360058</v>
      </c>
      <c r="Q15" s="3"/>
      <c r="R15" s="4"/>
      <c r="S15" s="4"/>
      <c r="T15" s="3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3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3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3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1"/>
      <c r="GE15" s="1"/>
      <c r="GF15" s="1"/>
    </row>
    <row r="16" spans="1:189" s="11" customFormat="1" ht="15.75" x14ac:dyDescent="0.25">
      <c r="A16" s="24"/>
      <c r="B16" s="25" t="s">
        <v>28</v>
      </c>
      <c r="C16" s="26">
        <f>+C13+C14+C15</f>
        <v>4858462</v>
      </c>
      <c r="D16" s="26">
        <f t="shared" ref="D16:F16" si="6">+D13+D14+D15</f>
        <v>5330303</v>
      </c>
      <c r="E16" s="26">
        <f t="shared" si="6"/>
        <v>5718028</v>
      </c>
      <c r="F16" s="26">
        <f t="shared" si="6"/>
        <v>6075480</v>
      </c>
      <c r="G16" s="26">
        <f t="shared" ref="G16:I16" si="7">+G13+G14+G15</f>
        <v>6595323</v>
      </c>
      <c r="H16" s="26">
        <f t="shared" si="7"/>
        <v>7294919</v>
      </c>
      <c r="I16" s="26">
        <f t="shared" si="7"/>
        <v>7801958</v>
      </c>
      <c r="J16" s="26">
        <f t="shared" ref="J16:K16" si="8">+J13+J14+J15</f>
        <v>7885983</v>
      </c>
      <c r="K16" s="26">
        <f t="shared" si="8"/>
        <v>7802740</v>
      </c>
      <c r="L16" s="26">
        <f t="shared" ref="L16:M16" si="9">+L13+L14+L15</f>
        <v>6701590</v>
      </c>
      <c r="M16" s="26">
        <f t="shared" si="9"/>
        <v>6599287</v>
      </c>
      <c r="N16" s="26">
        <f t="shared" ref="N16" si="10">+N13+N14+N15</f>
        <v>7221515</v>
      </c>
      <c r="O16" s="26">
        <f t="shared" ref="O16:P16" si="11">+O13+O14+O15</f>
        <v>7799196</v>
      </c>
      <c r="P16" s="26">
        <f t="shared" si="11"/>
        <v>8404340</v>
      </c>
      <c r="Q16" s="3"/>
      <c r="R16" s="4"/>
      <c r="S16" s="4"/>
      <c r="T16" s="3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9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9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9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0"/>
      <c r="GE16" s="10"/>
      <c r="GF16" s="10"/>
    </row>
    <row r="17" spans="1:189" s="10" customFormat="1" ht="30" x14ac:dyDescent="0.25">
      <c r="A17" s="17" t="s">
        <v>34</v>
      </c>
      <c r="B17" s="18" t="s">
        <v>7</v>
      </c>
      <c r="C17" s="19">
        <f>C18+C19</f>
        <v>1136811</v>
      </c>
      <c r="D17" s="19">
        <f t="shared" ref="D17:F17" si="12">D18+D19</f>
        <v>1245014</v>
      </c>
      <c r="E17" s="19">
        <f t="shared" si="12"/>
        <v>1354072</v>
      </c>
      <c r="F17" s="19">
        <f t="shared" si="12"/>
        <v>1448615</v>
      </c>
      <c r="G17" s="19">
        <f t="shared" ref="G17:I17" si="13">G18+G19</f>
        <v>1597423</v>
      </c>
      <c r="H17" s="19">
        <f t="shared" si="13"/>
        <v>1847745</v>
      </c>
      <c r="I17" s="19">
        <f t="shared" si="13"/>
        <v>2116386</v>
      </c>
      <c r="J17" s="19">
        <f t="shared" ref="J17:K17" si="14">J18+J19</f>
        <v>2342519</v>
      </c>
      <c r="K17" s="19">
        <f t="shared" si="14"/>
        <v>2493739</v>
      </c>
      <c r="L17" s="19">
        <f t="shared" ref="L17:M17" si="15">L18+L19</f>
        <v>1767045</v>
      </c>
      <c r="M17" s="19">
        <f t="shared" si="15"/>
        <v>2202758</v>
      </c>
      <c r="N17" s="19">
        <f t="shared" ref="N17" si="16">N18+N19</f>
        <v>2676606</v>
      </c>
      <c r="O17" s="19">
        <f t="shared" ref="O17:P17" si="17">O18+O19</f>
        <v>2937118</v>
      </c>
      <c r="P17" s="19">
        <f t="shared" si="17"/>
        <v>3057549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G17" s="11"/>
    </row>
    <row r="18" spans="1:189" ht="15.75" x14ac:dyDescent="0.25">
      <c r="A18" s="20">
        <v>6.1</v>
      </c>
      <c r="B18" s="21" t="s">
        <v>8</v>
      </c>
      <c r="C18" s="22">
        <v>966324</v>
      </c>
      <c r="D18" s="22">
        <v>1077069</v>
      </c>
      <c r="E18" s="22">
        <v>1210160</v>
      </c>
      <c r="F18" s="22">
        <v>1302628</v>
      </c>
      <c r="G18" s="22">
        <v>1433270</v>
      </c>
      <c r="H18" s="22">
        <v>1675413</v>
      </c>
      <c r="I18" s="22">
        <v>1925484</v>
      </c>
      <c r="J18" s="22">
        <v>2127767</v>
      </c>
      <c r="K18" s="22">
        <v>2282395</v>
      </c>
      <c r="L18" s="22">
        <v>1705398</v>
      </c>
      <c r="M18" s="22">
        <v>2070798</v>
      </c>
      <c r="N18" s="22">
        <v>2434495</v>
      </c>
      <c r="O18" s="22">
        <v>2664419</v>
      </c>
      <c r="P18" s="22">
        <v>2781082</v>
      </c>
      <c r="Q18" s="3"/>
      <c r="R18" s="4"/>
      <c r="S18" s="4"/>
      <c r="T18" s="3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1"/>
      <c r="GE18" s="1"/>
      <c r="GF18" s="1"/>
    </row>
    <row r="19" spans="1:189" ht="15.75" x14ac:dyDescent="0.25">
      <c r="A19" s="20">
        <v>6.2</v>
      </c>
      <c r="B19" s="21" t="s">
        <v>9</v>
      </c>
      <c r="C19" s="22">
        <v>170487</v>
      </c>
      <c r="D19" s="22">
        <v>167945</v>
      </c>
      <c r="E19" s="22">
        <v>143912</v>
      </c>
      <c r="F19" s="22">
        <v>145987</v>
      </c>
      <c r="G19" s="22">
        <v>164153</v>
      </c>
      <c r="H19" s="22">
        <v>172332</v>
      </c>
      <c r="I19" s="22">
        <v>190902</v>
      </c>
      <c r="J19" s="22">
        <v>214752</v>
      </c>
      <c r="K19" s="22">
        <v>211344</v>
      </c>
      <c r="L19" s="22">
        <v>61647</v>
      </c>
      <c r="M19" s="22">
        <v>131960</v>
      </c>
      <c r="N19" s="22">
        <v>242111</v>
      </c>
      <c r="O19" s="22">
        <v>272699</v>
      </c>
      <c r="P19" s="22">
        <v>276467</v>
      </c>
      <c r="Q19" s="3"/>
      <c r="R19" s="4"/>
      <c r="S19" s="4"/>
      <c r="T19" s="3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1"/>
      <c r="GE19" s="1"/>
      <c r="GF19" s="1"/>
    </row>
    <row r="20" spans="1:189" s="10" customFormat="1" ht="60" x14ac:dyDescent="0.25">
      <c r="A20" s="29" t="s">
        <v>35</v>
      </c>
      <c r="B20" s="30" t="s">
        <v>10</v>
      </c>
      <c r="C20" s="19">
        <f>SUM(C21:C27)</f>
        <v>527892</v>
      </c>
      <c r="D20" s="19">
        <f t="shared" ref="D20:F20" si="18">SUM(D21:D27)</f>
        <v>583940</v>
      </c>
      <c r="E20" s="19">
        <f t="shared" si="18"/>
        <v>632373</v>
      </c>
      <c r="F20" s="19">
        <f t="shared" si="18"/>
        <v>732710</v>
      </c>
      <c r="G20" s="19">
        <f t="shared" ref="G20:N20" si="19">SUM(G21:G27)</f>
        <v>884775</v>
      </c>
      <c r="H20" s="19">
        <f t="shared" si="19"/>
        <v>857487</v>
      </c>
      <c r="I20" s="19">
        <f t="shared" si="19"/>
        <v>770741</v>
      </c>
      <c r="J20" s="19">
        <f t="shared" si="19"/>
        <v>724019</v>
      </c>
      <c r="K20" s="19">
        <f t="shared" si="19"/>
        <v>807669</v>
      </c>
      <c r="L20" s="19">
        <f t="shared" si="19"/>
        <v>668885</v>
      </c>
      <c r="M20" s="19">
        <f t="shared" si="19"/>
        <v>820326</v>
      </c>
      <c r="N20" s="19">
        <f t="shared" si="19"/>
        <v>899065</v>
      </c>
      <c r="O20" s="19">
        <f t="shared" ref="O20:P20" si="20">SUM(O21:O27)</f>
        <v>949448</v>
      </c>
      <c r="P20" s="19">
        <f t="shared" si="20"/>
        <v>994194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G20" s="11"/>
    </row>
    <row r="21" spans="1:189" ht="15.75" x14ac:dyDescent="0.25">
      <c r="A21" s="20">
        <v>7.1</v>
      </c>
      <c r="B21" s="21" t="s">
        <v>11</v>
      </c>
      <c r="C21" s="22">
        <v>9539</v>
      </c>
      <c r="D21" s="22">
        <v>10914</v>
      </c>
      <c r="E21" s="22">
        <v>12480</v>
      </c>
      <c r="F21" s="22">
        <v>11772</v>
      </c>
      <c r="G21" s="22">
        <v>14133</v>
      </c>
      <c r="H21" s="22">
        <v>12302</v>
      </c>
      <c r="I21" s="22">
        <v>9895</v>
      </c>
      <c r="J21" s="22">
        <v>8267</v>
      </c>
      <c r="K21" s="22">
        <v>6515</v>
      </c>
      <c r="L21" s="22">
        <v>733</v>
      </c>
      <c r="M21" s="22">
        <v>2654</v>
      </c>
      <c r="N21" s="22">
        <v>6466</v>
      </c>
      <c r="O21" s="22">
        <v>7222</v>
      </c>
      <c r="P21" s="22">
        <v>7469</v>
      </c>
      <c r="Q21" s="3"/>
      <c r="R21" s="4"/>
      <c r="S21" s="4"/>
      <c r="T21" s="3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1"/>
      <c r="GE21" s="1"/>
      <c r="GF21" s="1"/>
    </row>
    <row r="22" spans="1:189" ht="15.75" x14ac:dyDescent="0.25">
      <c r="A22" s="20">
        <v>7.2</v>
      </c>
      <c r="B22" s="21" t="s">
        <v>66</v>
      </c>
      <c r="C22" s="22">
        <v>190572</v>
      </c>
      <c r="D22" s="22">
        <v>210899</v>
      </c>
      <c r="E22" s="22">
        <v>216339</v>
      </c>
      <c r="F22" s="22">
        <v>230506</v>
      </c>
      <c r="G22" s="22">
        <v>248823</v>
      </c>
      <c r="H22" s="22">
        <v>265805</v>
      </c>
      <c r="I22" s="22">
        <v>282861</v>
      </c>
      <c r="J22" s="22">
        <v>281012</v>
      </c>
      <c r="K22" s="22">
        <v>303139</v>
      </c>
      <c r="L22" s="22">
        <v>189992</v>
      </c>
      <c r="M22" s="22">
        <v>293493</v>
      </c>
      <c r="N22" s="22">
        <v>283600</v>
      </c>
      <c r="O22" s="22">
        <v>291113</v>
      </c>
      <c r="P22" s="22">
        <v>304260</v>
      </c>
      <c r="Q22" s="3"/>
      <c r="R22" s="4"/>
      <c r="S22" s="4"/>
      <c r="T22" s="3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1"/>
      <c r="GE22" s="1"/>
      <c r="GF22" s="1"/>
    </row>
    <row r="23" spans="1:189" ht="15.75" x14ac:dyDescent="0.25">
      <c r="A23" s="20">
        <v>7.3</v>
      </c>
      <c r="B23" s="21" t="s">
        <v>12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3"/>
      <c r="R23" s="4"/>
      <c r="S23" s="4"/>
      <c r="T23" s="3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1"/>
      <c r="GE23" s="1"/>
      <c r="GF23" s="1"/>
    </row>
    <row r="24" spans="1:189" ht="15.75" x14ac:dyDescent="0.25">
      <c r="A24" s="20">
        <v>7.4</v>
      </c>
      <c r="B24" s="21" t="s">
        <v>13</v>
      </c>
      <c r="C24" s="22">
        <v>569</v>
      </c>
      <c r="D24" s="22">
        <v>998</v>
      </c>
      <c r="E24" s="22">
        <v>1626</v>
      </c>
      <c r="F24" s="22">
        <v>1280</v>
      </c>
      <c r="G24" s="22">
        <v>3075</v>
      </c>
      <c r="H24" s="22">
        <v>5335</v>
      </c>
      <c r="I24" s="22">
        <v>5876</v>
      </c>
      <c r="J24" s="22">
        <v>2531</v>
      </c>
      <c r="K24" s="22">
        <v>3941</v>
      </c>
      <c r="L24" s="22">
        <v>-48</v>
      </c>
      <c r="M24" s="22">
        <v>-437</v>
      </c>
      <c r="N24" s="22">
        <v>805</v>
      </c>
      <c r="O24" s="22">
        <v>1904</v>
      </c>
      <c r="P24" s="22">
        <v>3045</v>
      </c>
      <c r="Q24" s="3"/>
      <c r="R24" s="4"/>
      <c r="S24" s="4"/>
      <c r="T24" s="3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1"/>
      <c r="GE24" s="1"/>
      <c r="GF24" s="1"/>
    </row>
    <row r="25" spans="1:189" ht="30" x14ac:dyDescent="0.25">
      <c r="A25" s="20">
        <v>7.5</v>
      </c>
      <c r="B25" s="21" t="s">
        <v>14</v>
      </c>
      <c r="C25" s="22">
        <v>0</v>
      </c>
      <c r="D25" s="22">
        <v>0</v>
      </c>
      <c r="E25" s="22">
        <v>0</v>
      </c>
      <c r="F25" s="22">
        <v>-66</v>
      </c>
      <c r="G25" s="22">
        <v>-29</v>
      </c>
      <c r="H25" s="22">
        <v>5538</v>
      </c>
      <c r="I25" s="22">
        <v>5770</v>
      </c>
      <c r="J25" s="22">
        <v>3207</v>
      </c>
      <c r="K25" s="22">
        <v>7155</v>
      </c>
      <c r="L25" s="22">
        <v>1319</v>
      </c>
      <c r="M25" s="22">
        <v>2845</v>
      </c>
      <c r="N25" s="22">
        <v>6844</v>
      </c>
      <c r="O25" s="22">
        <v>7081</v>
      </c>
      <c r="P25" s="22">
        <v>7464</v>
      </c>
      <c r="Q25" s="3"/>
      <c r="R25" s="4"/>
      <c r="S25" s="4"/>
      <c r="T25" s="3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1"/>
      <c r="GE25" s="1"/>
      <c r="GF25" s="1"/>
    </row>
    <row r="26" spans="1:189" ht="15.75" x14ac:dyDescent="0.25">
      <c r="A26" s="20">
        <v>7.6</v>
      </c>
      <c r="B26" s="21" t="s">
        <v>15</v>
      </c>
      <c r="C26" s="22">
        <v>496</v>
      </c>
      <c r="D26" s="22">
        <v>543</v>
      </c>
      <c r="E26" s="22">
        <v>547</v>
      </c>
      <c r="F26" s="22">
        <v>474</v>
      </c>
      <c r="G26" s="22">
        <v>517</v>
      </c>
      <c r="H26" s="22">
        <v>1023</v>
      </c>
      <c r="I26" s="22">
        <v>136</v>
      </c>
      <c r="J26" s="22">
        <v>1652</v>
      </c>
      <c r="K26" s="22">
        <v>774</v>
      </c>
      <c r="L26" s="22">
        <v>426</v>
      </c>
      <c r="M26" s="22">
        <v>597</v>
      </c>
      <c r="N26" s="22">
        <v>537</v>
      </c>
      <c r="O26" s="22">
        <v>544</v>
      </c>
      <c r="P26" s="22">
        <v>575</v>
      </c>
      <c r="Q26" s="3"/>
      <c r="R26" s="4"/>
      <c r="S26" s="4"/>
      <c r="T26" s="3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1"/>
      <c r="GE26" s="1"/>
      <c r="GF26" s="1"/>
    </row>
    <row r="27" spans="1:189" ht="45" x14ac:dyDescent="0.25">
      <c r="A27" s="20">
        <v>7.7</v>
      </c>
      <c r="B27" s="21" t="s">
        <v>16</v>
      </c>
      <c r="C27" s="22">
        <v>326716</v>
      </c>
      <c r="D27" s="22">
        <v>360586</v>
      </c>
      <c r="E27" s="22">
        <v>401381</v>
      </c>
      <c r="F27" s="22">
        <v>488744</v>
      </c>
      <c r="G27" s="22">
        <v>618256</v>
      </c>
      <c r="H27" s="22">
        <v>567484</v>
      </c>
      <c r="I27" s="22">
        <v>466203</v>
      </c>
      <c r="J27" s="22">
        <v>427350</v>
      </c>
      <c r="K27" s="22">
        <v>486145</v>
      </c>
      <c r="L27" s="22">
        <v>476463</v>
      </c>
      <c r="M27" s="22">
        <v>521174</v>
      </c>
      <c r="N27" s="22">
        <v>600813</v>
      </c>
      <c r="O27" s="22">
        <v>641584</v>
      </c>
      <c r="P27" s="22">
        <v>671381</v>
      </c>
      <c r="Q27" s="3"/>
      <c r="R27" s="4"/>
      <c r="S27" s="4"/>
      <c r="T27" s="3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1"/>
      <c r="GE27" s="1"/>
      <c r="GF27" s="1"/>
    </row>
    <row r="28" spans="1:189" ht="15.75" x14ac:dyDescent="0.25">
      <c r="A28" s="23" t="s">
        <v>36</v>
      </c>
      <c r="B28" s="21" t="s">
        <v>17</v>
      </c>
      <c r="C28" s="22">
        <v>288686</v>
      </c>
      <c r="D28" s="22">
        <v>310724</v>
      </c>
      <c r="E28" s="22">
        <v>340602</v>
      </c>
      <c r="F28" s="22">
        <v>378073</v>
      </c>
      <c r="G28" s="22">
        <v>407217</v>
      </c>
      <c r="H28" s="22">
        <v>412502</v>
      </c>
      <c r="I28" s="22">
        <v>447682</v>
      </c>
      <c r="J28" s="22">
        <v>460851</v>
      </c>
      <c r="K28" s="22">
        <v>479839</v>
      </c>
      <c r="L28" s="22">
        <v>557630</v>
      </c>
      <c r="M28" s="22">
        <v>503767</v>
      </c>
      <c r="N28" s="22">
        <v>527496</v>
      </c>
      <c r="O28" s="22">
        <v>574263</v>
      </c>
      <c r="P28" s="22">
        <v>612654</v>
      </c>
      <c r="Q28" s="3"/>
      <c r="R28" s="4"/>
      <c r="S28" s="4"/>
      <c r="T28" s="3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1"/>
      <c r="GE28" s="1"/>
      <c r="GF28" s="1"/>
    </row>
    <row r="29" spans="1:189" ht="45" x14ac:dyDescent="0.25">
      <c r="A29" s="23" t="s">
        <v>37</v>
      </c>
      <c r="B29" s="21" t="s">
        <v>18</v>
      </c>
      <c r="C29" s="22">
        <v>458980</v>
      </c>
      <c r="D29" s="22">
        <v>498602</v>
      </c>
      <c r="E29" s="22">
        <v>469308</v>
      </c>
      <c r="F29" s="22">
        <v>551176</v>
      </c>
      <c r="G29" s="22">
        <v>562276</v>
      </c>
      <c r="H29" s="22">
        <v>610698</v>
      </c>
      <c r="I29" s="22">
        <v>663730</v>
      </c>
      <c r="J29" s="22">
        <v>719231</v>
      </c>
      <c r="K29" s="22">
        <v>790458</v>
      </c>
      <c r="L29" s="22">
        <v>765204</v>
      </c>
      <c r="M29" s="22">
        <v>848385</v>
      </c>
      <c r="N29" s="22">
        <v>893981</v>
      </c>
      <c r="O29" s="22">
        <v>932135</v>
      </c>
      <c r="P29" s="22">
        <v>980839</v>
      </c>
      <c r="Q29" s="3"/>
      <c r="R29" s="4"/>
      <c r="S29" s="4"/>
      <c r="T29" s="3"/>
      <c r="U29" s="5"/>
      <c r="V29" s="5"/>
      <c r="W29" s="5"/>
      <c r="X29" s="5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1"/>
      <c r="GE29" s="1"/>
      <c r="GF29" s="1"/>
    </row>
    <row r="30" spans="1:189" ht="15.75" x14ac:dyDescent="0.25">
      <c r="A30" s="23" t="s">
        <v>38</v>
      </c>
      <c r="B30" s="21" t="s">
        <v>53</v>
      </c>
      <c r="C30" s="22">
        <v>396607</v>
      </c>
      <c r="D30" s="22">
        <v>279587</v>
      </c>
      <c r="E30" s="22">
        <v>314819</v>
      </c>
      <c r="F30" s="22">
        <v>382108</v>
      </c>
      <c r="G30" s="22">
        <v>426542</v>
      </c>
      <c r="H30" s="22">
        <v>469717</v>
      </c>
      <c r="I30" s="22">
        <v>554772</v>
      </c>
      <c r="J30" s="22">
        <v>520531</v>
      </c>
      <c r="K30" s="22">
        <v>458904</v>
      </c>
      <c r="L30" s="22">
        <v>520031</v>
      </c>
      <c r="M30" s="22">
        <v>584278</v>
      </c>
      <c r="N30" s="22">
        <v>610114</v>
      </c>
      <c r="O30" s="22">
        <v>677138</v>
      </c>
      <c r="P30" s="22">
        <v>784649</v>
      </c>
      <c r="Q30" s="3"/>
      <c r="R30" s="4"/>
      <c r="S30" s="4"/>
      <c r="T30" s="3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1"/>
      <c r="GE30" s="1"/>
      <c r="GF30" s="1"/>
    </row>
    <row r="31" spans="1:189" ht="15.75" x14ac:dyDescent="0.25">
      <c r="A31" s="23" t="s">
        <v>39</v>
      </c>
      <c r="B31" s="21" t="s">
        <v>19</v>
      </c>
      <c r="C31" s="22">
        <v>461087</v>
      </c>
      <c r="D31" s="22">
        <v>574504</v>
      </c>
      <c r="E31" s="22">
        <v>675328</v>
      </c>
      <c r="F31" s="22">
        <v>722169</v>
      </c>
      <c r="G31" s="22">
        <v>775695</v>
      </c>
      <c r="H31" s="22">
        <v>861452</v>
      </c>
      <c r="I31" s="22">
        <v>993672</v>
      </c>
      <c r="J31" s="22">
        <v>979811</v>
      </c>
      <c r="K31" s="22">
        <v>1016236</v>
      </c>
      <c r="L31" s="22">
        <v>929912</v>
      </c>
      <c r="M31" s="22">
        <v>980821</v>
      </c>
      <c r="N31" s="22">
        <v>959663</v>
      </c>
      <c r="O31" s="22">
        <v>1010773</v>
      </c>
      <c r="P31" s="22">
        <v>1063580</v>
      </c>
      <c r="Q31" s="3"/>
      <c r="R31" s="4"/>
      <c r="S31" s="4"/>
      <c r="T31" s="3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1"/>
      <c r="GE31" s="1"/>
      <c r="GF31" s="1"/>
    </row>
    <row r="32" spans="1:189" s="11" customFormat="1" ht="15.75" x14ac:dyDescent="0.25">
      <c r="A32" s="24"/>
      <c r="B32" s="25" t="s">
        <v>29</v>
      </c>
      <c r="C32" s="26">
        <f>C17+C20+C28+C29+C30+C31</f>
        <v>3270063</v>
      </c>
      <c r="D32" s="26">
        <f t="shared" ref="D32:K32" si="21">D17+D20+D28+D29+D30+D31</f>
        <v>3492371</v>
      </c>
      <c r="E32" s="26">
        <f t="shared" si="21"/>
        <v>3786502</v>
      </c>
      <c r="F32" s="26">
        <f t="shared" si="21"/>
        <v>4214851</v>
      </c>
      <c r="G32" s="26">
        <f t="shared" si="21"/>
        <v>4653928</v>
      </c>
      <c r="H32" s="26">
        <f t="shared" si="21"/>
        <v>5059601</v>
      </c>
      <c r="I32" s="26">
        <f t="shared" si="21"/>
        <v>5546983</v>
      </c>
      <c r="J32" s="26">
        <f t="shared" si="21"/>
        <v>5746962</v>
      </c>
      <c r="K32" s="26">
        <f t="shared" si="21"/>
        <v>6046845</v>
      </c>
      <c r="L32" s="26">
        <f t="shared" ref="L32:M32" si="22">L17+L20+L28+L29+L30+L31</f>
        <v>5208707</v>
      </c>
      <c r="M32" s="26">
        <f t="shared" si="22"/>
        <v>5940335</v>
      </c>
      <c r="N32" s="26">
        <f t="shared" ref="N32" si="23">N17+N20+N28+N29+N30+N31</f>
        <v>6566925</v>
      </c>
      <c r="O32" s="26">
        <f t="shared" ref="O32" si="24">O17+O20+O28+O29+O30+O31</f>
        <v>7080875</v>
      </c>
      <c r="P32" s="26">
        <f t="shared" ref="P32" si="25">P17+P20+P28+P29+P30+P31</f>
        <v>7493465</v>
      </c>
      <c r="Q32" s="3"/>
      <c r="R32" s="4"/>
      <c r="S32" s="4"/>
      <c r="T32" s="3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0"/>
      <c r="GE32" s="10"/>
      <c r="GF32" s="10"/>
    </row>
    <row r="33" spans="1:189" s="10" customFormat="1" ht="30" x14ac:dyDescent="0.25">
      <c r="A33" s="17" t="s">
        <v>26</v>
      </c>
      <c r="B33" s="31" t="s">
        <v>50</v>
      </c>
      <c r="C33" s="19">
        <f t="shared" ref="C33:M33" si="26">C6+C11+C13+C14+C15+C17+C20+C28+C29+C30+C31</f>
        <v>9496488</v>
      </c>
      <c r="D33" s="19">
        <f t="shared" si="26"/>
        <v>10192167</v>
      </c>
      <c r="E33" s="19">
        <f t="shared" si="26"/>
        <v>10913976</v>
      </c>
      <c r="F33" s="19">
        <f t="shared" si="26"/>
        <v>11667268</v>
      </c>
      <c r="G33" s="19">
        <f t="shared" si="26"/>
        <v>12575262</v>
      </c>
      <c r="H33" s="19">
        <f t="shared" si="26"/>
        <v>13786224</v>
      </c>
      <c r="I33" s="19">
        <f t="shared" si="26"/>
        <v>14835217</v>
      </c>
      <c r="J33" s="19">
        <f t="shared" si="26"/>
        <v>15136797</v>
      </c>
      <c r="K33" s="19">
        <f t="shared" si="26"/>
        <v>15387347</v>
      </c>
      <c r="L33" s="19">
        <f t="shared" si="26"/>
        <v>13404200</v>
      </c>
      <c r="M33" s="19">
        <f t="shared" si="26"/>
        <v>14018875</v>
      </c>
      <c r="N33" s="19">
        <f t="shared" ref="N33" si="27">N6+N11+N13+N14+N15+N17+N20+N28+N29+N30+N31</f>
        <v>15115874</v>
      </c>
      <c r="O33" s="19">
        <f t="shared" ref="O33" si="28">O6+O11+O13+O14+O15+O17+O20+O28+O29+O30+O31</f>
        <v>16262548</v>
      </c>
      <c r="P33" s="19">
        <f t="shared" ref="P33" si="29">P6+P11+P13+P14+P15+P17+P20+P28+P29+P30+P31</f>
        <v>17271268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G33" s="11"/>
    </row>
    <row r="34" spans="1:189" s="11" customFormat="1" ht="15.75" x14ac:dyDescent="0.25">
      <c r="A34" s="34" t="s">
        <v>42</v>
      </c>
      <c r="B34" s="35" t="s">
        <v>24</v>
      </c>
      <c r="C34" s="26">
        <f>GSVA_const!C34</f>
        <v>919682</v>
      </c>
      <c r="D34" s="26">
        <f>GSVA_const!D34</f>
        <v>1024286</v>
      </c>
      <c r="E34" s="26">
        <f>GSVA_const!E34</f>
        <v>1098486</v>
      </c>
      <c r="F34" s="26">
        <f>GSVA_const!F34</f>
        <v>1163827</v>
      </c>
      <c r="G34" s="26">
        <f>GSVA_const!G34</f>
        <v>1279978</v>
      </c>
      <c r="H34" s="26">
        <f>GSVA_const!H34</f>
        <v>1441287</v>
      </c>
      <c r="I34" s="26">
        <f>GSVA_const!I34</f>
        <v>1590940</v>
      </c>
      <c r="J34" s="26">
        <f>GSVA_const!J34</f>
        <v>1670976</v>
      </c>
      <c r="K34" s="26">
        <f>GSVA_const!K34</f>
        <v>1720000</v>
      </c>
      <c r="L34" s="26">
        <f>GSVA_const!L34</f>
        <v>1394341</v>
      </c>
      <c r="M34" s="26">
        <f>GSVA_const!M34</f>
        <v>1468372</v>
      </c>
      <c r="N34" s="26">
        <f>GSVA_const!N34</f>
        <v>1616595</v>
      </c>
      <c r="O34" s="26">
        <f>GSVA_const!O34</f>
        <v>1758989</v>
      </c>
      <c r="P34" s="26">
        <f>GSVA_const!P34</f>
        <v>1851315</v>
      </c>
      <c r="Q34" s="3"/>
      <c r="R34" s="4"/>
      <c r="S34" s="4"/>
      <c r="T34" s="3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</row>
    <row r="35" spans="1:189" s="11" customFormat="1" ht="15.75" x14ac:dyDescent="0.25">
      <c r="A35" s="34" t="s">
        <v>43</v>
      </c>
      <c r="B35" s="35" t="s">
        <v>23</v>
      </c>
      <c r="C35" s="26">
        <f>GSVA_const!C35</f>
        <v>220207</v>
      </c>
      <c r="D35" s="26">
        <f>GSVA_const!D35</f>
        <v>263604</v>
      </c>
      <c r="E35" s="26">
        <f>GSVA_const!E35</f>
        <v>234713</v>
      </c>
      <c r="F35" s="26">
        <f>GSVA_const!F35</f>
        <v>260929</v>
      </c>
      <c r="G35" s="26">
        <f>GSVA_const!G35</f>
        <v>240888</v>
      </c>
      <c r="H35" s="26">
        <f>GSVA_const!H35</f>
        <v>197217</v>
      </c>
      <c r="I35" s="26">
        <f>GSVA_const!I35</f>
        <v>205677</v>
      </c>
      <c r="J35" s="26">
        <f>GSVA_const!J35</f>
        <v>155893</v>
      </c>
      <c r="K35" s="26">
        <f>GSVA_const!K35</f>
        <v>189840</v>
      </c>
      <c r="L35" s="26">
        <f>GSVA_const!L35</f>
        <v>299719</v>
      </c>
      <c r="M35" s="26">
        <f>GSVA_const!M35</f>
        <v>373148</v>
      </c>
      <c r="N35" s="26">
        <f>GSVA_const!N35</f>
        <v>335549</v>
      </c>
      <c r="O35" s="26">
        <f>GSVA_const!O35</f>
        <v>353547</v>
      </c>
      <c r="P35" s="26">
        <f>GSVA_const!P35</f>
        <v>343810</v>
      </c>
      <c r="Q35" s="3"/>
      <c r="R35" s="4"/>
      <c r="S35" s="4"/>
      <c r="T35" s="3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</row>
    <row r="36" spans="1:189" s="11" customFormat="1" ht="30" x14ac:dyDescent="0.25">
      <c r="A36" s="34" t="s">
        <v>44</v>
      </c>
      <c r="B36" s="35" t="s">
        <v>62</v>
      </c>
      <c r="C36" s="26">
        <f>C33+C34-C35</f>
        <v>10195963</v>
      </c>
      <c r="D36" s="26">
        <f t="shared" ref="D36:N36" si="30">D33+D34-D35</f>
        <v>10952849</v>
      </c>
      <c r="E36" s="26">
        <f t="shared" si="30"/>
        <v>11777749</v>
      </c>
      <c r="F36" s="26">
        <f t="shared" si="30"/>
        <v>12570166</v>
      </c>
      <c r="G36" s="26">
        <f t="shared" si="30"/>
        <v>13614352</v>
      </c>
      <c r="H36" s="26">
        <f t="shared" si="30"/>
        <v>15030294</v>
      </c>
      <c r="I36" s="26">
        <f t="shared" si="30"/>
        <v>16220480</v>
      </c>
      <c r="J36" s="26">
        <f t="shared" si="30"/>
        <v>16651880</v>
      </c>
      <c r="K36" s="26">
        <f t="shared" si="30"/>
        <v>16917507</v>
      </c>
      <c r="L36" s="26">
        <f t="shared" si="30"/>
        <v>14498822</v>
      </c>
      <c r="M36" s="26">
        <f t="shared" si="30"/>
        <v>15114099</v>
      </c>
      <c r="N36" s="26">
        <f t="shared" si="30"/>
        <v>16396920</v>
      </c>
      <c r="O36" s="26">
        <f t="shared" ref="O36" si="31">O33+O34-O35</f>
        <v>17667990</v>
      </c>
      <c r="P36" s="26">
        <f t="shared" ref="P36" si="32">P33+P34-P35</f>
        <v>18778773</v>
      </c>
      <c r="Q36" s="3"/>
      <c r="R36" s="4"/>
      <c r="S36" s="4"/>
      <c r="T36" s="3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</row>
    <row r="37" spans="1:189" s="11" customFormat="1" ht="15.75" x14ac:dyDescent="0.25">
      <c r="A37" s="34" t="s">
        <v>45</v>
      </c>
      <c r="B37" s="35" t="s">
        <v>41</v>
      </c>
      <c r="C37" s="26">
        <f>GSVA_cur!C37</f>
        <v>101640</v>
      </c>
      <c r="D37" s="26">
        <f>GSVA_cur!D37</f>
        <v>102980</v>
      </c>
      <c r="E37" s="26">
        <f>GSVA_cur!E37</f>
        <v>104320</v>
      </c>
      <c r="F37" s="26">
        <f>GSVA_cur!F37</f>
        <v>105650</v>
      </c>
      <c r="G37" s="26">
        <f>GSVA_cur!G37</f>
        <v>106990</v>
      </c>
      <c r="H37" s="26">
        <f>GSVA_cur!H37</f>
        <v>108300</v>
      </c>
      <c r="I37" s="26">
        <f>GSVA_cur!I37</f>
        <v>109590</v>
      </c>
      <c r="J37" s="26">
        <f>GSVA_cur!J37</f>
        <v>110880</v>
      </c>
      <c r="K37" s="26">
        <f>GSVA_cur!K37</f>
        <v>112170</v>
      </c>
      <c r="L37" s="26">
        <f>GSVA_cur!L37</f>
        <v>113460</v>
      </c>
      <c r="M37" s="26">
        <f>GSVA_cur!M37</f>
        <v>114680</v>
      </c>
      <c r="N37" s="26">
        <f>GSVA_cur!N37</f>
        <v>115870</v>
      </c>
      <c r="O37" s="26">
        <f>GSVA_cur!O37</f>
        <v>117060</v>
      </c>
      <c r="P37" s="26">
        <f>GSVA_cur!P37</f>
        <v>118240</v>
      </c>
      <c r="Q37" s="1"/>
      <c r="R37" s="2"/>
      <c r="S37" s="2"/>
      <c r="T37" s="1"/>
      <c r="U37" s="1"/>
      <c r="V37" s="1"/>
      <c r="W37" s="1"/>
      <c r="X37" s="1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</row>
    <row r="38" spans="1:189" s="11" customFormat="1" ht="15.75" x14ac:dyDescent="0.25">
      <c r="A38" s="34" t="s">
        <v>46</v>
      </c>
      <c r="B38" s="35" t="s">
        <v>63</v>
      </c>
      <c r="C38" s="26">
        <f>C36/C37*1000</f>
        <v>100314.47264856355</v>
      </c>
      <c r="D38" s="26">
        <f t="shared" ref="D38:N38" si="33">D36/D37*1000</f>
        <v>106358.9920372888</v>
      </c>
      <c r="E38" s="26">
        <f t="shared" si="33"/>
        <v>112900.20130368098</v>
      </c>
      <c r="F38" s="26">
        <f t="shared" si="33"/>
        <v>118979.3279697113</v>
      </c>
      <c r="G38" s="26">
        <f t="shared" si="33"/>
        <v>127248.82699317693</v>
      </c>
      <c r="H38" s="26">
        <f t="shared" si="33"/>
        <v>138783.87811634349</v>
      </c>
      <c r="I38" s="26">
        <f t="shared" si="33"/>
        <v>148010.58490738206</v>
      </c>
      <c r="J38" s="26">
        <f t="shared" si="33"/>
        <v>150179.29292929292</v>
      </c>
      <c r="K38" s="26">
        <f t="shared" si="33"/>
        <v>150820.24605509493</v>
      </c>
      <c r="L38" s="26">
        <f t="shared" si="33"/>
        <v>127787.96051471884</v>
      </c>
      <c r="M38" s="26">
        <f t="shared" si="33"/>
        <v>131793.67806069061</v>
      </c>
      <c r="N38" s="26">
        <f t="shared" si="33"/>
        <v>141511.34892551997</v>
      </c>
      <c r="O38" s="26">
        <f t="shared" ref="O38" si="34">O36/O37*1000</f>
        <v>150931.06099436188</v>
      </c>
      <c r="P38" s="26">
        <f t="shared" ref="P38" si="35">P36/P37*1000</f>
        <v>158819.12212449257</v>
      </c>
      <c r="Q38" s="1"/>
      <c r="R38" s="2"/>
      <c r="S38" s="2"/>
      <c r="T38" s="3"/>
      <c r="U38" s="3"/>
      <c r="V38" s="3"/>
      <c r="W38" s="3"/>
      <c r="X38" s="3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Y38" s="12"/>
      <c r="BZ38" s="12"/>
      <c r="CA38" s="12"/>
      <c r="CB38" s="12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</row>
    <row r="39" spans="1:189" x14ac:dyDescent="0.25">
      <c r="A39" s="2" t="s">
        <v>77</v>
      </c>
      <c r="B39" s="2" t="s">
        <v>67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4" max="1048575" man="1"/>
    <brk id="36" max="1048575" man="1"/>
    <brk id="52" max="1048575" man="1"/>
    <brk id="116" max="95" man="1"/>
    <brk id="152" max="1048575" man="1"/>
    <brk id="176" max="1048575" man="1"/>
    <brk id="184" max="9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GSVA_cur</vt:lpstr>
      <vt:lpstr>GSVA_const</vt:lpstr>
      <vt:lpstr>NSVA_cur</vt:lpstr>
      <vt:lpstr>NSVA_const</vt:lpstr>
      <vt:lpstr>GSVA_const!Print_Titles</vt:lpstr>
      <vt:lpstr>GSVA_cur!Print_Titles</vt:lpstr>
      <vt:lpstr>NSVA_const!Print_Titles</vt:lpstr>
      <vt:lpstr>NSVA_cur!Print_Titles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2025-08-06T06:24:12Z</dcterms:modified>
</cp:coreProperties>
</file>