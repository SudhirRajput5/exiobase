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88B07678-B73B-410B-AACF-5D6DD427AF7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6" i="12"/>
  <c r="P6" i="10"/>
  <c r="P12" i="10" s="1"/>
  <c r="P32" i="12" l="1"/>
  <c r="P32" i="11"/>
  <c r="P12" i="12"/>
  <c r="P32" i="10"/>
  <c r="P33" i="11"/>
  <c r="P33" i="10"/>
  <c r="P33" i="1"/>
  <c r="P12" i="1"/>
  <c r="P32" i="1"/>
  <c r="P12" i="11"/>
  <c r="P33" i="12"/>
  <c r="P36" i="12" s="1"/>
  <c r="O34" i="12"/>
  <c r="O35" i="12"/>
  <c r="O37" i="12"/>
  <c r="O17" i="12"/>
  <c r="O37" i="11"/>
  <c r="O34" i="11"/>
  <c r="O35" i="11"/>
  <c r="O17" i="11"/>
  <c r="O17" i="1"/>
  <c r="O37" i="1"/>
  <c r="O17" i="10"/>
  <c r="P38" i="12" l="1"/>
  <c r="P36" i="10"/>
  <c r="P36" i="11"/>
  <c r="P36" i="1"/>
  <c r="P38" i="10" l="1"/>
  <c r="P38" i="1"/>
  <c r="P38" i="11"/>
  <c r="I2" i="1" l="1"/>
  <c r="I2" i="11"/>
  <c r="I2" i="12"/>
  <c r="I2" i="10"/>
  <c r="O20" i="1" l="1"/>
  <c r="O20" i="11"/>
  <c r="O20" i="12"/>
  <c r="O20" i="10"/>
  <c r="O16" i="1"/>
  <c r="O16" i="11"/>
  <c r="O16" i="12"/>
  <c r="O16" i="10"/>
  <c r="O6" i="1"/>
  <c r="O6" i="11"/>
  <c r="O6" i="12"/>
  <c r="O6" i="10"/>
  <c r="O12" i="10" s="1"/>
  <c r="N16" i="10"/>
  <c r="N17" i="10"/>
  <c r="N20" i="10"/>
  <c r="N16" i="12"/>
  <c r="N17" i="12"/>
  <c r="N20" i="12"/>
  <c r="N34" i="12"/>
  <c r="N35" i="12"/>
  <c r="N37" i="12"/>
  <c r="N16" i="11"/>
  <c r="N17" i="11"/>
  <c r="N20" i="11"/>
  <c r="N34" i="11"/>
  <c r="N35" i="11"/>
  <c r="N37" i="11"/>
  <c r="N16" i="1"/>
  <c r="N17" i="1"/>
  <c r="N20" i="1"/>
  <c r="N37" i="1"/>
  <c r="N32" i="10" l="1"/>
  <c r="O12" i="12"/>
  <c r="O33" i="12"/>
  <c r="O12" i="11"/>
  <c r="O32" i="12"/>
  <c r="O32" i="11"/>
  <c r="N32" i="12"/>
  <c r="N32" i="11"/>
  <c r="O33" i="11"/>
  <c r="O32" i="1"/>
  <c r="N32" i="1"/>
  <c r="O12" i="1"/>
  <c r="O33" i="1"/>
  <c r="O32" i="10"/>
  <c r="O33" i="10"/>
  <c r="N6" i="1"/>
  <c r="N6" i="11"/>
  <c r="N6" i="12"/>
  <c r="N6" i="10"/>
  <c r="N12" i="10" s="1"/>
  <c r="O36" i="12" l="1"/>
  <c r="N33" i="12"/>
  <c r="N33" i="11"/>
  <c r="O36" i="11"/>
  <c r="N12" i="11"/>
  <c r="O36" i="1"/>
  <c r="N12" i="1"/>
  <c r="N33" i="1"/>
  <c r="N33" i="10"/>
  <c r="O36" i="10"/>
  <c r="N12" i="12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M20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20" i="11"/>
  <c r="D37" i="1"/>
  <c r="E37" i="1"/>
  <c r="F37" i="1"/>
  <c r="G37" i="1"/>
  <c r="H37" i="1"/>
  <c r="I37" i="1"/>
  <c r="J37" i="1"/>
  <c r="K37" i="1"/>
  <c r="L37" i="1"/>
  <c r="M37" i="1"/>
  <c r="M20" i="1"/>
  <c r="M20" i="10"/>
  <c r="O38" i="12" l="1"/>
  <c r="N36" i="12"/>
  <c r="O38" i="11"/>
  <c r="N36" i="11"/>
  <c r="O38" i="1"/>
  <c r="N36" i="1"/>
  <c r="O38" i="10"/>
  <c r="N36" i="10"/>
  <c r="M17" i="1"/>
  <c r="M17" i="11"/>
  <c r="M17" i="12"/>
  <c r="M17" i="10"/>
  <c r="M16" i="1"/>
  <c r="M16" i="11"/>
  <c r="M16" i="12"/>
  <c r="M16" i="10"/>
  <c r="M6" i="1"/>
  <c r="M6" i="11"/>
  <c r="M6" i="12"/>
  <c r="M6" i="10"/>
  <c r="M12" i="10" s="1"/>
  <c r="M32" i="12" l="1"/>
  <c r="N38" i="12"/>
  <c r="M32" i="11"/>
  <c r="M12" i="11"/>
  <c r="N38" i="11"/>
  <c r="M32" i="1"/>
  <c r="N38" i="1"/>
  <c r="M32" i="10"/>
  <c r="N38" i="10"/>
  <c r="M33" i="12"/>
  <c r="M12" i="12"/>
  <c r="M33" i="11"/>
  <c r="M33" i="1"/>
  <c r="M33" i="10"/>
  <c r="M12" i="1"/>
  <c r="M36" i="12" l="1"/>
  <c r="M38" i="12"/>
  <c r="M36" i="11"/>
  <c r="M36" i="1"/>
  <c r="M36" i="10"/>
  <c r="L20" i="1"/>
  <c r="L20" i="11"/>
  <c r="L20" i="12"/>
  <c r="L20" i="10"/>
  <c r="L16" i="1"/>
  <c r="L17" i="1"/>
  <c r="L16" i="11"/>
  <c r="L17" i="11"/>
  <c r="L16" i="12"/>
  <c r="L17" i="12"/>
  <c r="L16" i="10"/>
  <c r="L17" i="10"/>
  <c r="L6" i="1"/>
  <c r="L6" i="11"/>
  <c r="L6" i="12"/>
  <c r="L6" i="10"/>
  <c r="L12" i="10" s="1"/>
  <c r="L12" i="11" l="1"/>
  <c r="M38" i="11"/>
  <c r="M38" i="1"/>
  <c r="M38" i="10"/>
  <c r="L12" i="1"/>
  <c r="L33" i="12"/>
  <c r="L32" i="10"/>
  <c r="L32" i="12"/>
  <c r="L33" i="11"/>
  <c r="L32" i="11"/>
  <c r="L33" i="1"/>
  <c r="L32" i="1"/>
  <c r="L33" i="10"/>
  <c r="L12" i="12"/>
  <c r="L36" i="12" l="1"/>
  <c r="L38" i="12" s="1"/>
  <c r="L36" i="11"/>
  <c r="L36" i="10"/>
  <c r="L36" i="1"/>
  <c r="J20" i="1"/>
  <c r="K20" i="1"/>
  <c r="J20" i="11"/>
  <c r="K20" i="11"/>
  <c r="J20" i="12"/>
  <c r="K20" i="12"/>
  <c r="J20" i="10"/>
  <c r="K20" i="10"/>
  <c r="J17" i="1"/>
  <c r="K17" i="1"/>
  <c r="J17" i="11"/>
  <c r="K17" i="11"/>
  <c r="J17" i="12"/>
  <c r="K17" i="12"/>
  <c r="J17" i="10"/>
  <c r="K17" i="10"/>
  <c r="J16" i="1"/>
  <c r="K16" i="1"/>
  <c r="J16" i="11"/>
  <c r="K16" i="11"/>
  <c r="J16" i="12"/>
  <c r="K16" i="12"/>
  <c r="J16" i="10"/>
  <c r="K16" i="10"/>
  <c r="J6" i="1"/>
  <c r="K6" i="1"/>
  <c r="J6" i="11"/>
  <c r="K6" i="11"/>
  <c r="J6" i="12"/>
  <c r="K6" i="12"/>
  <c r="J6" i="10"/>
  <c r="J12" i="10" s="1"/>
  <c r="K6" i="10"/>
  <c r="K12" i="10" s="1"/>
  <c r="L38" i="11" l="1"/>
  <c r="J32" i="1"/>
  <c r="L38" i="1"/>
  <c r="J33" i="1"/>
  <c r="J36" i="1" s="1"/>
  <c r="J38" i="1" s="1"/>
  <c r="J12" i="1"/>
  <c r="K12" i="1"/>
  <c r="K33" i="1"/>
  <c r="K32" i="1"/>
  <c r="K12" i="12"/>
  <c r="L38" i="10"/>
  <c r="K32" i="12"/>
  <c r="K33" i="12"/>
  <c r="K32" i="11"/>
  <c r="J33" i="11"/>
  <c r="J36" i="11" s="1"/>
  <c r="J38" i="11" s="1"/>
  <c r="J32" i="11"/>
  <c r="K33" i="11"/>
  <c r="K36" i="11" s="1"/>
  <c r="K38" i="11" s="1"/>
  <c r="J12" i="11"/>
  <c r="K12" i="11"/>
  <c r="K32" i="10"/>
  <c r="K33" i="10"/>
  <c r="J32" i="12"/>
  <c r="J33" i="12"/>
  <c r="J12" i="12"/>
  <c r="J32" i="10"/>
  <c r="J33" i="10"/>
  <c r="K36" i="12" l="1"/>
  <c r="K38" i="12" s="1"/>
  <c r="J36" i="12"/>
  <c r="J38" i="12" s="1"/>
  <c r="K36" i="1"/>
  <c r="J36" i="10"/>
  <c r="K36" i="10"/>
  <c r="K38" i="1" l="1"/>
  <c r="J38" i="10"/>
  <c r="K38" i="10"/>
  <c r="I20" i="12"/>
  <c r="I16" i="12"/>
  <c r="I17" i="12"/>
  <c r="I6" i="12"/>
  <c r="I20" i="11"/>
  <c r="I16" i="11"/>
  <c r="I17" i="11"/>
  <c r="I6" i="11"/>
  <c r="I20" i="1"/>
  <c r="I16" i="1"/>
  <c r="I17" i="1"/>
  <c r="I6" i="1"/>
  <c r="I20" i="10"/>
  <c r="I17" i="10"/>
  <c r="I16" i="10"/>
  <c r="I6" i="10"/>
  <c r="I12" i="10" s="1"/>
  <c r="I32" i="1" l="1"/>
  <c r="I12" i="1"/>
  <c r="I33" i="1"/>
  <c r="I36" i="1" s="1"/>
  <c r="I38" i="1" s="1"/>
  <c r="I32" i="12"/>
  <c r="I12" i="12"/>
  <c r="I12" i="11"/>
  <c r="I33" i="10"/>
  <c r="I33" i="12"/>
  <c r="I36" i="12" s="1"/>
  <c r="I38" i="12" s="1"/>
  <c r="I32" i="11"/>
  <c r="I33" i="11"/>
  <c r="I36" i="11" s="1"/>
  <c r="I38" i="11" s="1"/>
  <c r="I32" i="10"/>
  <c r="H17" i="12"/>
  <c r="H17" i="11"/>
  <c r="I36" i="10" l="1"/>
  <c r="I38" i="10" l="1"/>
  <c r="H17" i="1"/>
  <c r="H17" i="10"/>
  <c r="H20" i="1" l="1"/>
  <c r="H32" i="1" s="1"/>
  <c r="H20" i="11"/>
  <c r="H20" i="12"/>
  <c r="H20" i="10"/>
  <c r="H16" i="1"/>
  <c r="H16" i="11"/>
  <c r="H16" i="12"/>
  <c r="H16" i="10"/>
  <c r="H6" i="1"/>
  <c r="H6" i="11"/>
  <c r="H6" i="12"/>
  <c r="H6" i="10"/>
  <c r="H12" i="10" s="1"/>
  <c r="H12" i="1" l="1"/>
  <c r="H33" i="1"/>
  <c r="H36" i="1" s="1"/>
  <c r="H38" i="1" s="1"/>
  <c r="H32" i="12"/>
  <c r="H12" i="12"/>
  <c r="H32" i="11"/>
  <c r="H12" i="11"/>
  <c r="H32" i="10"/>
  <c r="H33" i="10"/>
  <c r="H33" i="12"/>
  <c r="H36" i="12" s="1"/>
  <c r="H38" i="12" s="1"/>
  <c r="H33" i="11"/>
  <c r="H36" i="11" s="1"/>
  <c r="H38" i="11" s="1"/>
  <c r="C20" i="12"/>
  <c r="H36" i="10" l="1"/>
  <c r="C6" i="10"/>
  <c r="C12" i="10" s="1"/>
  <c r="D6" i="10"/>
  <c r="D12" i="10" s="1"/>
  <c r="E6" i="10"/>
  <c r="E12" i="10" s="1"/>
  <c r="F6" i="10"/>
  <c r="F12" i="10" s="1"/>
  <c r="G6" i="10"/>
  <c r="G12" i="10" s="1"/>
  <c r="C16" i="10"/>
  <c r="D16" i="10"/>
  <c r="E16" i="10"/>
  <c r="F16" i="10"/>
  <c r="G16" i="10"/>
  <c r="C17" i="10"/>
  <c r="D17" i="10"/>
  <c r="E17" i="10"/>
  <c r="F17" i="10"/>
  <c r="G17" i="10"/>
  <c r="C20" i="10"/>
  <c r="D20" i="10"/>
  <c r="E20" i="10"/>
  <c r="F20" i="10"/>
  <c r="G20" i="10"/>
  <c r="H38" i="10" l="1"/>
  <c r="D32" i="10"/>
  <c r="G32" i="10"/>
  <c r="G33" i="10"/>
  <c r="F33" i="10"/>
  <c r="D33" i="10"/>
  <c r="F32" i="10"/>
  <c r="C33" i="10"/>
  <c r="E33" i="10"/>
  <c r="E32" i="10"/>
  <c r="C32" i="10"/>
  <c r="D36" i="10" l="1"/>
  <c r="F36" i="10"/>
  <c r="C36" i="10"/>
  <c r="C38" i="10" s="1"/>
  <c r="G36" i="10"/>
  <c r="E36" i="10"/>
  <c r="F38" i="10" l="1"/>
  <c r="G38" i="10"/>
  <c r="D38" i="10"/>
  <c r="E38" i="10"/>
  <c r="C37" i="12"/>
  <c r="C37" i="11"/>
  <c r="C37" i="1"/>
  <c r="C35" i="12"/>
  <c r="C34" i="12"/>
  <c r="C35" i="11"/>
  <c r="C34" i="11"/>
  <c r="G20" i="1"/>
  <c r="F20" i="1"/>
  <c r="E20" i="1"/>
  <c r="D20" i="1"/>
  <c r="C20" i="1"/>
  <c r="G17" i="1"/>
  <c r="F17" i="1"/>
  <c r="E17" i="1"/>
  <c r="D17" i="1"/>
  <c r="C17" i="1"/>
  <c r="G16" i="1"/>
  <c r="F16" i="1"/>
  <c r="E16" i="1"/>
  <c r="D16" i="1"/>
  <c r="C16" i="1"/>
  <c r="G6" i="1"/>
  <c r="F6" i="1"/>
  <c r="E6" i="1"/>
  <c r="D6" i="1"/>
  <c r="C6" i="1"/>
  <c r="G20" i="11"/>
  <c r="F20" i="11"/>
  <c r="E20" i="11"/>
  <c r="D20" i="11"/>
  <c r="C20" i="11"/>
  <c r="G17" i="11"/>
  <c r="F17" i="11"/>
  <c r="E17" i="11"/>
  <c r="D17" i="11"/>
  <c r="C17" i="11"/>
  <c r="G16" i="11"/>
  <c r="F16" i="11"/>
  <c r="E16" i="11"/>
  <c r="D16" i="11"/>
  <c r="C16" i="11"/>
  <c r="G6" i="11"/>
  <c r="F6" i="11"/>
  <c r="E6" i="11"/>
  <c r="D6" i="11"/>
  <c r="C6" i="11"/>
  <c r="G20" i="12"/>
  <c r="F20" i="12"/>
  <c r="E20" i="12"/>
  <c r="D20" i="12"/>
  <c r="G17" i="12"/>
  <c r="F17" i="12"/>
  <c r="E17" i="12"/>
  <c r="D17" i="12"/>
  <c r="C17" i="12"/>
  <c r="G16" i="12"/>
  <c r="F16" i="12"/>
  <c r="E16" i="12"/>
  <c r="D16" i="12"/>
  <c r="C16" i="12"/>
  <c r="G6" i="12"/>
  <c r="F6" i="12"/>
  <c r="E6" i="12"/>
  <c r="D6" i="12"/>
  <c r="C6" i="12"/>
  <c r="G32" i="1" l="1"/>
  <c r="E32" i="1"/>
  <c r="D12" i="1"/>
  <c r="D33" i="1"/>
  <c r="D36" i="1" s="1"/>
  <c r="D38" i="1" s="1"/>
  <c r="E33" i="1"/>
  <c r="E36" i="1" s="1"/>
  <c r="E38" i="1" s="1"/>
  <c r="E12" i="1"/>
  <c r="C12" i="1"/>
  <c r="F33" i="1"/>
  <c r="F36" i="1" s="1"/>
  <c r="F38" i="1" s="1"/>
  <c r="F12" i="1"/>
  <c r="D32" i="1"/>
  <c r="G12" i="1"/>
  <c r="G33" i="1"/>
  <c r="G36" i="1" s="1"/>
  <c r="G38" i="1" s="1"/>
  <c r="F32" i="1"/>
  <c r="C32" i="12"/>
  <c r="C33" i="12"/>
  <c r="E12" i="11"/>
  <c r="F33" i="11"/>
  <c r="F36" i="11" s="1"/>
  <c r="F38" i="11" s="1"/>
  <c r="G32" i="12"/>
  <c r="G33" i="11"/>
  <c r="G36" i="11" s="1"/>
  <c r="G38" i="11" s="1"/>
  <c r="G33" i="12"/>
  <c r="G36" i="12" s="1"/>
  <c r="G38" i="12" s="1"/>
  <c r="G12" i="12"/>
  <c r="C33" i="1"/>
  <c r="D33" i="12"/>
  <c r="D36" i="12" s="1"/>
  <c r="D38" i="12" s="1"/>
  <c r="D32" i="12"/>
  <c r="F12" i="12"/>
  <c r="F32" i="12"/>
  <c r="E32" i="12"/>
  <c r="C32" i="11"/>
  <c r="C12" i="12"/>
  <c r="E33" i="12"/>
  <c r="E36" i="12" s="1"/>
  <c r="E38" i="12" s="1"/>
  <c r="D12" i="12"/>
  <c r="D33" i="11"/>
  <c r="D36" i="11" s="1"/>
  <c r="D38" i="11" s="1"/>
  <c r="F32" i="11"/>
  <c r="F12" i="11"/>
  <c r="D32" i="11"/>
  <c r="G32" i="11"/>
  <c r="G12" i="11"/>
  <c r="E33" i="11"/>
  <c r="E36" i="11" s="1"/>
  <c r="E38" i="11" s="1"/>
  <c r="C33" i="11"/>
  <c r="C32" i="1"/>
  <c r="E12" i="12"/>
  <c r="E32" i="11"/>
  <c r="F33" i="12"/>
  <c r="F36" i="12" s="1"/>
  <c r="F38" i="12" s="1"/>
  <c r="C12" i="11"/>
  <c r="D12" i="11"/>
  <c r="C36" i="12" l="1"/>
  <c r="C36" i="1"/>
  <c r="C36" i="11"/>
  <c r="C38" i="1" l="1"/>
  <c r="C38" i="12"/>
  <c r="C38" i="11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<sst xmlns="http://schemas.openxmlformats.org/spreadsheetml/2006/main" count="284" uniqueCount="77">
  <si>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</si>
  <si>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</si>
  <si>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</si>
  <si>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</si>
  <si>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</si>
  <si>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</si>
  <si>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</si>
  <si>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</si>
  <si>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</si>
  <si>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</si>
  <si>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</si>
  <si>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</si>
  <si>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</si>
  <si>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</si>
  <si>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</si>
  <si>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</si>
  <si>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</si>
  <si>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</si>
  <si>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</si>
  <si>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</si>
  <si>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</si>
  <si>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</si>
  <si>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</si>
  <si>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</si>
  <si>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</si>
  <si>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</si>
  <si>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</si>
  <si>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</si>
  <si>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</si>
  <si>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</si>
  <si>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</si>
  <si>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</si>
  <si>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</si>
  <si>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</si>
  <si>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</si>
  <si>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</si>
  <si>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</si>
  <si>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</si>
  <si>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</si>
  <si>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</si>
  <si>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</si>
  <si>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</si>
  <si>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</si>
  <si>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</si>
  <si>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</si>
  <si>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</si>
  <si>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</si>
  <si>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</si>
  <si>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</si>
  <si>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</si>
  <si>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</si>
  <si>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</si>
  <si>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</si>
  <si>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</si>
  <si>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</si>
  <si>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</si>
  <si>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</si>
  <si>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</si>
  <si>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</si>
  <si>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</si>
  <si>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</si>
  <si>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</si>
  <si>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</si>
  <si>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</si>
  <si>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</si>
  <si>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</si>
  <si>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Bihar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</si>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</sst>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1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6" fillId="0" borderId="0" xfId="0" applyFont="1" applyProtection="1">
      <protection locked="0"/>
    </xf>
    <xf numFmtId="0" fontId="7" fillId="0" borderId="3" xfId="0" applyFont="1" applyBorder="1"/>
    <xf numFmtId="1" fontId="7" fillId="0" borderId="4" xfId="0" applyNumberFormat="1" applyFont="1" applyBorder="1" applyProtection="1">
      <protection locked="0"/>
    </xf>
    <xf numFmtId="0" fontId="7" fillId="3" borderId="0" xfId="0" applyFont="1" applyFill="1"/>
    <xf numFmtId="1" fontId="7" fillId="3" borderId="1" xfId="0" applyNumberFormat="1" applyFont="1" applyFill="1" applyBorder="1"/>
    <xf numFmtId="1" fontId="7" fillId="3" borderId="0" xfId="0" applyNumberFormat="1" applyFont="1" applyFill="1"/>
    <xf numFmtId="1" fontId="7" fillId="3" borderId="1" xfId="0" applyNumberFormat="1" applyFont="1" applyFill="1" applyBorder="1" applyProtection="1">
      <protection locked="0"/>
    </xf>
    <xf numFmtId="1" fontId="7" fillId="3" borderId="0" xfId="0" applyNumberFormat="1" applyFont="1" applyFill="1" applyProtection="1">
      <protection locked="0"/>
    </xf>
    <xf numFmtId="1" fontId="10" fillId="3" borderId="1" xfId="0" applyNumberFormat="1" applyFont="1" applyFill="1" applyBorder="1" applyProtection="1">
      <protection locked="0"/>
    </xf>
    <xf numFmtId="1" fontId="10" fillId="3" borderId="1" xfId="0" applyNumberFormat="1" applyFont="1" applyFill="1" applyBorder="1"/>
    <xf numFmtId="0" fontId="7" fillId="3" borderId="0" xfId="0" applyFont="1" applyFill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K39"/>
  <sheetViews>
    <sheetView zoomScale="112" zoomScaleNormal="112" zoomScaleSheetLayoutView="100" workbookViewId="0">
      <pane xSplit="2" ySplit="5" topLeftCell="C20" activePane="bottomRight" state="frozen"/>
      <selection activeCell="Q52" sqref="Q51:Q52"/>
      <selection pane="topRight" activeCell="Q52" sqref="Q51:Q52"/>
      <selection pane="bottomLeft" activeCell="Q52" sqref="Q51:Q52"/>
      <selection pane="bottomRight" activeCell="G29" sqref="G29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6" width="10.7109375" style="2" customWidth="1"/>
    <col min="7" max="16" width="11.85546875" style="6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6" customWidth="1"/>
    <col min="22" max="22" width="9.140625" style="2" customWidth="1"/>
    <col min="23" max="23" width="10.85546875" style="2" customWidth="1"/>
    <col min="24" max="24" width="10.85546875" style="6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6" customWidth="1"/>
    <col min="115" max="119" width="9.140625" style="6" hidden="1" customWidth="1"/>
    <col min="120" max="120" width="9.140625" style="6" customWidth="1"/>
    <col min="121" max="125" width="9.140625" style="6" hidden="1" customWidth="1"/>
    <col min="126" max="126" width="9.140625" style="6" customWidth="1"/>
    <col min="127" max="131" width="9.140625" style="6" hidden="1" customWidth="1"/>
    <col min="132" max="132" width="9.140625" style="6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21" x14ac:dyDescent="0.35">
      <c r="A1" s="2" t="s">
        <v>53</v>
      </c>
      <c r="B1" s="21" t="s">
        <v>66</v>
      </c>
      <c r="W1" s="7"/>
    </row>
    <row r="2" spans="1:193" ht="15.75" x14ac:dyDescent="0.25">
      <c r="A2" s="11" t="s">
        <v>48</v>
      </c>
      <c r="I2" s="6" t="str">
        <f>[1]GSVA_cur!$I$3</f>
        <v>01.08.2025</v>
      </c>
    </row>
    <row r="3" spans="1:193" ht="15.75" x14ac:dyDescent="0.25">
      <c r="A3" s="11"/>
    </row>
    <row r="4" spans="1:193" ht="15.75" x14ac:dyDescent="0.25">
      <c r="A4" s="11"/>
      <c r="E4" s="10"/>
      <c r="F4" s="10" t="s">
        <v>57</v>
      </c>
    </row>
    <row r="5" spans="1:193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2" t="s">
        <v>72</v>
      </c>
      <c r="N5" s="22" t="s">
        <v>73</v>
      </c>
      <c r="O5" s="22" t="s">
        <v>74</v>
      </c>
      <c r="P5" s="22" t="s">
        <v>76</v>
      </c>
    </row>
    <row r="6" spans="1:193" s="24" customFormat="1" ht="15.75" x14ac:dyDescent="0.25">
      <c r="A6" s="32" t="s">
        <v>26</v>
      </c>
      <c r="B6" s="33" t="s">
        <v>2</v>
      </c>
      <c r="C6" s="25">
        <f>SUM(C7:C10)</f>
        <v>6206654.8836538931</v>
      </c>
      <c r="D6" s="25">
        <f t="shared" ref="D6:P6" si="0">SUM(D7:D10)</f>
        <v>7669988.3617907586</v>
      </c>
      <c r="E6" s="25">
        <f t="shared" si="0"/>
        <v>7371939.1164244739</v>
      </c>
      <c r="F6" s="25">
        <f t="shared" si="0"/>
        <v>7863210.863270021</v>
      </c>
      <c r="G6" s="25">
        <f t="shared" si="0"/>
        <v>8428401.7258060612</v>
      </c>
      <c r="H6" s="25">
        <f t="shared" si="0"/>
        <v>9855918.7505386658</v>
      </c>
      <c r="I6" s="25">
        <f t="shared" si="0"/>
        <v>11215317.97210655</v>
      </c>
      <c r="J6" s="25">
        <f t="shared" si="0"/>
        <v>11454868.317952413</v>
      </c>
      <c r="K6" s="25">
        <f t="shared" si="0"/>
        <v>12913596.053055907</v>
      </c>
      <c r="L6" s="25">
        <f t="shared" si="0"/>
        <v>15069449.574805932</v>
      </c>
      <c r="M6" s="25">
        <f t="shared" si="0"/>
        <v>17011839.168628231</v>
      </c>
      <c r="N6" s="25">
        <f t="shared" si="0"/>
        <v>18096507.077320725</v>
      </c>
      <c r="O6" s="25">
        <f t="shared" si="0"/>
        <v>19660321.317108128</v>
      </c>
      <c r="P6" s="25">
        <f t="shared" si="0"/>
        <v>21517342.178379603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K6" s="31"/>
    </row>
    <row r="7" spans="1:193" ht="15.75" x14ac:dyDescent="0.25">
      <c r="A7" s="16">
        <v>1.1000000000000001</v>
      </c>
      <c r="B7" s="17" t="s">
        <v>59</v>
      </c>
      <c r="C7" s="4">
        <v>4260777.8293962758</v>
      </c>
      <c r="D7" s="4">
        <v>5336543.9191903519</v>
      </c>
      <c r="E7" s="4">
        <v>4522338.7723673517</v>
      </c>
      <c r="F7" s="4">
        <v>4622152.4304840937</v>
      </c>
      <c r="G7" s="4">
        <v>4898746.8998606717</v>
      </c>
      <c r="H7" s="4">
        <v>5777187.9291787855</v>
      </c>
      <c r="I7" s="4">
        <v>6436837.8576918244</v>
      </c>
      <c r="J7" s="4">
        <v>6313197.744208023</v>
      </c>
      <c r="K7" s="4">
        <v>7149648.4526525438</v>
      </c>
      <c r="L7" s="4">
        <v>8220346.4993227767</v>
      </c>
      <c r="M7" s="4">
        <v>8097013.3001688812</v>
      </c>
      <c r="N7" s="4">
        <v>8532607.7949280012</v>
      </c>
      <c r="O7" s="4">
        <v>9794471.7394683957</v>
      </c>
      <c r="P7" s="4">
        <v>10490687.536007231</v>
      </c>
      <c r="Q7" s="8"/>
      <c r="R7" s="8"/>
      <c r="S7" s="8"/>
      <c r="T7" s="8"/>
      <c r="U7" s="7"/>
      <c r="V7" s="8"/>
      <c r="W7" s="8"/>
      <c r="X7" s="7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6"/>
      <c r="GI7" s="6"/>
      <c r="GJ7" s="6"/>
    </row>
    <row r="8" spans="1:193" ht="15.75" x14ac:dyDescent="0.25">
      <c r="A8" s="16">
        <v>1.2</v>
      </c>
      <c r="B8" s="17" t="s">
        <v>60</v>
      </c>
      <c r="C8" s="4">
        <v>1202820.9947011655</v>
      </c>
      <c r="D8" s="4">
        <v>1481100.9052590607</v>
      </c>
      <c r="E8" s="4">
        <v>1831596.4425843169</v>
      </c>
      <c r="F8" s="4">
        <v>2062078.0765495664</v>
      </c>
      <c r="G8" s="4">
        <v>2267725.6711021126</v>
      </c>
      <c r="H8" s="4">
        <v>2586153.2669184525</v>
      </c>
      <c r="I8" s="4">
        <v>3068238.7284544962</v>
      </c>
      <c r="J8" s="4">
        <v>3375487.8285460831</v>
      </c>
      <c r="K8" s="4">
        <v>3797356.4016679344</v>
      </c>
      <c r="L8" s="4">
        <v>4644537.6525807846</v>
      </c>
      <c r="M8" s="4">
        <v>6498113.7187127071</v>
      </c>
      <c r="N8" s="4">
        <v>6839323.3667670833</v>
      </c>
      <c r="O8" s="4">
        <v>6933739.2509648027</v>
      </c>
      <c r="P8" s="4">
        <v>7510554.0383364102</v>
      </c>
      <c r="Q8" s="8"/>
      <c r="R8" s="8"/>
      <c r="S8" s="8"/>
      <c r="T8" s="8"/>
      <c r="U8" s="7"/>
      <c r="V8" s="8"/>
      <c r="W8" s="8"/>
      <c r="X8" s="7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6"/>
      <c r="GI8" s="6"/>
      <c r="GJ8" s="6"/>
    </row>
    <row r="9" spans="1:193" ht="15.75" x14ac:dyDescent="0.25">
      <c r="A9" s="16">
        <v>1.3</v>
      </c>
      <c r="B9" s="17" t="s">
        <v>61</v>
      </c>
      <c r="C9" s="4">
        <v>418681.87787035201</v>
      </c>
      <c r="D9" s="4">
        <v>457077.25929720863</v>
      </c>
      <c r="E9" s="4">
        <v>500975.84985009028</v>
      </c>
      <c r="F9" s="4">
        <v>525756.00270461093</v>
      </c>
      <c r="G9" s="4">
        <v>582408.58005249139</v>
      </c>
      <c r="H9" s="4">
        <v>773505.90054082801</v>
      </c>
      <c r="I9" s="4">
        <v>825667.03911654092</v>
      </c>
      <c r="J9" s="4">
        <v>853956.70742525673</v>
      </c>
      <c r="K9" s="4">
        <v>975647.96583259536</v>
      </c>
      <c r="L9" s="4">
        <v>1050614.7132161485</v>
      </c>
      <c r="M9" s="4">
        <v>1140783.3180115663</v>
      </c>
      <c r="N9" s="4">
        <v>1228399.7168618385</v>
      </c>
      <c r="O9" s="4">
        <v>1354411.9465026001</v>
      </c>
      <c r="P9" s="4">
        <v>1513935.1761564866</v>
      </c>
      <c r="Q9" s="8"/>
      <c r="R9" s="8"/>
      <c r="S9" s="8"/>
      <c r="T9" s="8"/>
      <c r="U9" s="7"/>
      <c r="V9" s="8"/>
      <c r="W9" s="8"/>
      <c r="X9" s="7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6"/>
      <c r="GI9" s="6"/>
      <c r="GJ9" s="6"/>
    </row>
    <row r="10" spans="1:193" ht="15.75" x14ac:dyDescent="0.25">
      <c r="A10" s="16">
        <v>1.4</v>
      </c>
      <c r="B10" s="17" t="s">
        <v>62</v>
      </c>
      <c r="C10" s="4">
        <v>324374.18168609997</v>
      </c>
      <c r="D10" s="4">
        <v>395266.27804413752</v>
      </c>
      <c r="E10" s="4">
        <v>517028.05162271514</v>
      </c>
      <c r="F10" s="4">
        <v>653224.35353175004</v>
      </c>
      <c r="G10" s="4">
        <v>679520.57479078497</v>
      </c>
      <c r="H10" s="4">
        <v>719071.65390060004</v>
      </c>
      <c r="I10" s="4">
        <v>884574.34684368747</v>
      </c>
      <c r="J10" s="4">
        <v>912226.0377730499</v>
      </c>
      <c r="K10" s="4">
        <v>990943.23290283408</v>
      </c>
      <c r="L10" s="4">
        <v>1153950.7096862213</v>
      </c>
      <c r="M10" s="4">
        <v>1275928.8317350731</v>
      </c>
      <c r="N10" s="4">
        <v>1496176.1987638026</v>
      </c>
      <c r="O10" s="4">
        <v>1577698.3801723307</v>
      </c>
      <c r="P10" s="4">
        <v>2002165.4278794751</v>
      </c>
      <c r="Q10" s="8"/>
      <c r="R10" s="8"/>
      <c r="S10" s="8"/>
      <c r="T10" s="8"/>
      <c r="U10" s="7"/>
      <c r="V10" s="8"/>
      <c r="W10" s="8"/>
      <c r="X10" s="7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6"/>
      <c r="GI10" s="6"/>
      <c r="GJ10" s="6"/>
    </row>
    <row r="11" spans="1:193" ht="15.75" x14ac:dyDescent="0.25">
      <c r="A11" s="18" t="s">
        <v>31</v>
      </c>
      <c r="B11" s="17" t="s">
        <v>3</v>
      </c>
      <c r="C11" s="4">
        <v>19858.161910799034</v>
      </c>
      <c r="D11" s="4">
        <v>23428.983460153202</v>
      </c>
      <c r="E11" s="4">
        <v>150804.00393910834</v>
      </c>
      <c r="F11" s="4">
        <v>85069.984478463768</v>
      </c>
      <c r="G11" s="4">
        <v>266985.33711526007</v>
      </c>
      <c r="H11" s="4">
        <v>250575.36004293119</v>
      </c>
      <c r="I11" s="4">
        <v>65121.939777141335</v>
      </c>
      <c r="J11" s="4">
        <v>190211.28159613555</v>
      </c>
      <c r="K11" s="4">
        <v>656131.61503552692</v>
      </c>
      <c r="L11" s="4">
        <v>95261.078193285182</v>
      </c>
      <c r="M11" s="4">
        <v>118068.05937607556</v>
      </c>
      <c r="N11" s="4">
        <v>364703.35069323418</v>
      </c>
      <c r="O11" s="4">
        <v>304750.36764393351</v>
      </c>
      <c r="P11" s="4">
        <v>369111.08458856237</v>
      </c>
      <c r="Q11" s="8"/>
      <c r="R11" s="8"/>
      <c r="S11" s="8"/>
      <c r="T11" s="8"/>
      <c r="U11" s="7"/>
      <c r="V11" s="8"/>
      <c r="W11" s="8"/>
      <c r="X11" s="7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6"/>
      <c r="GI11" s="6"/>
      <c r="GJ11" s="6"/>
    </row>
    <row r="12" spans="1:193" s="31" customFormat="1" ht="15.75" x14ac:dyDescent="0.25">
      <c r="A12" s="34"/>
      <c r="B12" s="35" t="s">
        <v>28</v>
      </c>
      <c r="C12" s="29">
        <f>C6+C11</f>
        <v>6226513.0455646925</v>
      </c>
      <c r="D12" s="29">
        <f t="shared" ref="D12:P12" si="1">D6+D11</f>
        <v>7693417.345250912</v>
      </c>
      <c r="E12" s="29">
        <f t="shared" si="1"/>
        <v>7522743.1203635819</v>
      </c>
      <c r="F12" s="29">
        <f t="shared" si="1"/>
        <v>7948280.8477484845</v>
      </c>
      <c r="G12" s="29">
        <f t="shared" si="1"/>
        <v>8695387.062921321</v>
      </c>
      <c r="H12" s="29">
        <f t="shared" si="1"/>
        <v>10106494.110581597</v>
      </c>
      <c r="I12" s="29">
        <f t="shared" si="1"/>
        <v>11280439.911883691</v>
      </c>
      <c r="J12" s="29">
        <f t="shared" si="1"/>
        <v>11645079.599548548</v>
      </c>
      <c r="K12" s="29">
        <f t="shared" si="1"/>
        <v>13569727.668091433</v>
      </c>
      <c r="L12" s="29">
        <f t="shared" si="1"/>
        <v>15164710.652999217</v>
      </c>
      <c r="M12" s="29">
        <f t="shared" si="1"/>
        <v>17129907.228004307</v>
      </c>
      <c r="N12" s="29">
        <f t="shared" si="1"/>
        <v>18461210.428013958</v>
      </c>
      <c r="O12" s="29">
        <f t="shared" si="1"/>
        <v>19965071.684752062</v>
      </c>
      <c r="P12" s="29">
        <f t="shared" si="1"/>
        <v>21886453.262968164</v>
      </c>
      <c r="Q12" s="8"/>
      <c r="R12" s="8"/>
      <c r="S12" s="8"/>
      <c r="T12" s="8"/>
      <c r="U12" s="7"/>
      <c r="V12" s="8"/>
      <c r="W12" s="8"/>
      <c r="X12" s="7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4"/>
      <c r="GI12" s="24"/>
      <c r="GJ12" s="24"/>
    </row>
    <row r="13" spans="1:193" s="6" customFormat="1" ht="15.75" x14ac:dyDescent="0.25">
      <c r="A13" s="14" t="s">
        <v>32</v>
      </c>
      <c r="B13" s="15" t="s">
        <v>4</v>
      </c>
      <c r="C13" s="1">
        <v>1466570.1934122564</v>
      </c>
      <c r="D13" s="1">
        <v>1035091.8742251106</v>
      </c>
      <c r="E13" s="1">
        <v>2120942.3573147808</v>
      </c>
      <c r="F13" s="1">
        <v>2997754.0624814094</v>
      </c>
      <c r="G13" s="1">
        <v>2548976.0334263928</v>
      </c>
      <c r="H13" s="1">
        <v>3196245.7599001578</v>
      </c>
      <c r="I13" s="1">
        <v>3464762.6519001164</v>
      </c>
      <c r="J13" s="1">
        <v>3436448.4607209344</v>
      </c>
      <c r="K13" s="1">
        <v>3751786.596988928</v>
      </c>
      <c r="L13" s="1">
        <v>4153268.2553706313</v>
      </c>
      <c r="M13" s="1">
        <v>4903133.498151863</v>
      </c>
      <c r="N13" s="1">
        <v>6028648.2400755957</v>
      </c>
      <c r="O13" s="1">
        <v>6669206.2286864715</v>
      </c>
      <c r="P13" s="1">
        <v>6932174.3366577998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K13" s="2"/>
    </row>
    <row r="14" spans="1:193" ht="30" x14ac:dyDescent="0.25">
      <c r="A14" s="18" t="s">
        <v>33</v>
      </c>
      <c r="B14" s="17" t="s">
        <v>5</v>
      </c>
      <c r="C14" s="1">
        <v>365886.63761964731</v>
      </c>
      <c r="D14" s="1">
        <v>442205.67464877083</v>
      </c>
      <c r="E14" s="1">
        <v>385931.0968</v>
      </c>
      <c r="F14" s="1">
        <v>331272.81800000003</v>
      </c>
      <c r="G14" s="1">
        <v>503556.80959999998</v>
      </c>
      <c r="H14" s="1">
        <v>475899.1443801531</v>
      </c>
      <c r="I14" s="1">
        <v>526702.63024373748</v>
      </c>
      <c r="J14" s="1">
        <v>862699.82198033226</v>
      </c>
      <c r="K14" s="1">
        <v>936635.201369563</v>
      </c>
      <c r="L14" s="1">
        <v>860557.34869589109</v>
      </c>
      <c r="M14" s="1">
        <v>956124.88851813274</v>
      </c>
      <c r="N14" s="1">
        <v>1484689.6221528775</v>
      </c>
      <c r="O14" s="1">
        <v>1735571.9059195807</v>
      </c>
      <c r="P14" s="1">
        <v>2026303.1022792282</v>
      </c>
      <c r="Q14" s="8"/>
      <c r="R14" s="8"/>
      <c r="S14" s="8"/>
      <c r="T14" s="8"/>
      <c r="U14" s="7"/>
      <c r="V14" s="8"/>
      <c r="W14" s="8"/>
      <c r="X14" s="7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7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7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7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6"/>
      <c r="GI14" s="6"/>
      <c r="GJ14" s="6"/>
    </row>
    <row r="15" spans="1:193" ht="15.75" x14ac:dyDescent="0.25">
      <c r="A15" s="18" t="s">
        <v>34</v>
      </c>
      <c r="B15" s="17" t="s">
        <v>6</v>
      </c>
      <c r="C15" s="1">
        <v>2701685.2699767421</v>
      </c>
      <c r="D15" s="1">
        <v>2781004.6481367447</v>
      </c>
      <c r="E15" s="1">
        <v>3184759.9117061207</v>
      </c>
      <c r="F15" s="1">
        <v>3267783.8411043482</v>
      </c>
      <c r="G15" s="1">
        <v>3251515.7278599837</v>
      </c>
      <c r="H15" s="1">
        <v>3527262.0532</v>
      </c>
      <c r="I15" s="1">
        <v>3913196.8873999999</v>
      </c>
      <c r="J15" s="1">
        <v>4422068.7007548716</v>
      </c>
      <c r="K15" s="1">
        <v>4582841.3949127281</v>
      </c>
      <c r="L15" s="1">
        <v>4257361.0004623467</v>
      </c>
      <c r="M15" s="1">
        <v>5878525.6736999145</v>
      </c>
      <c r="N15" s="1">
        <v>9011890.2430286445</v>
      </c>
      <c r="O15" s="1">
        <v>10907644.47226342</v>
      </c>
      <c r="P15" s="1">
        <v>13343435.584373854</v>
      </c>
      <c r="Q15" s="8"/>
      <c r="R15" s="8"/>
      <c r="S15" s="8"/>
      <c r="T15" s="8"/>
      <c r="U15" s="7"/>
      <c r="V15" s="8"/>
      <c r="W15" s="8"/>
      <c r="X15" s="7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7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7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7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6"/>
      <c r="GI15" s="6"/>
      <c r="GJ15" s="6"/>
    </row>
    <row r="16" spans="1:193" s="31" customFormat="1" ht="15.75" x14ac:dyDescent="0.25">
      <c r="A16" s="34"/>
      <c r="B16" s="35" t="s">
        <v>29</v>
      </c>
      <c r="C16" s="29">
        <f>+C13+C14+C15</f>
        <v>4534142.1010086462</v>
      </c>
      <c r="D16" s="29">
        <f t="shared" ref="D16:K16" si="2">+D13+D14+D15</f>
        <v>4258302.1970106261</v>
      </c>
      <c r="E16" s="29">
        <f t="shared" si="2"/>
        <v>5691633.3658209015</v>
      </c>
      <c r="F16" s="29">
        <f t="shared" si="2"/>
        <v>6596810.721585758</v>
      </c>
      <c r="G16" s="29">
        <f t="shared" si="2"/>
        <v>6304048.5708863763</v>
      </c>
      <c r="H16" s="29">
        <f t="shared" si="2"/>
        <v>7199406.9574803114</v>
      </c>
      <c r="I16" s="29">
        <f t="shared" si="2"/>
        <v>7904662.169543853</v>
      </c>
      <c r="J16" s="29">
        <f t="shared" si="2"/>
        <v>8721216.9834561385</v>
      </c>
      <c r="K16" s="29">
        <f t="shared" si="2"/>
        <v>9271263.1932712197</v>
      </c>
      <c r="L16" s="29">
        <f t="shared" ref="L16:M16" si="3">+L13+L14+L15</f>
        <v>9271186.6045288704</v>
      </c>
      <c r="M16" s="29">
        <f t="shared" si="3"/>
        <v>11737784.060369909</v>
      </c>
      <c r="N16" s="29">
        <f t="shared" ref="N16:O16" si="4">+N13+N14+N15</f>
        <v>16525228.105257118</v>
      </c>
      <c r="O16" s="29">
        <f t="shared" si="4"/>
        <v>19312422.606869474</v>
      </c>
      <c r="P16" s="29">
        <f t="shared" ref="P16" si="5">+P13+P14+P15</f>
        <v>22301913.023310881</v>
      </c>
      <c r="Q16" s="8"/>
      <c r="R16" s="8"/>
      <c r="S16" s="8"/>
      <c r="T16" s="8"/>
      <c r="U16" s="7"/>
      <c r="V16" s="8"/>
      <c r="W16" s="8"/>
      <c r="X16" s="7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6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6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6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4"/>
      <c r="GI16" s="24"/>
      <c r="GJ16" s="24"/>
    </row>
    <row r="17" spans="1:193" s="24" customFormat="1" ht="15.75" x14ac:dyDescent="0.25">
      <c r="A17" s="32" t="s">
        <v>35</v>
      </c>
      <c r="B17" s="33" t="s">
        <v>7</v>
      </c>
      <c r="C17" s="25">
        <f>C18+C19</f>
        <v>4390442.1029920243</v>
      </c>
      <c r="D17" s="25">
        <f t="shared" ref="D17:K17" si="6">D18+D19</f>
        <v>5175534.4086576644</v>
      </c>
      <c r="E17" s="25">
        <f t="shared" si="6"/>
        <v>5205102.1867613448</v>
      </c>
      <c r="F17" s="25">
        <f t="shared" si="6"/>
        <v>5341042.6222000001</v>
      </c>
      <c r="G17" s="25">
        <f t="shared" si="6"/>
        <v>6605957.8233099831</v>
      </c>
      <c r="H17" s="25">
        <f t="shared" si="6"/>
        <v>7514639.1845498085</v>
      </c>
      <c r="I17" s="25">
        <f t="shared" si="6"/>
        <v>8496493.1874745488</v>
      </c>
      <c r="J17" s="25">
        <f t="shared" si="6"/>
        <v>9503547.3217689544</v>
      </c>
      <c r="K17" s="25">
        <f t="shared" si="6"/>
        <v>10204267.622971339</v>
      </c>
      <c r="L17" s="25">
        <f t="shared" ref="L17:M17" si="7">L18+L19</f>
        <v>8888929.6060182825</v>
      </c>
      <c r="M17" s="25">
        <f t="shared" si="7"/>
        <v>9753731.120988261</v>
      </c>
      <c r="N17" s="25">
        <f t="shared" ref="N17:O17" si="8">N18+N19</f>
        <v>11901004.508997425</v>
      </c>
      <c r="O17" s="25">
        <f t="shared" si="8"/>
        <v>12663537.472390581</v>
      </c>
      <c r="P17" s="25">
        <f t="shared" ref="P17" si="9">P18+P19</f>
        <v>13998343.628161855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K17" s="31"/>
    </row>
    <row r="18" spans="1:193" ht="15.75" x14ac:dyDescent="0.25">
      <c r="A18" s="16">
        <v>6.1</v>
      </c>
      <c r="B18" s="17" t="s">
        <v>8</v>
      </c>
      <c r="C18" s="4">
        <v>4110861.4885999998</v>
      </c>
      <c r="D18" s="4">
        <v>4867227.3859999999</v>
      </c>
      <c r="E18" s="4">
        <v>4873546.8706999999</v>
      </c>
      <c r="F18" s="4">
        <v>4995946.8685999997</v>
      </c>
      <c r="G18" s="4">
        <v>6221333.2428000001</v>
      </c>
      <c r="H18" s="4">
        <v>7093728.0127999997</v>
      </c>
      <c r="I18" s="4">
        <v>8026412.2304999996</v>
      </c>
      <c r="J18" s="4">
        <v>8964676.9779000003</v>
      </c>
      <c r="K18" s="4">
        <v>9630128.7421849724</v>
      </c>
      <c r="L18" s="4">
        <v>8634185.8083899152</v>
      </c>
      <c r="M18" s="4">
        <v>9384141.1373445019</v>
      </c>
      <c r="N18" s="4">
        <v>11127656.9066095</v>
      </c>
      <c r="O18" s="4">
        <v>11604427.223867331</v>
      </c>
      <c r="P18" s="4">
        <v>12844099.130243748</v>
      </c>
      <c r="Q18" s="8"/>
      <c r="R18" s="8"/>
      <c r="S18" s="8"/>
      <c r="T18" s="8"/>
      <c r="U18" s="7"/>
      <c r="V18" s="8"/>
      <c r="W18" s="8"/>
      <c r="X18" s="7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6"/>
      <c r="GI18" s="6"/>
      <c r="GJ18" s="6"/>
    </row>
    <row r="19" spans="1:193" ht="15.75" x14ac:dyDescent="0.25">
      <c r="A19" s="16">
        <v>6.2</v>
      </c>
      <c r="B19" s="17" t="s">
        <v>9</v>
      </c>
      <c r="C19" s="4">
        <v>279580.614392024</v>
      </c>
      <c r="D19" s="4">
        <v>308307.02265766461</v>
      </c>
      <c r="E19" s="4">
        <v>331555.31606134516</v>
      </c>
      <c r="F19" s="4">
        <v>345095.7536</v>
      </c>
      <c r="G19" s="4">
        <v>384624.58050998289</v>
      </c>
      <c r="H19" s="4">
        <v>420911.17174980848</v>
      </c>
      <c r="I19" s="4">
        <v>470080.95697455003</v>
      </c>
      <c r="J19" s="4">
        <v>538870.34386895446</v>
      </c>
      <c r="K19" s="4">
        <v>574138.88078636595</v>
      </c>
      <c r="L19" s="4">
        <v>254743.79762836694</v>
      </c>
      <c r="M19" s="4">
        <v>369589.98364375829</v>
      </c>
      <c r="N19" s="4">
        <v>773347.60238792584</v>
      </c>
      <c r="O19" s="4">
        <v>1059110.2485232493</v>
      </c>
      <c r="P19" s="4">
        <v>1154244.4979181073</v>
      </c>
      <c r="Q19" s="8"/>
      <c r="R19" s="8"/>
      <c r="S19" s="8"/>
      <c r="T19" s="8"/>
      <c r="U19" s="7"/>
      <c r="V19" s="8"/>
      <c r="W19" s="8"/>
      <c r="X19" s="7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6"/>
      <c r="GI19" s="6"/>
      <c r="GJ19" s="6"/>
    </row>
    <row r="20" spans="1:193" s="24" customFormat="1" ht="30" x14ac:dyDescent="0.25">
      <c r="A20" s="36" t="s">
        <v>36</v>
      </c>
      <c r="B20" s="37" t="s">
        <v>10</v>
      </c>
      <c r="C20" s="25">
        <f>SUM(C21:C27)</f>
        <v>1754480.2409202266</v>
      </c>
      <c r="D20" s="25">
        <f t="shared" ref="D20:P20" si="10">SUM(D21:D27)</f>
        <v>2161628.6629588734</v>
      </c>
      <c r="E20" s="25">
        <f t="shared" si="10"/>
        <v>2684992.5989448512</v>
      </c>
      <c r="F20" s="25">
        <f t="shared" si="10"/>
        <v>3188912.7724000001</v>
      </c>
      <c r="G20" s="25">
        <f t="shared" si="10"/>
        <v>3646486.0092226099</v>
      </c>
      <c r="H20" s="25">
        <f t="shared" si="10"/>
        <v>3891307.8955361675</v>
      </c>
      <c r="I20" s="25">
        <f t="shared" si="10"/>
        <v>4275452.1790999994</v>
      </c>
      <c r="J20" s="25">
        <f t="shared" si="10"/>
        <v>4825118.0234000003</v>
      </c>
      <c r="K20" s="25">
        <f t="shared" si="10"/>
        <v>5422922.7590526184</v>
      </c>
      <c r="L20" s="25">
        <f t="shared" si="10"/>
        <v>5092009.581661569</v>
      </c>
      <c r="M20" s="25">
        <f t="shared" si="10"/>
        <v>6870696.1484624259</v>
      </c>
      <c r="N20" s="25">
        <f t="shared" si="10"/>
        <v>7515496.3513193112</v>
      </c>
      <c r="O20" s="25">
        <f t="shared" si="10"/>
        <v>8105015.6968727587</v>
      </c>
      <c r="P20" s="25">
        <f t="shared" si="10"/>
        <v>9314083.5918806139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K20" s="31"/>
    </row>
    <row r="21" spans="1:193" ht="15.75" x14ac:dyDescent="0.25">
      <c r="A21" s="16">
        <v>7.1</v>
      </c>
      <c r="B21" s="17" t="s">
        <v>11</v>
      </c>
      <c r="C21" s="4">
        <v>275142.06802183919</v>
      </c>
      <c r="D21" s="4">
        <v>334829.36249358236</v>
      </c>
      <c r="E21" s="4">
        <v>395680.62390485144</v>
      </c>
      <c r="F21" s="4">
        <v>472458</v>
      </c>
      <c r="G21" s="4">
        <v>478409</v>
      </c>
      <c r="H21" s="4">
        <v>462796</v>
      </c>
      <c r="I21" s="4">
        <v>490443.99999999994</v>
      </c>
      <c r="J21" s="4">
        <v>532015</v>
      </c>
      <c r="K21" s="4">
        <v>566446</v>
      </c>
      <c r="L21" s="4">
        <v>684726</v>
      </c>
      <c r="M21" s="4">
        <v>754118</v>
      </c>
      <c r="N21" s="4">
        <v>684753</v>
      </c>
      <c r="O21" s="4">
        <v>764825</v>
      </c>
      <c r="P21" s="4">
        <v>854260.26702329167</v>
      </c>
      <c r="Q21" s="8"/>
      <c r="R21" s="8"/>
      <c r="S21" s="8"/>
      <c r="T21" s="8"/>
      <c r="U21" s="7"/>
      <c r="V21" s="8"/>
      <c r="W21" s="8"/>
      <c r="X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6"/>
      <c r="GI21" s="6"/>
      <c r="GJ21" s="6"/>
    </row>
    <row r="22" spans="1:193" ht="15.75" x14ac:dyDescent="0.25">
      <c r="A22" s="16">
        <v>7.2</v>
      </c>
      <c r="B22" s="17" t="s">
        <v>12</v>
      </c>
      <c r="C22" s="4">
        <v>840471.7365044317</v>
      </c>
      <c r="D22" s="4">
        <v>1069739.6288693473</v>
      </c>
      <c r="E22" s="4">
        <v>1347912.4735999999</v>
      </c>
      <c r="F22" s="4">
        <v>1572297.5697000001</v>
      </c>
      <c r="G22" s="4">
        <v>1756450.1358</v>
      </c>
      <c r="H22" s="4">
        <v>2015470.8655999999</v>
      </c>
      <c r="I22" s="4">
        <v>2329873.4419999998</v>
      </c>
      <c r="J22" s="4">
        <v>2760096.3670000001</v>
      </c>
      <c r="K22" s="4">
        <v>3067094.326142407</v>
      </c>
      <c r="L22" s="4">
        <v>2499896.1772249513</v>
      </c>
      <c r="M22" s="4">
        <v>3797942.942316371</v>
      </c>
      <c r="N22" s="4">
        <v>4074454.0896028136</v>
      </c>
      <c r="O22" s="4">
        <v>4254891.3472101744</v>
      </c>
      <c r="P22" s="4">
        <v>4840137.7059425293</v>
      </c>
      <c r="Q22" s="8"/>
      <c r="R22" s="8"/>
      <c r="S22" s="8"/>
      <c r="T22" s="8"/>
      <c r="U22" s="7"/>
      <c r="V22" s="8"/>
      <c r="W22" s="8"/>
      <c r="X22" s="7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6"/>
      <c r="GI22" s="6"/>
      <c r="GJ22" s="6"/>
    </row>
    <row r="23" spans="1:193" ht="15.75" x14ac:dyDescent="0.25">
      <c r="A23" s="16">
        <v>7.3</v>
      </c>
      <c r="B23" s="17" t="s">
        <v>13</v>
      </c>
      <c r="C23" s="4">
        <v>4894.9704000000002</v>
      </c>
      <c r="D23" s="4">
        <v>2558.8240999999998</v>
      </c>
      <c r="E23" s="4">
        <v>1727.7568000000001</v>
      </c>
      <c r="F23" s="4">
        <v>2113.5113999999999</v>
      </c>
      <c r="G23" s="4">
        <v>2248.6098000000002</v>
      </c>
      <c r="H23" s="4">
        <v>3616.9884999999999</v>
      </c>
      <c r="I23" s="4">
        <v>2980.152</v>
      </c>
      <c r="J23" s="4">
        <v>5076.8270000000002</v>
      </c>
      <c r="K23" s="4">
        <v>5072.9740725498859</v>
      </c>
      <c r="L23" s="4">
        <v>4929.1880333533472</v>
      </c>
      <c r="M23" s="4">
        <v>8121.1944756853782</v>
      </c>
      <c r="N23" s="4">
        <v>10065.675686496141</v>
      </c>
      <c r="O23" s="4">
        <v>10256.067932286873</v>
      </c>
      <c r="P23" s="4">
        <v>11710.564919443272</v>
      </c>
      <c r="Q23" s="8"/>
      <c r="R23" s="8"/>
      <c r="S23" s="8"/>
      <c r="T23" s="8"/>
      <c r="U23" s="7"/>
      <c r="V23" s="8"/>
      <c r="W23" s="8"/>
      <c r="X23" s="7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6"/>
      <c r="GI23" s="6"/>
      <c r="GJ23" s="6"/>
    </row>
    <row r="24" spans="1:193" ht="15.75" x14ac:dyDescent="0.25">
      <c r="A24" s="16">
        <v>7.4</v>
      </c>
      <c r="B24" s="17" t="s">
        <v>14</v>
      </c>
      <c r="C24" s="4">
        <v>3079.0625</v>
      </c>
      <c r="D24" s="4">
        <v>5847.7555000000002</v>
      </c>
      <c r="E24" s="4">
        <v>4557.4143999999997</v>
      </c>
      <c r="F24" s="4">
        <v>7940.9615999999996</v>
      </c>
      <c r="G24" s="4">
        <v>15820.118399999998</v>
      </c>
      <c r="H24" s="4">
        <v>19214.942999999999</v>
      </c>
      <c r="I24" s="4">
        <v>24145.735499999999</v>
      </c>
      <c r="J24" s="4">
        <v>15783.208000000002</v>
      </c>
      <c r="K24" s="4">
        <v>31441.214113080434</v>
      </c>
      <c r="L24" s="4">
        <v>27574.636496784591</v>
      </c>
      <c r="M24" s="4">
        <v>21390.346896506595</v>
      </c>
      <c r="N24" s="4">
        <v>25456.361389704907</v>
      </c>
      <c r="O24" s="4">
        <v>37702.547925857958</v>
      </c>
      <c r="P24" s="4">
        <v>45329.429809469657</v>
      </c>
      <c r="Q24" s="8"/>
      <c r="R24" s="8"/>
      <c r="S24" s="8"/>
      <c r="T24" s="8"/>
      <c r="U24" s="7"/>
      <c r="V24" s="8"/>
      <c r="W24" s="8"/>
      <c r="X24" s="7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6"/>
      <c r="GI24" s="6"/>
      <c r="GJ24" s="6"/>
    </row>
    <row r="25" spans="1:193" ht="15.75" x14ac:dyDescent="0.25">
      <c r="A25" s="16">
        <v>7.5</v>
      </c>
      <c r="B25" s="17" t="s">
        <v>15</v>
      </c>
      <c r="C25" s="4">
        <v>89270.150599999994</v>
      </c>
      <c r="D25" s="4">
        <v>112021.71289999998</v>
      </c>
      <c r="E25" s="4">
        <v>142482.27840000001</v>
      </c>
      <c r="F25" s="4">
        <v>166632.9093</v>
      </c>
      <c r="G25" s="4">
        <v>187953.61379999999</v>
      </c>
      <c r="H25" s="4">
        <v>221347.85339999999</v>
      </c>
      <c r="I25" s="4">
        <v>253315.63099999999</v>
      </c>
      <c r="J25" s="4">
        <v>295920.39750000002</v>
      </c>
      <c r="K25" s="4">
        <v>331985.38807816419</v>
      </c>
      <c r="L25" s="4">
        <v>255552.27845935937</v>
      </c>
      <c r="M25" s="4">
        <v>400704.74340166111</v>
      </c>
      <c r="N25" s="4">
        <v>435955.31387333293</v>
      </c>
      <c r="O25" s="4">
        <v>467652.521852648</v>
      </c>
      <c r="P25" s="4">
        <v>545036.26186192059</v>
      </c>
      <c r="Q25" s="8"/>
      <c r="R25" s="8"/>
      <c r="S25" s="8"/>
      <c r="T25" s="8"/>
      <c r="U25" s="7"/>
      <c r="V25" s="8"/>
      <c r="W25" s="8"/>
      <c r="X25" s="7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6"/>
      <c r="GI25" s="6"/>
      <c r="GJ25" s="6"/>
    </row>
    <row r="26" spans="1:193" ht="15.75" x14ac:dyDescent="0.25">
      <c r="A26" s="16">
        <v>7.6</v>
      </c>
      <c r="B26" s="17" t="s">
        <v>16</v>
      </c>
      <c r="C26" s="4">
        <v>7399.8239999999996</v>
      </c>
      <c r="D26" s="4">
        <v>8433.9267716126196</v>
      </c>
      <c r="E26" s="4">
        <v>8456.9865000000009</v>
      </c>
      <c r="F26" s="4">
        <v>9310.8204000000005</v>
      </c>
      <c r="G26" s="4">
        <v>10027.929</v>
      </c>
      <c r="H26" s="4">
        <v>10724.4313</v>
      </c>
      <c r="I26" s="4">
        <v>15094.0998</v>
      </c>
      <c r="J26" s="4">
        <v>36797.223899999997</v>
      </c>
      <c r="K26" s="4">
        <v>38492.499106969612</v>
      </c>
      <c r="L26" s="4">
        <v>41130.30144712067</v>
      </c>
      <c r="M26" s="4">
        <v>43022.921372201039</v>
      </c>
      <c r="N26" s="4">
        <v>48465.910766963942</v>
      </c>
      <c r="O26" s="4">
        <v>55387.211951791607</v>
      </c>
      <c r="P26" s="4">
        <v>68205.765883432352</v>
      </c>
      <c r="Q26" s="8"/>
      <c r="R26" s="8"/>
      <c r="S26" s="8"/>
      <c r="T26" s="8"/>
      <c r="U26" s="7"/>
      <c r="V26" s="8"/>
      <c r="W26" s="8"/>
      <c r="X26" s="7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6"/>
      <c r="GI26" s="6"/>
      <c r="GJ26" s="6"/>
    </row>
    <row r="27" spans="1:193" ht="30" x14ac:dyDescent="0.25">
      <c r="A27" s="16">
        <v>7.7</v>
      </c>
      <c r="B27" s="17" t="s">
        <v>17</v>
      </c>
      <c r="C27" s="4">
        <v>534222.42889395577</v>
      </c>
      <c r="D27" s="4">
        <v>628197.45232433104</v>
      </c>
      <c r="E27" s="4">
        <v>784175.06533999997</v>
      </c>
      <c r="F27" s="4">
        <v>958159</v>
      </c>
      <c r="G27" s="4">
        <v>1195576.6024226095</v>
      </c>
      <c r="H27" s="4">
        <v>1158136.8137361677</v>
      </c>
      <c r="I27" s="4">
        <v>1159599.1188000001</v>
      </c>
      <c r="J27" s="4">
        <v>1179429</v>
      </c>
      <c r="K27" s="4">
        <v>1382390.3575394473</v>
      </c>
      <c r="L27" s="4">
        <v>1578201</v>
      </c>
      <c r="M27" s="4">
        <v>1845396</v>
      </c>
      <c r="N27" s="4">
        <v>2236346</v>
      </c>
      <c r="O27" s="4">
        <v>2514301</v>
      </c>
      <c r="P27" s="4">
        <v>2949403.5964405281</v>
      </c>
      <c r="Q27" s="8"/>
      <c r="R27" s="8"/>
      <c r="S27" s="8"/>
      <c r="T27" s="8"/>
      <c r="U27" s="7"/>
      <c r="V27" s="8"/>
      <c r="W27" s="8"/>
      <c r="X27" s="7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6"/>
      <c r="GI27" s="6"/>
      <c r="GJ27" s="6"/>
    </row>
    <row r="28" spans="1:193" ht="15.75" x14ac:dyDescent="0.25">
      <c r="A28" s="18" t="s">
        <v>37</v>
      </c>
      <c r="B28" s="17" t="s">
        <v>18</v>
      </c>
      <c r="C28" s="4">
        <v>883932</v>
      </c>
      <c r="D28" s="4">
        <v>977417</v>
      </c>
      <c r="E28" s="4">
        <v>1122273</v>
      </c>
      <c r="F28" s="4">
        <v>1218791</v>
      </c>
      <c r="G28" s="4">
        <v>1323291</v>
      </c>
      <c r="H28" s="4">
        <v>1247577</v>
      </c>
      <c r="I28" s="4">
        <v>1553638</v>
      </c>
      <c r="J28" s="4">
        <v>2233935</v>
      </c>
      <c r="K28" s="4">
        <v>2328597</v>
      </c>
      <c r="L28" s="4">
        <v>2549223</v>
      </c>
      <c r="M28" s="4">
        <v>2670216</v>
      </c>
      <c r="N28" s="4">
        <v>3215003</v>
      </c>
      <c r="O28" s="4">
        <v>3732865</v>
      </c>
      <c r="P28" s="4">
        <v>4334142.4901392004</v>
      </c>
      <c r="Q28" s="8"/>
      <c r="R28" s="8"/>
      <c r="S28" s="8"/>
      <c r="T28" s="8"/>
      <c r="U28" s="7"/>
      <c r="V28" s="8"/>
      <c r="W28" s="8"/>
      <c r="X28" s="7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6"/>
      <c r="GI28" s="6"/>
      <c r="GJ28" s="6"/>
    </row>
    <row r="29" spans="1:193" ht="30" x14ac:dyDescent="0.25">
      <c r="A29" s="18" t="s">
        <v>38</v>
      </c>
      <c r="B29" s="17" t="s">
        <v>19</v>
      </c>
      <c r="C29" s="4">
        <v>2802335.6454598079</v>
      </c>
      <c r="D29" s="4">
        <v>3121655.6053977278</v>
      </c>
      <c r="E29" s="4">
        <v>3460384.5822670138</v>
      </c>
      <c r="F29" s="4">
        <v>3667482.3724430948</v>
      </c>
      <c r="G29" s="4">
        <v>3635731.0965305921</v>
      </c>
      <c r="H29" s="4">
        <v>3826048.1011651764</v>
      </c>
      <c r="I29" s="4">
        <v>4082797.0829085722</v>
      </c>
      <c r="J29" s="4">
        <v>4401705.9264787417</v>
      </c>
      <c r="K29" s="4">
        <v>4461410.0285798935</v>
      </c>
      <c r="L29" s="4">
        <v>4410466.4792951448</v>
      </c>
      <c r="M29" s="4">
        <v>5024180.8111097468</v>
      </c>
      <c r="N29" s="4">
        <v>5651147.0417134073</v>
      </c>
      <c r="O29" s="4">
        <v>6027046.4493459053</v>
      </c>
      <c r="P29" s="4">
        <v>6598399.4066476803</v>
      </c>
      <c r="Q29" s="8"/>
      <c r="R29" s="8"/>
      <c r="S29" s="8"/>
      <c r="T29" s="8"/>
      <c r="U29" s="7"/>
      <c r="V29" s="8"/>
      <c r="W29" s="8"/>
      <c r="X29" s="7"/>
      <c r="Y29" s="9"/>
      <c r="Z29" s="9"/>
      <c r="AA29" s="9"/>
      <c r="AB29" s="9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6"/>
      <c r="GI29" s="6"/>
      <c r="GJ29" s="6"/>
    </row>
    <row r="30" spans="1:193" ht="15.75" x14ac:dyDescent="0.25">
      <c r="A30" s="18" t="s">
        <v>39</v>
      </c>
      <c r="B30" s="17" t="s">
        <v>54</v>
      </c>
      <c r="C30" s="4">
        <v>1358743</v>
      </c>
      <c r="D30" s="4">
        <v>1477676</v>
      </c>
      <c r="E30" s="4">
        <v>1576835</v>
      </c>
      <c r="F30" s="4">
        <v>1720334</v>
      </c>
      <c r="G30" s="4">
        <v>1767616.9999999998</v>
      </c>
      <c r="H30" s="4">
        <v>1952047</v>
      </c>
      <c r="I30" s="4">
        <v>2226701</v>
      </c>
      <c r="J30" s="4">
        <v>2352460</v>
      </c>
      <c r="K30" s="4">
        <v>2599164</v>
      </c>
      <c r="L30" s="4">
        <v>2916463</v>
      </c>
      <c r="M30" s="4">
        <v>3227691</v>
      </c>
      <c r="N30" s="4">
        <v>3760605.0000000005</v>
      </c>
      <c r="O30" s="4">
        <v>4600673</v>
      </c>
      <c r="P30" s="4">
        <v>5294945.7730999328</v>
      </c>
      <c r="Q30" s="8"/>
      <c r="R30" s="8"/>
      <c r="S30" s="8"/>
      <c r="T30" s="8"/>
      <c r="U30" s="7"/>
      <c r="V30" s="8"/>
      <c r="W30" s="8"/>
      <c r="X30" s="7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6"/>
      <c r="GI30" s="6"/>
      <c r="GJ30" s="6"/>
    </row>
    <row r="31" spans="1:193" ht="15.75" x14ac:dyDescent="0.25">
      <c r="A31" s="18" t="s">
        <v>40</v>
      </c>
      <c r="B31" s="17" t="s">
        <v>20</v>
      </c>
      <c r="C31" s="4">
        <v>2219261.5288618426</v>
      </c>
      <c r="D31" s="4">
        <v>2804281.0585920722</v>
      </c>
      <c r="E31" s="4">
        <v>3404578.4905025992</v>
      </c>
      <c r="F31" s="4">
        <v>3838253.7322358619</v>
      </c>
      <c r="G31" s="4">
        <v>4436980.4525567349</v>
      </c>
      <c r="H31" s="4">
        <v>5108146.7376517821</v>
      </c>
      <c r="I31" s="4">
        <v>6021322.4924068376</v>
      </c>
      <c r="J31" s="4">
        <v>7352078.1411296502</v>
      </c>
      <c r="K31" s="4">
        <v>8123141.1966520259</v>
      </c>
      <c r="L31" s="4">
        <v>6939734.5488223666</v>
      </c>
      <c r="M31" s="4">
        <v>7696470.7797548138</v>
      </c>
      <c r="N31" s="4">
        <v>8651559.3954965379</v>
      </c>
      <c r="O31" s="4">
        <v>10681220.793330958</v>
      </c>
      <c r="P31" s="4">
        <v>12473852.048788331</v>
      </c>
      <c r="Q31" s="8"/>
      <c r="R31" s="8"/>
      <c r="S31" s="8"/>
      <c r="T31" s="8"/>
      <c r="U31" s="7"/>
      <c r="V31" s="8"/>
      <c r="W31" s="8"/>
      <c r="X31" s="7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6"/>
      <c r="GI31" s="6"/>
      <c r="GJ31" s="6"/>
    </row>
    <row r="32" spans="1:193" s="31" customFormat="1" ht="15.75" x14ac:dyDescent="0.25">
      <c r="A32" s="34"/>
      <c r="B32" s="35" t="s">
        <v>30</v>
      </c>
      <c r="C32" s="29">
        <f>C17+C20+C28+C29+C30+C31</f>
        <v>13409194.518233903</v>
      </c>
      <c r="D32" s="29">
        <f t="shared" ref="D32:G32" si="11">D17+D20+D28+D29+D30+D31</f>
        <v>15718192.735606337</v>
      </c>
      <c r="E32" s="29">
        <f t="shared" si="11"/>
        <v>17454165.858475808</v>
      </c>
      <c r="F32" s="29">
        <f t="shared" si="11"/>
        <v>18974816.499278955</v>
      </c>
      <c r="G32" s="29">
        <f t="shared" si="11"/>
        <v>21416063.381619915</v>
      </c>
      <c r="H32" s="29">
        <f t="shared" ref="H32:K32" si="12">H17+H20+H28+H29+H30+H31</f>
        <v>23539765.918902934</v>
      </c>
      <c r="I32" s="29">
        <f t="shared" si="12"/>
        <v>26656403.941889957</v>
      </c>
      <c r="J32" s="29">
        <f t="shared" si="12"/>
        <v>30668844.412777349</v>
      </c>
      <c r="K32" s="29">
        <f t="shared" si="12"/>
        <v>33139502.607255876</v>
      </c>
      <c r="L32" s="29">
        <f t="shared" ref="L32:M32" si="13">L17+L20+L28+L29+L30+L31</f>
        <v>30796826.215797361</v>
      </c>
      <c r="M32" s="29">
        <f t="shared" si="13"/>
        <v>35242985.860315248</v>
      </c>
      <c r="N32" s="29">
        <f t="shared" ref="N32:O32" si="14">N17+N20+N28+N29+N30+N31</f>
        <v>40694815.297526687</v>
      </c>
      <c r="O32" s="29">
        <f t="shared" si="14"/>
        <v>45810358.41194021</v>
      </c>
      <c r="P32" s="29">
        <f t="shared" ref="P32" si="15">P17+P20+P28+P29+P30+P31</f>
        <v>52013766.938717611</v>
      </c>
      <c r="Q32" s="8"/>
      <c r="R32" s="8"/>
      <c r="S32" s="8"/>
      <c r="T32" s="8"/>
      <c r="U32" s="7"/>
      <c r="V32" s="8"/>
      <c r="W32" s="8"/>
      <c r="X32" s="7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4"/>
      <c r="GI32" s="24"/>
      <c r="GJ32" s="24"/>
    </row>
    <row r="33" spans="1:193" s="24" customFormat="1" ht="15.75" x14ac:dyDescent="0.25">
      <c r="A33" s="32" t="s">
        <v>27</v>
      </c>
      <c r="B33" s="38" t="s">
        <v>41</v>
      </c>
      <c r="C33" s="30">
        <f t="shared" ref="C33:H33" si="16">C6+C11+C13+C14+C15+C17+C20+C28+C29+C30+C31</f>
        <v>24169849.664807241</v>
      </c>
      <c r="D33" s="30">
        <f t="shared" si="16"/>
        <v>27669912.27786788</v>
      </c>
      <c r="E33" s="30">
        <f t="shared" si="16"/>
        <v>30668542.34466029</v>
      </c>
      <c r="F33" s="30">
        <f t="shared" si="16"/>
        <v>33519908.068613201</v>
      </c>
      <c r="G33" s="30">
        <f t="shared" si="16"/>
        <v>36415499.015427619</v>
      </c>
      <c r="H33" s="30">
        <f t="shared" si="16"/>
        <v>40845666.986964837</v>
      </c>
      <c r="I33" s="30">
        <f t="shared" ref="I33:K33" si="17">I6+I11+I13+I14+I15+I17+I20+I28+I29+I30+I31</f>
        <v>45841506.023317501</v>
      </c>
      <c r="J33" s="30">
        <f t="shared" si="17"/>
        <v>51035140.995782033</v>
      </c>
      <c r="K33" s="30">
        <f t="shared" si="17"/>
        <v>55980493.468618527</v>
      </c>
      <c r="L33" s="30">
        <f t="shared" ref="L33:M33" si="18">L6+L11+L13+L14+L15+L17+L20+L28+L29+L30+L31</f>
        <v>55232723.473325446</v>
      </c>
      <c r="M33" s="30">
        <f t="shared" si="18"/>
        <v>64110677.148689464</v>
      </c>
      <c r="N33" s="30">
        <f t="shared" ref="N33:O33" si="19">N6+N11+N13+N14+N15+N17+N20+N28+N29+N30+N31</f>
        <v>75681253.830797762</v>
      </c>
      <c r="O33" s="30">
        <f t="shared" si="19"/>
        <v>85087852.703561723</v>
      </c>
      <c r="P33" s="30">
        <f t="shared" ref="P33" si="20">P6+P11+P13+P14+P15+P17+P20+P28+P29+P30+P31</f>
        <v>96202133.224996656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K33" s="31"/>
    </row>
    <row r="34" spans="1:193" ht="15.75" x14ac:dyDescent="0.25">
      <c r="A34" s="19" t="s">
        <v>43</v>
      </c>
      <c r="B34" s="5" t="s">
        <v>25</v>
      </c>
      <c r="C34" s="4">
        <v>1716948.3994893769</v>
      </c>
      <c r="D34" s="4">
        <v>2118543.8162362869</v>
      </c>
      <c r="E34" s="4">
        <v>2623560.7872949191</v>
      </c>
      <c r="F34" s="4">
        <v>2700724</v>
      </c>
      <c r="G34" s="4">
        <v>3478703</v>
      </c>
      <c r="H34" s="4">
        <v>3529141.0000000005</v>
      </c>
      <c r="I34" s="4">
        <v>3123660</v>
      </c>
      <c r="J34" s="4">
        <v>3980968</v>
      </c>
      <c r="K34" s="4">
        <v>4421242</v>
      </c>
      <c r="L34" s="4">
        <v>5080219</v>
      </c>
      <c r="M34" s="4">
        <v>5428937.6721113799</v>
      </c>
      <c r="N34" s="4">
        <v>6545093.453877815</v>
      </c>
      <c r="O34" s="4">
        <v>7257714.8475640099</v>
      </c>
      <c r="P34" s="4">
        <v>8184084.8326945063</v>
      </c>
      <c r="Q34" s="8"/>
      <c r="R34" s="8"/>
      <c r="S34" s="8"/>
      <c r="T34" s="8"/>
      <c r="U34" s="7"/>
      <c r="V34" s="8"/>
      <c r="W34" s="8"/>
      <c r="X34" s="7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</row>
    <row r="35" spans="1:193" ht="15.75" x14ac:dyDescent="0.25">
      <c r="A35" s="19" t="s">
        <v>44</v>
      </c>
      <c r="B35" s="5" t="s">
        <v>24</v>
      </c>
      <c r="C35" s="4">
        <v>1172402</v>
      </c>
      <c r="D35" s="4">
        <v>1551663</v>
      </c>
      <c r="E35" s="4">
        <v>1581969</v>
      </c>
      <c r="F35" s="4">
        <v>1925538</v>
      </c>
      <c r="G35" s="4">
        <v>2734023</v>
      </c>
      <c r="H35" s="4">
        <v>2269658</v>
      </c>
      <c r="I35" s="4">
        <v>2090534.9999999998</v>
      </c>
      <c r="J35" s="4">
        <v>2218527</v>
      </c>
      <c r="K35" s="4">
        <v>2216187</v>
      </c>
      <c r="L35" s="4">
        <v>3531540</v>
      </c>
      <c r="M35" s="4">
        <v>4800180</v>
      </c>
      <c r="N35" s="4">
        <v>5909875</v>
      </c>
      <c r="O35" s="4">
        <v>4625912</v>
      </c>
      <c r="P35" s="4">
        <v>5186496.6472979262</v>
      </c>
      <c r="Q35" s="8"/>
      <c r="R35" s="8"/>
      <c r="S35" s="8"/>
      <c r="T35" s="8"/>
      <c r="U35" s="7"/>
      <c r="V35" s="8"/>
      <c r="W35" s="8"/>
      <c r="X35" s="7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</row>
    <row r="36" spans="1:193" s="31" customFormat="1" ht="15.75" x14ac:dyDescent="0.25">
      <c r="A36" s="39" t="s">
        <v>45</v>
      </c>
      <c r="B36" s="40" t="s">
        <v>55</v>
      </c>
      <c r="C36" s="29">
        <f>C33+C34-C35</f>
        <v>24714396.064296618</v>
      </c>
      <c r="D36" s="29">
        <f t="shared" ref="D36:P36" si="21">D33+D34-D35</f>
        <v>28236793.094104167</v>
      </c>
      <c r="E36" s="29">
        <f t="shared" si="21"/>
        <v>31710134.13195521</v>
      </c>
      <c r="F36" s="29">
        <f t="shared" si="21"/>
        <v>34295094.068613201</v>
      </c>
      <c r="G36" s="29">
        <f t="shared" si="21"/>
        <v>37160179.015427619</v>
      </c>
      <c r="H36" s="29">
        <f t="shared" si="21"/>
        <v>42105149.986964837</v>
      </c>
      <c r="I36" s="29">
        <f t="shared" si="21"/>
        <v>46874631.023317501</v>
      </c>
      <c r="J36" s="29">
        <f t="shared" si="21"/>
        <v>52797581.995782033</v>
      </c>
      <c r="K36" s="29">
        <f t="shared" si="21"/>
        <v>58185548.468618527</v>
      </c>
      <c r="L36" s="29">
        <f t="shared" si="21"/>
        <v>56781402.473325446</v>
      </c>
      <c r="M36" s="29">
        <f t="shared" si="21"/>
        <v>64739434.820800841</v>
      </c>
      <c r="N36" s="29">
        <f t="shared" si="21"/>
        <v>76316472.284675583</v>
      </c>
      <c r="O36" s="29">
        <f t="shared" si="21"/>
        <v>87719655.551125735</v>
      </c>
      <c r="P36" s="29">
        <f t="shared" si="21"/>
        <v>99199721.410393238</v>
      </c>
      <c r="Q36" s="8"/>
      <c r="R36" s="8"/>
      <c r="S36" s="8"/>
      <c r="T36" s="8"/>
      <c r="U36" s="7"/>
      <c r="V36" s="8"/>
      <c r="W36" s="8"/>
      <c r="X36" s="7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</row>
    <row r="37" spans="1:193" ht="15.75" x14ac:dyDescent="0.25">
      <c r="A37" s="19" t="s">
        <v>46</v>
      </c>
      <c r="B37" s="5" t="s">
        <v>42</v>
      </c>
      <c r="C37" s="4">
        <v>1050570</v>
      </c>
      <c r="D37" s="4">
        <v>1067200</v>
      </c>
      <c r="E37" s="4">
        <v>1084080</v>
      </c>
      <c r="F37" s="4">
        <v>1101240</v>
      </c>
      <c r="G37" s="4">
        <v>1118670</v>
      </c>
      <c r="H37" s="4">
        <v>1136380</v>
      </c>
      <c r="I37" s="4">
        <v>1169960</v>
      </c>
      <c r="J37" s="4">
        <v>1187780</v>
      </c>
      <c r="K37" s="4">
        <v>1205590</v>
      </c>
      <c r="L37" s="4">
        <v>1223410</v>
      </c>
      <c r="M37" s="4">
        <v>1241540</v>
      </c>
      <c r="N37" s="4">
        <v>1259910</v>
      </c>
      <c r="O37" s="4">
        <v>1278270</v>
      </c>
      <c r="P37" s="4">
        <v>1296897.5505393241</v>
      </c>
      <c r="Y37" s="6"/>
      <c r="Z37" s="6"/>
      <c r="AA37" s="6"/>
      <c r="AB37" s="6"/>
    </row>
    <row r="38" spans="1:193" s="31" customFormat="1" ht="15.75" x14ac:dyDescent="0.25">
      <c r="A38" s="39" t="s">
        <v>47</v>
      </c>
      <c r="B38" s="40" t="s">
        <v>58</v>
      </c>
      <c r="C38" s="29">
        <f>C36/C37*1000</f>
        <v>23524.749482944135</v>
      </c>
      <c r="D38" s="29">
        <f t="shared" ref="D38:P38" si="22">D36/D37*1000</f>
        <v>26458.764143650831</v>
      </c>
      <c r="E38" s="29">
        <f t="shared" si="22"/>
        <v>29250.73253999263</v>
      </c>
      <c r="F38" s="29">
        <f t="shared" si="22"/>
        <v>31142.252432360976</v>
      </c>
      <c r="G38" s="29">
        <f t="shared" si="22"/>
        <v>33218.1778499715</v>
      </c>
      <c r="H38" s="29">
        <f t="shared" si="22"/>
        <v>37051.998439751522</v>
      </c>
      <c r="I38" s="29">
        <f t="shared" si="22"/>
        <v>40065.156948372169</v>
      </c>
      <c r="J38" s="29">
        <f t="shared" si="22"/>
        <v>44450.640687485924</v>
      </c>
      <c r="K38" s="29">
        <f t="shared" si="22"/>
        <v>48263.131303858303</v>
      </c>
      <c r="L38" s="29">
        <f t="shared" si="22"/>
        <v>46412.406693851975</v>
      </c>
      <c r="M38" s="29">
        <f t="shared" si="22"/>
        <v>52144.461572563785</v>
      </c>
      <c r="N38" s="29">
        <f t="shared" si="22"/>
        <v>60572.955437035642</v>
      </c>
      <c r="O38" s="29">
        <f t="shared" si="22"/>
        <v>68623.73015961083</v>
      </c>
      <c r="P38" s="29">
        <f t="shared" si="22"/>
        <v>76490.021412362388</v>
      </c>
      <c r="Q38" s="2"/>
      <c r="R38" s="2"/>
      <c r="S38" s="2"/>
      <c r="T38" s="2"/>
      <c r="U38" s="6"/>
      <c r="V38" s="2"/>
      <c r="W38" s="2"/>
      <c r="X38" s="7"/>
      <c r="Y38" s="7"/>
      <c r="Z38" s="7"/>
      <c r="AA38" s="7"/>
      <c r="AB38" s="7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CC38" s="28"/>
      <c r="CD38" s="28"/>
      <c r="CE38" s="28"/>
      <c r="CF38" s="28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G39"/>
  <sheetViews>
    <sheetView zoomScale="106" zoomScaleNormal="106" zoomScaleSheetLayoutView="100" workbookViewId="0">
      <pane xSplit="2" ySplit="5" topLeftCell="C18" activePane="bottomRight" state="frozen"/>
      <selection activeCell="I43" sqref="I43"/>
      <selection pane="topRight" activeCell="I43" sqref="I43"/>
      <selection pane="bottomLeft" activeCell="I43" sqref="I43"/>
      <selection pane="bottomRight" activeCell="B36" sqref="B36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6" customWidth="1"/>
    <col min="17" max="17" width="11.7109375" style="6" customWidth="1"/>
    <col min="18" max="18" width="9.140625" style="2" customWidth="1"/>
    <col min="19" max="19" width="10.85546875" style="2" customWidth="1"/>
    <col min="20" max="20" width="10.85546875" style="6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6" customWidth="1"/>
    <col min="111" max="115" width="9.140625" style="6" hidden="1" customWidth="1"/>
    <col min="116" max="116" width="9.140625" style="6" customWidth="1"/>
    <col min="117" max="121" width="9.140625" style="6" hidden="1" customWidth="1"/>
    <col min="122" max="122" width="9.140625" style="6" customWidth="1"/>
    <col min="123" max="127" width="9.140625" style="6" hidden="1" customWidth="1"/>
    <col min="128" max="128" width="9.140625" style="6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21" x14ac:dyDescent="0.35">
      <c r="A1" s="2" t="s">
        <v>53</v>
      </c>
      <c r="B1" s="21" t="s">
        <v>66</v>
      </c>
      <c r="S1" s="7"/>
    </row>
    <row r="2" spans="1:189" ht="15.75" x14ac:dyDescent="0.25">
      <c r="A2" s="11" t="s">
        <v>49</v>
      </c>
      <c r="I2" s="6" t="str">
        <f>[1]GSVA_cur!$I$3</f>
        <v>01.08.2025</v>
      </c>
    </row>
    <row r="3" spans="1:189" ht="15.75" x14ac:dyDescent="0.25">
      <c r="A3" s="11"/>
    </row>
    <row r="4" spans="1:189" ht="15.75" x14ac:dyDescent="0.25">
      <c r="A4" s="11"/>
      <c r="E4" s="10"/>
      <c r="F4" s="10" t="s">
        <v>57</v>
      </c>
    </row>
    <row r="5" spans="1:189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2" t="s">
        <v>72</v>
      </c>
      <c r="N5" s="22" t="s">
        <v>73</v>
      </c>
      <c r="O5" s="22" t="s">
        <v>74</v>
      </c>
      <c r="P5" s="22" t="s">
        <v>76</v>
      </c>
    </row>
    <row r="6" spans="1:189" s="24" customFormat="1" ht="15.75" x14ac:dyDescent="0.25">
      <c r="A6" s="32" t="s">
        <v>26</v>
      </c>
      <c r="B6" s="33" t="s">
        <v>2</v>
      </c>
      <c r="C6" s="25">
        <f>SUM(C7:C10)</f>
        <v>6206654.887318884</v>
      </c>
      <c r="D6" s="25">
        <f t="shared" ref="D6:P6" si="0">SUM(D7:D10)</f>
        <v>6803951.8216240145</v>
      </c>
      <c r="E6" s="25">
        <f t="shared" si="0"/>
        <v>5951631.4915301865</v>
      </c>
      <c r="F6" s="25">
        <f t="shared" si="0"/>
        <v>5934907.2384062875</v>
      </c>
      <c r="G6" s="25">
        <f t="shared" si="0"/>
        <v>6073530.3896770896</v>
      </c>
      <c r="H6" s="25">
        <f t="shared" si="0"/>
        <v>6666772.6531783044</v>
      </c>
      <c r="I6" s="25">
        <f t="shared" si="0"/>
        <v>7190492.4338843841</v>
      </c>
      <c r="J6" s="25">
        <f t="shared" si="0"/>
        <v>7118646.4052083716</v>
      </c>
      <c r="K6" s="25">
        <f t="shared" si="0"/>
        <v>7193550.8132257229</v>
      </c>
      <c r="L6" s="25">
        <f t="shared" si="0"/>
        <v>7777610.3583421987</v>
      </c>
      <c r="M6" s="25">
        <f t="shared" si="0"/>
        <v>8094258.6606000075</v>
      </c>
      <c r="N6" s="25">
        <f t="shared" si="0"/>
        <v>8525135.0851950925</v>
      </c>
      <c r="O6" s="25">
        <f t="shared" si="0"/>
        <v>8912958.5447140541</v>
      </c>
      <c r="P6" s="25">
        <f t="shared" si="0"/>
        <v>9253352.256055519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G6" s="31"/>
    </row>
    <row r="7" spans="1:189" ht="15.75" x14ac:dyDescent="0.25">
      <c r="A7" s="16">
        <v>1.1000000000000001</v>
      </c>
      <c r="B7" s="17" t="s">
        <v>59</v>
      </c>
      <c r="C7" s="4">
        <v>4260777.8333744882</v>
      </c>
      <c r="D7" s="4">
        <v>4749270.6625670511</v>
      </c>
      <c r="E7" s="4">
        <v>3710714.282793879</v>
      </c>
      <c r="F7" s="4">
        <v>3525384.5702902647</v>
      </c>
      <c r="G7" s="4">
        <v>3532967.179348798</v>
      </c>
      <c r="H7" s="4">
        <v>3878079.2073024181</v>
      </c>
      <c r="I7" s="4">
        <v>4171383.9171336973</v>
      </c>
      <c r="J7" s="4">
        <v>3926570.4766288348</v>
      </c>
      <c r="K7" s="4">
        <v>3704094.4940329734</v>
      </c>
      <c r="L7" s="4">
        <v>3992844.6125237495</v>
      </c>
      <c r="M7" s="23">
        <v>4106684.2160667237</v>
      </c>
      <c r="N7" s="23">
        <v>4373337.8570591891</v>
      </c>
      <c r="O7" s="23">
        <v>4643575.3101659948</v>
      </c>
      <c r="P7" s="23">
        <v>4688219.757444228</v>
      </c>
      <c r="Q7" s="7"/>
      <c r="R7" s="8"/>
      <c r="S7" s="8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6"/>
      <c r="GE7" s="6"/>
      <c r="GF7" s="6"/>
    </row>
    <row r="8" spans="1:189" ht="15.75" x14ac:dyDescent="0.25">
      <c r="A8" s="16">
        <v>1.2</v>
      </c>
      <c r="B8" s="17" t="s">
        <v>60</v>
      </c>
      <c r="C8" s="4">
        <v>1202820.9945383007</v>
      </c>
      <c r="D8" s="4">
        <v>1252511.997991198</v>
      </c>
      <c r="E8" s="4">
        <v>1400799.0627288651</v>
      </c>
      <c r="F8" s="4">
        <v>1535904.9418533405</v>
      </c>
      <c r="G8" s="4">
        <v>1628101.1812613513</v>
      </c>
      <c r="H8" s="4">
        <v>1755181.1659249607</v>
      </c>
      <c r="I8" s="4">
        <v>1899122.6865001516</v>
      </c>
      <c r="J8" s="4">
        <v>2044356.6448219186</v>
      </c>
      <c r="K8" s="4">
        <v>2277345.1707426677</v>
      </c>
      <c r="L8" s="4">
        <v>2519169.2311316459</v>
      </c>
      <c r="M8" s="23">
        <v>2635143.3616138333</v>
      </c>
      <c r="N8" s="23">
        <v>2706422.8554387568</v>
      </c>
      <c r="O8" s="23">
        <v>2773986.895200076</v>
      </c>
      <c r="P8" s="23">
        <v>2962266.2425044142</v>
      </c>
      <c r="Q8" s="7"/>
      <c r="R8" s="8"/>
      <c r="S8" s="8"/>
      <c r="T8" s="7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6"/>
      <c r="GE8" s="6"/>
      <c r="GF8" s="6"/>
    </row>
    <row r="9" spans="1:189" ht="15.75" x14ac:dyDescent="0.25">
      <c r="A9" s="16">
        <v>1.3</v>
      </c>
      <c r="B9" s="17" t="s">
        <v>61</v>
      </c>
      <c r="C9" s="4">
        <v>418681.87773253722</v>
      </c>
      <c r="D9" s="4">
        <v>425336.40110563458</v>
      </c>
      <c r="E9" s="4">
        <v>433005.91242362792</v>
      </c>
      <c r="F9" s="4">
        <v>421777.89482023165</v>
      </c>
      <c r="G9" s="4">
        <v>435308.05405055941</v>
      </c>
      <c r="H9" s="4">
        <v>554084.83140434569</v>
      </c>
      <c r="I9" s="4">
        <v>566454.72772737558</v>
      </c>
      <c r="J9" s="4">
        <v>580677.63637997396</v>
      </c>
      <c r="K9" s="4">
        <v>608364.04243428307</v>
      </c>
      <c r="L9" s="4">
        <v>622192.54990450607</v>
      </c>
      <c r="M9" s="4">
        <v>635126.63616900321</v>
      </c>
      <c r="N9" s="4">
        <v>648346.00142534194</v>
      </c>
      <c r="O9" s="4">
        <v>673079.81165620312</v>
      </c>
      <c r="P9" s="4">
        <v>698966.96354564233</v>
      </c>
      <c r="Q9" s="7"/>
      <c r="R9" s="8"/>
      <c r="S9" s="8"/>
      <c r="T9" s="7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6"/>
      <c r="GE9" s="6"/>
      <c r="GF9" s="6"/>
    </row>
    <row r="10" spans="1:189" ht="15.75" x14ac:dyDescent="0.25">
      <c r="A10" s="16">
        <v>1.4</v>
      </c>
      <c r="B10" s="17" t="s">
        <v>62</v>
      </c>
      <c r="C10" s="4">
        <v>324374.18167355738</v>
      </c>
      <c r="D10" s="4">
        <v>376832.75996013044</v>
      </c>
      <c r="E10" s="4">
        <v>407112.23358381481</v>
      </c>
      <c r="F10" s="4">
        <v>451839.83144245046</v>
      </c>
      <c r="G10" s="4">
        <v>477153.97501638083</v>
      </c>
      <c r="H10" s="4">
        <v>479427.4485465805</v>
      </c>
      <c r="I10" s="4">
        <v>553531.10252315947</v>
      </c>
      <c r="J10" s="4">
        <v>567041.6473776435</v>
      </c>
      <c r="K10" s="4">
        <v>603747.10601579887</v>
      </c>
      <c r="L10" s="4">
        <v>643403.96478229808</v>
      </c>
      <c r="M10" s="4">
        <v>717304.44675044692</v>
      </c>
      <c r="N10" s="4">
        <v>797028.37127180514</v>
      </c>
      <c r="O10" s="4">
        <v>822316.52769177977</v>
      </c>
      <c r="P10" s="4">
        <v>903899.29256123456</v>
      </c>
      <c r="Q10" s="7"/>
      <c r="R10" s="8"/>
      <c r="S10" s="8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6"/>
      <c r="GE10" s="6"/>
      <c r="GF10" s="6"/>
    </row>
    <row r="11" spans="1:189" ht="15.75" x14ac:dyDescent="0.25">
      <c r="A11" s="18" t="s">
        <v>31</v>
      </c>
      <c r="B11" s="17" t="s">
        <v>3</v>
      </c>
      <c r="C11" s="4">
        <v>19858.167885492639</v>
      </c>
      <c r="D11" s="4">
        <v>21633.047360647932</v>
      </c>
      <c r="E11" s="4">
        <v>138585.42792357955</v>
      </c>
      <c r="F11" s="4">
        <v>57723.59334257774</v>
      </c>
      <c r="G11" s="4">
        <v>178883.68008351815</v>
      </c>
      <c r="H11" s="4">
        <v>128735.04418039897</v>
      </c>
      <c r="I11" s="4">
        <v>32335.543908304611</v>
      </c>
      <c r="J11" s="4">
        <v>79064.132830832154</v>
      </c>
      <c r="K11" s="4">
        <v>296870.11230821768</v>
      </c>
      <c r="L11" s="4">
        <v>45310.74467055135</v>
      </c>
      <c r="M11" s="4">
        <v>53347.13670994166</v>
      </c>
      <c r="N11" s="4">
        <v>158705.30064790443</v>
      </c>
      <c r="O11" s="4">
        <v>128423.71858081319</v>
      </c>
      <c r="P11" s="4">
        <v>155752.48249728602</v>
      </c>
      <c r="Q11" s="7"/>
      <c r="R11" s="8"/>
      <c r="S11" s="8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6"/>
      <c r="GE11" s="6"/>
      <c r="GF11" s="6"/>
    </row>
    <row r="12" spans="1:189" s="31" customFormat="1" ht="15.75" x14ac:dyDescent="0.25">
      <c r="A12" s="34"/>
      <c r="B12" s="35" t="s">
        <v>28</v>
      </c>
      <c r="C12" s="29">
        <f>C6+C11</f>
        <v>6226513.0552043766</v>
      </c>
      <c r="D12" s="29">
        <f t="shared" ref="D12:P12" si="1">D6+D11</f>
        <v>6825584.868984662</v>
      </c>
      <c r="E12" s="29">
        <f t="shared" si="1"/>
        <v>6090216.9194537662</v>
      </c>
      <c r="F12" s="29">
        <f t="shared" si="1"/>
        <v>5992630.8317488655</v>
      </c>
      <c r="G12" s="29">
        <f t="shared" si="1"/>
        <v>6252414.0697606076</v>
      </c>
      <c r="H12" s="29">
        <f t="shared" si="1"/>
        <v>6795507.6973587032</v>
      </c>
      <c r="I12" s="29">
        <f t="shared" si="1"/>
        <v>7222827.9777926886</v>
      </c>
      <c r="J12" s="29">
        <f t="shared" si="1"/>
        <v>7197710.5380392037</v>
      </c>
      <c r="K12" s="29">
        <f t="shared" si="1"/>
        <v>7490420.925533941</v>
      </c>
      <c r="L12" s="29">
        <f t="shared" si="1"/>
        <v>7822921.1030127499</v>
      </c>
      <c r="M12" s="29">
        <f t="shared" si="1"/>
        <v>8147605.7973099491</v>
      </c>
      <c r="N12" s="29">
        <f t="shared" si="1"/>
        <v>8683840.3858429976</v>
      </c>
      <c r="O12" s="29">
        <f t="shared" si="1"/>
        <v>9041382.2632948682</v>
      </c>
      <c r="P12" s="29">
        <f t="shared" si="1"/>
        <v>9409104.738552805</v>
      </c>
      <c r="Q12" s="7"/>
      <c r="R12" s="8"/>
      <c r="S12" s="8"/>
      <c r="T12" s="7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4"/>
      <c r="GE12" s="24"/>
      <c r="GF12" s="24"/>
    </row>
    <row r="13" spans="1:189" s="6" customFormat="1" ht="15.75" x14ac:dyDescent="0.25">
      <c r="A13" s="14" t="s">
        <v>32</v>
      </c>
      <c r="B13" s="15" t="s">
        <v>4</v>
      </c>
      <c r="C13" s="1">
        <v>1466570.1804579527</v>
      </c>
      <c r="D13" s="1">
        <v>971402.25591255643</v>
      </c>
      <c r="E13" s="1">
        <v>1889284.3457347094</v>
      </c>
      <c r="F13" s="1">
        <v>2595799.258156768</v>
      </c>
      <c r="G13" s="1">
        <v>2338423.6681161723</v>
      </c>
      <c r="H13" s="1">
        <v>2917563.1947433753</v>
      </c>
      <c r="I13" s="1">
        <v>3058794.8754993426</v>
      </c>
      <c r="J13" s="1">
        <v>3018232.9453098793</v>
      </c>
      <c r="K13" s="1">
        <v>3103967.1403618986</v>
      </c>
      <c r="L13" s="1">
        <v>3533998.6686152499</v>
      </c>
      <c r="M13" s="1">
        <v>3669784.5313022006</v>
      </c>
      <c r="N13" s="1">
        <v>4116469.5601726775</v>
      </c>
      <c r="O13" s="1">
        <v>4586685.5359514691</v>
      </c>
      <c r="P13" s="1">
        <v>4637274.2154274257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G13" s="2"/>
    </row>
    <row r="14" spans="1:189" ht="30" x14ac:dyDescent="0.25">
      <c r="A14" s="18" t="s">
        <v>33</v>
      </c>
      <c r="B14" s="17" t="s">
        <v>5</v>
      </c>
      <c r="C14" s="1">
        <v>365886.63127509662</v>
      </c>
      <c r="D14" s="1">
        <v>401732.4756687223</v>
      </c>
      <c r="E14" s="1">
        <v>412823.75391943869</v>
      </c>
      <c r="F14" s="1">
        <v>426978.12427930441</v>
      </c>
      <c r="G14" s="1">
        <v>427203.06359542464</v>
      </c>
      <c r="H14" s="1">
        <v>419799.46251049044</v>
      </c>
      <c r="I14" s="1">
        <v>499977.74410294631</v>
      </c>
      <c r="J14" s="1">
        <v>769345.31875409232</v>
      </c>
      <c r="K14" s="1">
        <v>823452.72002148197</v>
      </c>
      <c r="L14" s="1">
        <v>759866.12929980119</v>
      </c>
      <c r="M14" s="1">
        <v>783474.11454663146</v>
      </c>
      <c r="N14" s="1">
        <v>1018156.3075682395</v>
      </c>
      <c r="O14" s="1">
        <v>1158835.1194252169</v>
      </c>
      <c r="P14" s="1">
        <v>1365443.8565238719</v>
      </c>
      <c r="Q14" s="7"/>
      <c r="R14" s="8"/>
      <c r="S14" s="8"/>
      <c r="T14" s="7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7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7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6"/>
      <c r="GE14" s="6"/>
      <c r="GF14" s="6"/>
    </row>
    <row r="15" spans="1:189" ht="15.75" x14ac:dyDescent="0.25">
      <c r="A15" s="18" t="s">
        <v>34</v>
      </c>
      <c r="B15" s="17" t="s">
        <v>6</v>
      </c>
      <c r="C15" s="1">
        <v>2701685.2521551643</v>
      </c>
      <c r="D15" s="1">
        <v>2560762.4017721233</v>
      </c>
      <c r="E15" s="1">
        <v>2726066.5657943371</v>
      </c>
      <c r="F15" s="1">
        <v>2601943.1470774258</v>
      </c>
      <c r="G15" s="1">
        <v>2866880.3358101249</v>
      </c>
      <c r="H15" s="1">
        <v>2986234.9172762833</v>
      </c>
      <c r="I15" s="1">
        <v>3172457.9736547614</v>
      </c>
      <c r="J15" s="1">
        <v>3463298.7663297309</v>
      </c>
      <c r="K15" s="1">
        <v>3498211.5289624557</v>
      </c>
      <c r="L15" s="1">
        <v>3253965.2399180578</v>
      </c>
      <c r="M15" s="1">
        <v>3840593.5777808963</v>
      </c>
      <c r="N15" s="1">
        <v>5515206.2679762337</v>
      </c>
      <c r="O15" s="1">
        <v>6641304.6125952834</v>
      </c>
      <c r="P15" s="1">
        <v>7761790.7815904971</v>
      </c>
      <c r="Q15" s="7"/>
      <c r="R15" s="8"/>
      <c r="S15" s="8"/>
      <c r="T15" s="7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7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7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7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6"/>
      <c r="GE15" s="6"/>
      <c r="GF15" s="6"/>
    </row>
    <row r="16" spans="1:189" s="31" customFormat="1" ht="15.75" x14ac:dyDescent="0.25">
      <c r="A16" s="34"/>
      <c r="B16" s="35" t="s">
        <v>29</v>
      </c>
      <c r="C16" s="29">
        <f>+C13+C14+C15</f>
        <v>4534142.0638882136</v>
      </c>
      <c r="D16" s="29">
        <f t="shared" ref="D16:H16" si="2">+D13+D14+D15</f>
        <v>3933897.1333534019</v>
      </c>
      <c r="E16" s="29">
        <f t="shared" si="2"/>
        <v>5028174.6654484849</v>
      </c>
      <c r="F16" s="29">
        <f t="shared" si="2"/>
        <v>5624720.5295134988</v>
      </c>
      <c r="G16" s="29">
        <f t="shared" si="2"/>
        <v>5632507.0675217221</v>
      </c>
      <c r="H16" s="29">
        <f t="shared" si="2"/>
        <v>6323597.5745301489</v>
      </c>
      <c r="I16" s="29">
        <f t="shared" ref="I16:K16" si="3">+I13+I14+I15</f>
        <v>6731230.593257051</v>
      </c>
      <c r="J16" s="29">
        <f t="shared" si="3"/>
        <v>7250877.0303937029</v>
      </c>
      <c r="K16" s="29">
        <f t="shared" si="3"/>
        <v>7425631.3893458359</v>
      </c>
      <c r="L16" s="29">
        <f t="shared" ref="L16:M16" si="4">+L13+L14+L15</f>
        <v>7547830.0378331086</v>
      </c>
      <c r="M16" s="29">
        <f t="shared" si="4"/>
        <v>8293852.223629728</v>
      </c>
      <c r="N16" s="29">
        <f t="shared" ref="N16:O16" si="5">+N13+N14+N15</f>
        <v>10649832.13571715</v>
      </c>
      <c r="O16" s="29">
        <f t="shared" si="5"/>
        <v>12386825.26797197</v>
      </c>
      <c r="P16" s="29">
        <f t="shared" ref="P16" si="6">+P13+P14+P15</f>
        <v>13764508.853541795</v>
      </c>
      <c r="Q16" s="7"/>
      <c r="R16" s="8"/>
      <c r="S16" s="8"/>
      <c r="T16" s="7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6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6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6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4"/>
      <c r="GE16" s="24"/>
      <c r="GF16" s="24"/>
    </row>
    <row r="17" spans="1:189" s="24" customFormat="1" ht="15.75" x14ac:dyDescent="0.25">
      <c r="A17" s="32" t="s">
        <v>35</v>
      </c>
      <c r="B17" s="33" t="s">
        <v>7</v>
      </c>
      <c r="C17" s="25">
        <f>C18+C19</f>
        <v>4390442.0754727535</v>
      </c>
      <c r="D17" s="25">
        <f t="shared" ref="D17:H17" si="7">D18+D19</f>
        <v>4672877.2046314524</v>
      </c>
      <c r="E17" s="25">
        <f t="shared" si="7"/>
        <v>4568274.688112624</v>
      </c>
      <c r="F17" s="25">
        <f t="shared" si="7"/>
        <v>4262584.9216541424</v>
      </c>
      <c r="G17" s="25">
        <f t="shared" si="7"/>
        <v>5042354.5978906136</v>
      </c>
      <c r="H17" s="25">
        <f t="shared" si="7"/>
        <v>5445576.686857013</v>
      </c>
      <c r="I17" s="25">
        <f t="shared" ref="I17:K17" si="8">I18+I19</f>
        <v>6092899.7647150317</v>
      </c>
      <c r="J17" s="25">
        <f t="shared" si="8"/>
        <v>6600717.7153148381</v>
      </c>
      <c r="K17" s="25">
        <f t="shared" si="8"/>
        <v>6875796.8187053595</v>
      </c>
      <c r="L17" s="25">
        <f t="shared" ref="L17:M17" si="9">L18+L19</f>
        <v>5778900.2775752563</v>
      </c>
      <c r="M17" s="25">
        <f t="shared" si="9"/>
        <v>5602045.3897529943</v>
      </c>
      <c r="N17" s="25">
        <f t="shared" ref="N17:O17" si="10">N18+N19</f>
        <v>6491113.0287696477</v>
      </c>
      <c r="O17" s="25">
        <f t="shared" si="10"/>
        <v>6535861.6258689724</v>
      </c>
      <c r="P17" s="25">
        <f t="shared" ref="P17" si="11">P18+P19</f>
        <v>6836466.0003745127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G17" s="31"/>
    </row>
    <row r="18" spans="1:189" ht="15.75" x14ac:dyDescent="0.25">
      <c r="A18" s="16">
        <v>6.1</v>
      </c>
      <c r="B18" s="17" t="s">
        <v>8</v>
      </c>
      <c r="C18" s="4">
        <v>4110861.4625860611</v>
      </c>
      <c r="D18" s="4">
        <v>4394474.244913891</v>
      </c>
      <c r="E18" s="4">
        <v>4277450.4343359666</v>
      </c>
      <c r="F18" s="4">
        <v>3987704.123289811</v>
      </c>
      <c r="G18" s="4">
        <v>4749643.5579705257</v>
      </c>
      <c r="H18" s="4">
        <v>5142799.9225719217</v>
      </c>
      <c r="I18" s="4">
        <v>5757300.3000902031</v>
      </c>
      <c r="J18" s="4">
        <v>6227315.9614924202</v>
      </c>
      <c r="K18" s="4">
        <v>6489509.7612686334</v>
      </c>
      <c r="L18" s="4">
        <v>5614195.3306089425</v>
      </c>
      <c r="M18" s="4">
        <v>5390938.2249311563</v>
      </c>
      <c r="N18" s="4">
        <v>6070196.982949066</v>
      </c>
      <c r="O18" s="4">
        <v>5990470.676905253</v>
      </c>
      <c r="P18" s="4">
        <v>6274259.5464441301</v>
      </c>
      <c r="Q18" s="7"/>
      <c r="R18" s="8"/>
      <c r="S18" s="8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6"/>
      <c r="GE18" s="6"/>
      <c r="GF18" s="6"/>
    </row>
    <row r="19" spans="1:189" ht="15.75" x14ac:dyDescent="0.25">
      <c r="A19" s="16">
        <v>6.2</v>
      </c>
      <c r="B19" s="17" t="s">
        <v>9</v>
      </c>
      <c r="C19" s="4">
        <v>279580.61288669275</v>
      </c>
      <c r="D19" s="4">
        <v>278402.95971756143</v>
      </c>
      <c r="E19" s="4">
        <v>290824.2537766571</v>
      </c>
      <c r="F19" s="4">
        <v>274880.79836433177</v>
      </c>
      <c r="G19" s="4">
        <v>292711.03992008785</v>
      </c>
      <c r="H19" s="4">
        <v>302776.76428509172</v>
      </c>
      <c r="I19" s="4">
        <v>335599.46462482837</v>
      </c>
      <c r="J19" s="4">
        <v>373401.75382241764</v>
      </c>
      <c r="K19" s="4">
        <v>386287.05743672629</v>
      </c>
      <c r="L19" s="4">
        <v>164704.94696631414</v>
      </c>
      <c r="M19" s="4">
        <v>211107.16482183774</v>
      </c>
      <c r="N19" s="4">
        <v>420916.04582058208</v>
      </c>
      <c r="O19" s="4">
        <v>545390.94896371965</v>
      </c>
      <c r="P19" s="4">
        <v>562206.45393038227</v>
      </c>
      <c r="Q19" s="7"/>
      <c r="R19" s="8"/>
      <c r="S19" s="8"/>
      <c r="T19" s="7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6"/>
      <c r="GE19" s="6"/>
      <c r="GF19" s="6"/>
    </row>
    <row r="20" spans="1:189" s="24" customFormat="1" ht="30" x14ac:dyDescent="0.25">
      <c r="A20" s="36" t="s">
        <v>36</v>
      </c>
      <c r="B20" s="37" t="s">
        <v>10</v>
      </c>
      <c r="C20" s="25">
        <f>SUM(C21:C27)</f>
        <v>1754480.2382082283</v>
      </c>
      <c r="D20" s="25">
        <f t="shared" ref="D20:P20" si="12">SUM(D21:D27)</f>
        <v>2037224.2468741694</v>
      </c>
      <c r="E20" s="25">
        <f t="shared" si="12"/>
        <v>2347316.8805279834</v>
      </c>
      <c r="F20" s="25">
        <f t="shared" si="12"/>
        <v>2605417.8561976664</v>
      </c>
      <c r="G20" s="25">
        <f t="shared" si="12"/>
        <v>2942796.6074863737</v>
      </c>
      <c r="H20" s="25">
        <f t="shared" si="12"/>
        <v>3008409.990828116</v>
      </c>
      <c r="I20" s="25">
        <f t="shared" si="12"/>
        <v>3233252.8822681732</v>
      </c>
      <c r="J20" s="25">
        <f t="shared" si="12"/>
        <v>3628106.0354758315</v>
      </c>
      <c r="K20" s="25">
        <f t="shared" si="12"/>
        <v>3906524.351624127</v>
      </c>
      <c r="L20" s="25">
        <f t="shared" si="12"/>
        <v>3231212.7972928258</v>
      </c>
      <c r="M20" s="25">
        <f t="shared" si="12"/>
        <v>4128546.464199896</v>
      </c>
      <c r="N20" s="25">
        <f t="shared" si="12"/>
        <v>4356060.9131888533</v>
      </c>
      <c r="O20" s="25">
        <f t="shared" si="12"/>
        <v>4620835.5929574072</v>
      </c>
      <c r="P20" s="25">
        <f t="shared" si="12"/>
        <v>5224267.566154018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G20" s="31"/>
    </row>
    <row r="21" spans="1:189" ht="15.75" x14ac:dyDescent="0.25">
      <c r="A21" s="16">
        <v>7.1</v>
      </c>
      <c r="B21" s="17" t="s">
        <v>11</v>
      </c>
      <c r="C21" s="4">
        <v>275142.06802183919</v>
      </c>
      <c r="D21" s="4">
        <v>334638.76628833706</v>
      </c>
      <c r="E21" s="4">
        <v>396524.39240914531</v>
      </c>
      <c r="F21" s="4">
        <v>409194</v>
      </c>
      <c r="G21" s="4">
        <v>406973</v>
      </c>
      <c r="H21" s="4">
        <v>356077</v>
      </c>
      <c r="I21" s="4">
        <v>370776.02361300151</v>
      </c>
      <c r="J21" s="4">
        <v>423542.8432525617</v>
      </c>
      <c r="K21" s="4">
        <v>451578.09695398575</v>
      </c>
      <c r="L21" s="4">
        <v>347111</v>
      </c>
      <c r="M21" s="4">
        <v>413743.99999999994</v>
      </c>
      <c r="N21" s="4">
        <v>394673</v>
      </c>
      <c r="O21" s="4">
        <v>433729</v>
      </c>
      <c r="P21" s="4">
        <v>476649.89862747135</v>
      </c>
      <c r="Q21" s="7"/>
      <c r="R21" s="8"/>
      <c r="S21" s="8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6"/>
      <c r="GE21" s="6"/>
      <c r="GF21" s="6"/>
    </row>
    <row r="22" spans="1:189" ht="15.75" x14ac:dyDescent="0.25">
      <c r="A22" s="16">
        <v>7.2</v>
      </c>
      <c r="B22" s="17" t="s">
        <v>12</v>
      </c>
      <c r="C22" s="4">
        <v>840471.73408063641</v>
      </c>
      <c r="D22" s="4">
        <v>996238.50453010015</v>
      </c>
      <c r="E22" s="4">
        <v>1137319.6690924298</v>
      </c>
      <c r="F22" s="4">
        <v>1267750.1298619728</v>
      </c>
      <c r="G22" s="4">
        <v>1400639.3320252572</v>
      </c>
      <c r="H22" s="4">
        <v>1536242.8433270252</v>
      </c>
      <c r="I22" s="4">
        <v>1758663.9168517715</v>
      </c>
      <c r="J22" s="4">
        <v>1996551.9489910365</v>
      </c>
      <c r="K22" s="4">
        <v>2179489.2591914036</v>
      </c>
      <c r="L22" s="4">
        <v>1631064.4813567339</v>
      </c>
      <c r="M22" s="4">
        <v>2303423.5150531107</v>
      </c>
      <c r="N22" s="4">
        <v>2360927.9792903583</v>
      </c>
      <c r="O22" s="4">
        <v>2425273.5528959082</v>
      </c>
      <c r="P22" s="4">
        <v>2714135.595382486</v>
      </c>
      <c r="Q22" s="7"/>
      <c r="R22" s="8"/>
      <c r="S22" s="8"/>
      <c r="T22" s="7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6"/>
      <c r="GE22" s="6"/>
      <c r="GF22" s="6"/>
    </row>
    <row r="23" spans="1:189" ht="15.75" x14ac:dyDescent="0.25">
      <c r="A23" s="16">
        <v>7.3</v>
      </c>
      <c r="B23" s="17" t="s">
        <v>13</v>
      </c>
      <c r="C23" s="4">
        <v>4894.9703858836356</v>
      </c>
      <c r="D23" s="4">
        <v>2383.0089359538224</v>
      </c>
      <c r="E23" s="4">
        <v>1457.8185383209998</v>
      </c>
      <c r="F23" s="4">
        <v>1704.1331128725205</v>
      </c>
      <c r="G23" s="4">
        <v>1793.1003357649931</v>
      </c>
      <c r="H23" s="4">
        <v>2753.4987386662524</v>
      </c>
      <c r="I23" s="4">
        <v>2236.5474723748525</v>
      </c>
      <c r="J23" s="4">
        <v>3672.3894726029025</v>
      </c>
      <c r="K23" s="4">
        <v>3604.875275285417</v>
      </c>
      <c r="L23" s="4">
        <v>3216.0629694854078</v>
      </c>
      <c r="M23" s="4">
        <v>4925.4426961464469</v>
      </c>
      <c r="N23" s="4">
        <v>5832.5200962144172</v>
      </c>
      <c r="O23" s="4">
        <v>5845.9237341485314</v>
      </c>
      <c r="P23" s="4">
        <v>6566.7679353162212</v>
      </c>
      <c r="Q23" s="7"/>
      <c r="R23" s="8"/>
      <c r="S23" s="8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6"/>
      <c r="GE23" s="6"/>
      <c r="GF23" s="6"/>
    </row>
    <row r="24" spans="1:189" ht="15.75" x14ac:dyDescent="0.25">
      <c r="A24" s="16">
        <v>7.4</v>
      </c>
      <c r="B24" s="17" t="s">
        <v>14</v>
      </c>
      <c r="C24" s="4">
        <v>3079.0624911204432</v>
      </c>
      <c r="D24" s="4">
        <v>5445.9599672260038</v>
      </c>
      <c r="E24" s="4">
        <v>3845.3810160845987</v>
      </c>
      <c r="F24" s="4">
        <v>6402.8306687199092</v>
      </c>
      <c r="G24" s="4">
        <v>12615.376671791586</v>
      </c>
      <c r="H24" s="4">
        <v>14653.552339926855</v>
      </c>
      <c r="I24" s="4">
        <v>18247.01354224918</v>
      </c>
      <c r="J24" s="4">
        <v>11416.990750935951</v>
      </c>
      <c r="K24" s="4">
        <v>22342.250080578153</v>
      </c>
      <c r="L24" s="4">
        <v>17991.151226990056</v>
      </c>
      <c r="M24" s="4">
        <v>12973.082741076181</v>
      </c>
      <c r="N24" s="4">
        <v>14750.598370772135</v>
      </c>
      <c r="O24" s="4">
        <v>21490.323700352074</v>
      </c>
      <c r="P24" s="4">
        <v>25418.743523189823</v>
      </c>
      <c r="Q24" s="7"/>
      <c r="R24" s="8"/>
      <c r="S24" s="8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6"/>
      <c r="GE24" s="6"/>
      <c r="GF24" s="6"/>
    </row>
    <row r="25" spans="1:189" ht="15.75" x14ac:dyDescent="0.25">
      <c r="A25" s="16">
        <v>7.5</v>
      </c>
      <c r="B25" s="17" t="s">
        <v>15</v>
      </c>
      <c r="C25" s="4">
        <v>89270.150342558205</v>
      </c>
      <c r="D25" s="4">
        <v>104324.7727976118</v>
      </c>
      <c r="E25" s="4">
        <v>120221.38001930233</v>
      </c>
      <c r="F25" s="4">
        <v>134356.81417777701</v>
      </c>
      <c r="G25" s="4">
        <v>149879.13332629958</v>
      </c>
      <c r="H25" s="4">
        <v>168961.35779165046</v>
      </c>
      <c r="I25" s="4">
        <v>191183.19903711046</v>
      </c>
      <c r="J25" s="4">
        <v>214057.9051654638</v>
      </c>
      <c r="K25" s="4">
        <v>235910.11901968269</v>
      </c>
      <c r="L25" s="4">
        <v>166735.82220024298</v>
      </c>
      <c r="M25" s="4">
        <v>243024.37992440563</v>
      </c>
      <c r="N25" s="4">
        <v>252612.76127035622</v>
      </c>
      <c r="O25" s="4">
        <v>266560.34211965482</v>
      </c>
      <c r="P25" s="4">
        <v>305632.27927945514</v>
      </c>
      <c r="Q25" s="7"/>
      <c r="R25" s="8"/>
      <c r="S25" s="8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6"/>
      <c r="GE25" s="6"/>
      <c r="GF25" s="6"/>
    </row>
    <row r="26" spans="1:189" ht="15.75" x14ac:dyDescent="0.25">
      <c r="A26" s="16">
        <v>7.6</v>
      </c>
      <c r="B26" s="17" t="s">
        <v>16</v>
      </c>
      <c r="C26" s="4">
        <v>7399.8239922341218</v>
      </c>
      <c r="D26" s="4">
        <v>7858.4113973946969</v>
      </c>
      <c r="E26" s="4">
        <v>7138.4144267776692</v>
      </c>
      <c r="F26" s="4">
        <v>7508.8946453753979</v>
      </c>
      <c r="G26" s="4">
        <v>8004.4114112539492</v>
      </c>
      <c r="H26" s="4">
        <v>8343.3023250330716</v>
      </c>
      <c r="I26" s="4">
        <v>11401.072346234871</v>
      </c>
      <c r="J26" s="4">
        <v>26671.957843231234</v>
      </c>
      <c r="K26" s="4">
        <v>27374.671395101679</v>
      </c>
      <c r="L26" s="4">
        <v>26917.952207130638</v>
      </c>
      <c r="M26" s="4">
        <v>26141.447163255521</v>
      </c>
      <c r="N26" s="4">
        <v>28121.532977170886</v>
      </c>
      <c r="O26" s="4">
        <v>31613.0287456271</v>
      </c>
      <c r="P26" s="4">
        <v>38292.414814765601</v>
      </c>
      <c r="Q26" s="7"/>
      <c r="R26" s="8"/>
      <c r="S26" s="8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6"/>
      <c r="GE26" s="6"/>
      <c r="GF26" s="6"/>
    </row>
    <row r="27" spans="1:189" ht="30" x14ac:dyDescent="0.25">
      <c r="A27" s="16">
        <v>7.7</v>
      </c>
      <c r="B27" s="17" t="s">
        <v>17</v>
      </c>
      <c r="C27" s="4">
        <v>534222.42889395577</v>
      </c>
      <c r="D27" s="4">
        <v>586334.82295754598</v>
      </c>
      <c r="E27" s="4">
        <v>680809.82502592274</v>
      </c>
      <c r="F27" s="4">
        <v>778501.0537309486</v>
      </c>
      <c r="G27" s="4">
        <v>962892.25371600664</v>
      </c>
      <c r="H27" s="4">
        <v>921378.43630581396</v>
      </c>
      <c r="I27" s="4">
        <v>880745.10940543038</v>
      </c>
      <c r="J27" s="4">
        <v>952192</v>
      </c>
      <c r="K27" s="4">
        <v>986225.07970809017</v>
      </c>
      <c r="L27" s="4">
        <v>1038176.3273322422</v>
      </c>
      <c r="M27" s="4">
        <v>1124314.5966219015</v>
      </c>
      <c r="N27" s="4">
        <v>1299142.5211839813</v>
      </c>
      <c r="O27" s="4">
        <v>1436323.4217617172</v>
      </c>
      <c r="P27" s="4">
        <v>1657571.8665913341</v>
      </c>
      <c r="Q27" s="7"/>
      <c r="R27" s="8"/>
      <c r="S27" s="8"/>
      <c r="T27" s="7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6"/>
      <c r="GE27" s="6"/>
      <c r="GF27" s="6"/>
    </row>
    <row r="28" spans="1:189" ht="15.75" x14ac:dyDescent="0.25">
      <c r="A28" s="18" t="s">
        <v>37</v>
      </c>
      <c r="B28" s="17" t="s">
        <v>18</v>
      </c>
      <c r="C28" s="4">
        <v>883932.14623510337</v>
      </c>
      <c r="D28" s="4">
        <v>958002.51332247769</v>
      </c>
      <c r="E28" s="4">
        <v>1027312.7803164216</v>
      </c>
      <c r="F28" s="4">
        <v>1165283</v>
      </c>
      <c r="G28" s="4">
        <v>1225818</v>
      </c>
      <c r="H28" s="4">
        <v>1157413</v>
      </c>
      <c r="I28" s="4">
        <v>1342555</v>
      </c>
      <c r="J28" s="4">
        <v>1832425.9541181561</v>
      </c>
      <c r="K28" s="4">
        <v>1906473.9716937353</v>
      </c>
      <c r="L28" s="4">
        <v>1934246</v>
      </c>
      <c r="M28" s="4">
        <v>1891996</v>
      </c>
      <c r="N28" s="4">
        <v>1999293</v>
      </c>
      <c r="O28" s="4">
        <v>2272332</v>
      </c>
      <c r="P28" s="4">
        <v>2582659.329184867</v>
      </c>
      <c r="Q28" s="7"/>
      <c r="R28" s="8"/>
      <c r="S28" s="8"/>
      <c r="T28" s="7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6"/>
      <c r="GE28" s="6"/>
      <c r="GF28" s="6"/>
    </row>
    <row r="29" spans="1:189" ht="30" x14ac:dyDescent="0.25">
      <c r="A29" s="18" t="s">
        <v>38</v>
      </c>
      <c r="B29" s="17" t="s">
        <v>19</v>
      </c>
      <c r="C29" s="4">
        <v>2802335.6418060614</v>
      </c>
      <c r="D29" s="4">
        <v>2868648.0535674496</v>
      </c>
      <c r="E29" s="4">
        <v>2981896.1786371777</v>
      </c>
      <c r="F29" s="4">
        <v>3073948.1931481771</v>
      </c>
      <c r="G29" s="4">
        <v>2999051.974910405</v>
      </c>
      <c r="H29" s="4">
        <v>3101503.1736463346</v>
      </c>
      <c r="I29" s="4">
        <v>3254400.7158687678</v>
      </c>
      <c r="J29" s="4">
        <v>3458600.5854354282</v>
      </c>
      <c r="K29" s="4">
        <v>3496928.6435964308</v>
      </c>
      <c r="L29" s="4">
        <v>3437379.7733390615</v>
      </c>
      <c r="M29" s="4">
        <v>3856249.0923521305</v>
      </c>
      <c r="N29" s="4">
        <v>4266911.5893119993</v>
      </c>
      <c r="O29" s="4">
        <v>4453403.7446453217</v>
      </c>
      <c r="P29" s="4">
        <v>4673160.34040373</v>
      </c>
      <c r="Q29" s="7"/>
      <c r="R29" s="8"/>
      <c r="S29" s="8"/>
      <c r="T29" s="7"/>
      <c r="U29" s="9"/>
      <c r="V29" s="9"/>
      <c r="W29" s="9"/>
      <c r="X29" s="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6"/>
      <c r="GE29" s="6"/>
      <c r="GF29" s="6"/>
    </row>
    <row r="30" spans="1:189" ht="15.75" x14ac:dyDescent="0.25">
      <c r="A30" s="18" t="s">
        <v>39</v>
      </c>
      <c r="B30" s="17" t="s">
        <v>54</v>
      </c>
      <c r="C30" s="4">
        <v>1358743</v>
      </c>
      <c r="D30" s="4">
        <v>1334967.928448821</v>
      </c>
      <c r="E30" s="4">
        <v>1275240.5984634047</v>
      </c>
      <c r="F30" s="4">
        <v>1317055.6369500533</v>
      </c>
      <c r="G30" s="4">
        <v>1313177.9937959656</v>
      </c>
      <c r="H30" s="4">
        <v>1409661.7737163419</v>
      </c>
      <c r="I30" s="4">
        <v>1528873.9896260872</v>
      </c>
      <c r="J30" s="4">
        <v>1764634.8161306363</v>
      </c>
      <c r="K30" s="4">
        <v>1896811.6980334381</v>
      </c>
      <c r="L30" s="4">
        <v>1818570.0338280357</v>
      </c>
      <c r="M30" s="4">
        <v>1956954.9847073704</v>
      </c>
      <c r="N30" s="4">
        <v>2152808.8580750404</v>
      </c>
      <c r="O30" s="4">
        <v>2506103.7265440347</v>
      </c>
      <c r="P30" s="4">
        <v>2763326.6372808721</v>
      </c>
      <c r="Q30" s="7"/>
      <c r="R30" s="8"/>
      <c r="S30" s="8"/>
      <c r="T30" s="7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6"/>
      <c r="GE30" s="6"/>
      <c r="GF30" s="6"/>
    </row>
    <row r="31" spans="1:189" ht="15.75" x14ac:dyDescent="0.25">
      <c r="A31" s="18" t="s">
        <v>40</v>
      </c>
      <c r="B31" s="17" t="s">
        <v>20</v>
      </c>
      <c r="C31" s="4">
        <v>2219261.5202858346</v>
      </c>
      <c r="D31" s="4">
        <v>2529747.153290201</v>
      </c>
      <c r="E31" s="4">
        <v>2747801.0510515557</v>
      </c>
      <c r="F31" s="4">
        <v>2900162.8913714248</v>
      </c>
      <c r="G31" s="4">
        <v>3200838.7994768834</v>
      </c>
      <c r="H31" s="4">
        <v>3452344.9749858249</v>
      </c>
      <c r="I31" s="4">
        <v>4076609.0209262031</v>
      </c>
      <c r="J31" s="4">
        <v>4966100.5169512099</v>
      </c>
      <c r="K31" s="4">
        <v>5183597.3958639242</v>
      </c>
      <c r="L31" s="4">
        <v>4142915.3536917577</v>
      </c>
      <c r="M31" s="4">
        <v>4402788.9616350243</v>
      </c>
      <c r="N31" s="4">
        <v>4686375.530224815</v>
      </c>
      <c r="O31" s="4">
        <v>5461820.9465807378</v>
      </c>
      <c r="P31" s="4">
        <v>6069778.8636558466</v>
      </c>
      <c r="Q31" s="7"/>
      <c r="R31" s="8"/>
      <c r="S31" s="8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6"/>
      <c r="GE31" s="6"/>
      <c r="GF31" s="6"/>
    </row>
    <row r="32" spans="1:189" s="31" customFormat="1" ht="15.75" x14ac:dyDescent="0.25">
      <c r="A32" s="34"/>
      <c r="B32" s="35" t="s">
        <v>30</v>
      </c>
      <c r="C32" s="29">
        <f>C17+C20+C28+C29+C30+C31</f>
        <v>13409194.622007981</v>
      </c>
      <c r="D32" s="29">
        <f t="shared" ref="D32:K32" si="13">D17+D20+D28+D29+D30+D31</f>
        <v>14401467.100134572</v>
      </c>
      <c r="E32" s="29">
        <f t="shared" si="13"/>
        <v>14947842.177109167</v>
      </c>
      <c r="F32" s="29">
        <f t="shared" si="13"/>
        <v>15324452.499321464</v>
      </c>
      <c r="G32" s="29">
        <f t="shared" si="13"/>
        <v>16724037.97356024</v>
      </c>
      <c r="H32" s="29">
        <f t="shared" si="13"/>
        <v>17574909.60003363</v>
      </c>
      <c r="I32" s="29">
        <f t="shared" si="13"/>
        <v>19528591.373404261</v>
      </c>
      <c r="J32" s="29">
        <f t="shared" si="13"/>
        <v>22250585.623426102</v>
      </c>
      <c r="K32" s="29">
        <f t="shared" si="13"/>
        <v>23266132.879517015</v>
      </c>
      <c r="L32" s="29">
        <f t="shared" ref="L32:M32" si="14">L17+L20+L28+L29+L30+L31</f>
        <v>20343224.235726938</v>
      </c>
      <c r="M32" s="29">
        <f t="shared" si="14"/>
        <v>21838580.892647415</v>
      </c>
      <c r="N32" s="29">
        <f t="shared" ref="N32:O32" si="15">N17+N20+N28+N29+N30+N31</f>
        <v>23952562.919570357</v>
      </c>
      <c r="O32" s="29">
        <f t="shared" si="15"/>
        <v>25850357.636596475</v>
      </c>
      <c r="P32" s="29">
        <f t="shared" ref="P32" si="16">P17+P20+P28+P29+P30+P31</f>
        <v>28149658.737053845</v>
      </c>
      <c r="Q32" s="7"/>
      <c r="R32" s="8"/>
      <c r="S32" s="8"/>
      <c r="T32" s="7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4"/>
      <c r="GE32" s="24"/>
      <c r="GF32" s="24"/>
    </row>
    <row r="33" spans="1:189" s="24" customFormat="1" ht="15.75" x14ac:dyDescent="0.25">
      <c r="A33" s="32" t="s">
        <v>27</v>
      </c>
      <c r="B33" s="38" t="s">
        <v>41</v>
      </c>
      <c r="C33" s="30">
        <f t="shared" ref="C33" si="17">C6+C11+C13+C14+C15+C17+C20+C28+C29+C30+C31</f>
        <v>24169849.741100572</v>
      </c>
      <c r="D33" s="30">
        <f t="shared" ref="D33:K33" si="18">D6+D11+D13+D14+D15+D17+D20+D28+D29+D30+D31</f>
        <v>25160949.102472633</v>
      </c>
      <c r="E33" s="30">
        <f t="shared" si="18"/>
        <v>26066233.76201142</v>
      </c>
      <c r="F33" s="30">
        <f t="shared" si="18"/>
        <v>26941803.860583831</v>
      </c>
      <c r="G33" s="30">
        <f t="shared" si="18"/>
        <v>28608959.110842571</v>
      </c>
      <c r="H33" s="30">
        <f t="shared" si="18"/>
        <v>30694014.871922486</v>
      </c>
      <c r="I33" s="30">
        <f t="shared" si="18"/>
        <v>33482649.944453999</v>
      </c>
      <c r="J33" s="30">
        <f t="shared" si="18"/>
        <v>36699173.191859007</v>
      </c>
      <c r="K33" s="30">
        <f t="shared" si="18"/>
        <v>38182185.194396794</v>
      </c>
      <c r="L33" s="30">
        <f t="shared" ref="L33:M33" si="19">L6+L11+L13+L14+L15+L17+L20+L28+L29+L30+L31</f>
        <v>35713975.376572795</v>
      </c>
      <c r="M33" s="30">
        <f t="shared" si="19"/>
        <v>38280038.913587093</v>
      </c>
      <c r="N33" s="30">
        <f t="shared" ref="N33:O33" si="20">N6+N11+N13+N14+N15+N17+N20+N28+N29+N30+N31</f>
        <v>43286235.441130504</v>
      </c>
      <c r="O33" s="30">
        <f t="shared" si="20"/>
        <v>47278565.167863317</v>
      </c>
      <c r="P33" s="30">
        <f t="shared" ref="P33" si="21">P6+P11+P13+P14+P15+P17+P20+P28+P29+P30+P31</f>
        <v>51323272.329148442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G33" s="31"/>
    </row>
    <row r="34" spans="1:189" ht="15.75" x14ac:dyDescent="0.25">
      <c r="A34" s="19" t="s">
        <v>43</v>
      </c>
      <c r="B34" s="5" t="s">
        <v>25</v>
      </c>
      <c r="C34" s="4">
        <v>1716948.3994893769</v>
      </c>
      <c r="D34" s="4">
        <v>1958839.3193535015</v>
      </c>
      <c r="E34" s="4">
        <v>2263772.08212446</v>
      </c>
      <c r="F34" s="4">
        <v>2679293.2557065655</v>
      </c>
      <c r="G34" s="4">
        <v>3089963</v>
      </c>
      <c r="H34" s="4">
        <v>3322482.583317643</v>
      </c>
      <c r="I34" s="4">
        <v>2782027.0751692196</v>
      </c>
      <c r="J34" s="4">
        <v>3250565.9928619303</v>
      </c>
      <c r="K34" s="4">
        <v>3309808.3545440934</v>
      </c>
      <c r="L34" s="4">
        <v>3880695.8979451535</v>
      </c>
      <c r="M34" s="23">
        <v>3846763.7441446749</v>
      </c>
      <c r="N34" s="23">
        <v>4169646.0813389914</v>
      </c>
      <c r="O34" s="23">
        <v>4506218.0849149441</v>
      </c>
      <c r="P34" s="23">
        <v>4952350.6953785904</v>
      </c>
      <c r="Q34" s="7"/>
      <c r="R34" s="8"/>
      <c r="S34" s="8"/>
      <c r="T34" s="7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</row>
    <row r="35" spans="1:189" ht="15.75" x14ac:dyDescent="0.25">
      <c r="A35" s="19" t="s">
        <v>44</v>
      </c>
      <c r="B35" s="5" t="s">
        <v>24</v>
      </c>
      <c r="C35" s="4">
        <v>1172402</v>
      </c>
      <c r="D35" s="4">
        <v>1434692.2973657362</v>
      </c>
      <c r="E35" s="4">
        <v>1365021.6432297127</v>
      </c>
      <c r="F35" s="4">
        <v>1672852.9003961601</v>
      </c>
      <c r="G35" s="4">
        <v>2050104</v>
      </c>
      <c r="H35" s="4">
        <v>2136752.024100923</v>
      </c>
      <c r="I35" s="4">
        <v>1861894.3712148196</v>
      </c>
      <c r="J35" s="4">
        <v>1811486.0782232382</v>
      </c>
      <c r="K35" s="4">
        <v>1659070.9687078902</v>
      </c>
      <c r="L35" s="4">
        <v>2697685.4327400504</v>
      </c>
      <c r="M35" s="23">
        <v>3401247.0771628991</v>
      </c>
      <c r="N35" s="23">
        <v>3764971.0135694719</v>
      </c>
      <c r="O35" s="23">
        <v>2872166.8943250962</v>
      </c>
      <c r="P35" s="23">
        <v>3138451.1283674021</v>
      </c>
      <c r="Q35" s="7"/>
      <c r="R35" s="8"/>
      <c r="S35" s="8"/>
      <c r="T35" s="7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</row>
    <row r="36" spans="1:189" s="31" customFormat="1" ht="15.75" x14ac:dyDescent="0.25">
      <c r="A36" s="39" t="s">
        <v>45</v>
      </c>
      <c r="B36" s="40" t="s">
        <v>55</v>
      </c>
      <c r="C36" s="29">
        <f>C33+C34-C35</f>
        <v>24714396.140589949</v>
      </c>
      <c r="D36" s="29">
        <f t="shared" ref="D36:K36" si="22">D33+D34-D35</f>
        <v>25685096.124460399</v>
      </c>
      <c r="E36" s="29">
        <f t="shared" si="22"/>
        <v>26964984.200906169</v>
      </c>
      <c r="F36" s="29">
        <f t="shared" si="22"/>
        <v>27948244.215894237</v>
      </c>
      <c r="G36" s="29">
        <f t="shared" si="22"/>
        <v>29648818.110842571</v>
      </c>
      <c r="H36" s="29">
        <f t="shared" si="22"/>
        <v>31879745.431139208</v>
      </c>
      <c r="I36" s="29">
        <f t="shared" si="22"/>
        <v>34402782.648408398</v>
      </c>
      <c r="J36" s="29">
        <f t="shared" si="22"/>
        <v>38138253.106497698</v>
      </c>
      <c r="K36" s="29">
        <f t="shared" si="22"/>
        <v>39832922.580233</v>
      </c>
      <c r="L36" s="29">
        <f t="shared" ref="L36:O36" si="23">L33+L34-L35</f>
        <v>36896985.841777898</v>
      </c>
      <c r="M36" s="29">
        <f t="shared" si="23"/>
        <v>38725555.580568872</v>
      </c>
      <c r="N36" s="29">
        <f t="shared" si="23"/>
        <v>43690910.508900024</v>
      </c>
      <c r="O36" s="29">
        <f t="shared" si="23"/>
        <v>48912616.358453169</v>
      </c>
      <c r="P36" s="29">
        <f t="shared" ref="P36" si="24">P33+P34-P35</f>
        <v>53137171.896159627</v>
      </c>
      <c r="Q36" s="7"/>
      <c r="R36" s="8"/>
      <c r="S36" s="8"/>
      <c r="T36" s="7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</row>
    <row r="37" spans="1:189" s="31" customFormat="1" ht="15.75" x14ac:dyDescent="0.25">
      <c r="A37" s="39" t="s">
        <v>46</v>
      </c>
      <c r="B37" s="40" t="s">
        <v>42</v>
      </c>
      <c r="C37" s="27">
        <f>GSVA_cur!C37</f>
        <v>1050570</v>
      </c>
      <c r="D37" s="27">
        <f>GSVA_cur!D37</f>
        <v>1067200</v>
      </c>
      <c r="E37" s="27">
        <f>GSVA_cur!E37</f>
        <v>1084080</v>
      </c>
      <c r="F37" s="27">
        <f>GSVA_cur!F37</f>
        <v>1101240</v>
      </c>
      <c r="G37" s="27">
        <f>GSVA_cur!G37</f>
        <v>1118670</v>
      </c>
      <c r="H37" s="27">
        <f>GSVA_cur!H37</f>
        <v>1136380</v>
      </c>
      <c r="I37" s="27">
        <f>GSVA_cur!I37</f>
        <v>1169960</v>
      </c>
      <c r="J37" s="27">
        <f>GSVA_cur!J37</f>
        <v>1187780</v>
      </c>
      <c r="K37" s="27">
        <f>GSVA_cur!K37</f>
        <v>1205590</v>
      </c>
      <c r="L37" s="27">
        <f>GSVA_cur!L37</f>
        <v>1223410</v>
      </c>
      <c r="M37" s="27">
        <f>GSVA_cur!M37</f>
        <v>1241540</v>
      </c>
      <c r="N37" s="27">
        <f>GSVA_cur!N37</f>
        <v>1259910</v>
      </c>
      <c r="O37" s="27">
        <f>GSVA_cur!O37</f>
        <v>1278270</v>
      </c>
      <c r="P37" s="27">
        <f>GSVA_cur!P37</f>
        <v>1296897.5505393241</v>
      </c>
      <c r="Q37" s="6"/>
      <c r="R37" s="2"/>
      <c r="S37" s="2"/>
      <c r="T37" s="6"/>
      <c r="U37" s="6"/>
      <c r="V37" s="6"/>
      <c r="W37" s="6"/>
      <c r="X37" s="6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</row>
    <row r="38" spans="1:189" s="31" customFormat="1" ht="15.75" x14ac:dyDescent="0.25">
      <c r="A38" s="39" t="s">
        <v>47</v>
      </c>
      <c r="B38" s="40" t="s">
        <v>58</v>
      </c>
      <c r="C38" s="29">
        <f>C36/C37*1000</f>
        <v>23524.749555565028</v>
      </c>
      <c r="D38" s="29">
        <f t="shared" ref="D38:K38" si="25">D36/D37*1000</f>
        <v>24067.743744809221</v>
      </c>
      <c r="E38" s="29">
        <f t="shared" si="25"/>
        <v>24873.610988954846</v>
      </c>
      <c r="F38" s="29">
        <f t="shared" si="25"/>
        <v>25378.885815893209</v>
      </c>
      <c r="G38" s="29">
        <f t="shared" si="25"/>
        <v>26503.632090645653</v>
      </c>
      <c r="H38" s="29">
        <f t="shared" si="25"/>
        <v>28053.77200508563</v>
      </c>
      <c r="I38" s="29">
        <f t="shared" si="25"/>
        <v>29405.093036008409</v>
      </c>
      <c r="J38" s="29">
        <f t="shared" si="25"/>
        <v>32108.852739141676</v>
      </c>
      <c r="K38" s="29">
        <f t="shared" si="25"/>
        <v>33040.189932093832</v>
      </c>
      <c r="L38" s="29">
        <f t="shared" ref="L38:O38" si="26">L36/L37*1000</f>
        <v>30159.133766912073</v>
      </c>
      <c r="M38" s="29">
        <f t="shared" si="26"/>
        <v>31191.548867188227</v>
      </c>
      <c r="N38" s="29">
        <f t="shared" si="26"/>
        <v>34677.802786627639</v>
      </c>
      <c r="O38" s="29">
        <f t="shared" si="26"/>
        <v>38264.698661826667</v>
      </c>
      <c r="P38" s="29">
        <f t="shared" ref="P38" si="27">P36/P37*1000</f>
        <v>40972.528534780678</v>
      </c>
      <c r="Q38" s="6"/>
      <c r="R38" s="2"/>
      <c r="S38" s="2"/>
      <c r="T38" s="7"/>
      <c r="U38" s="7"/>
      <c r="V38" s="7"/>
      <c r="W38" s="7"/>
      <c r="X38" s="7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BY38" s="28"/>
      <c r="BZ38" s="28"/>
      <c r="CA38" s="28"/>
      <c r="CB38" s="28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K39"/>
  <sheetViews>
    <sheetView zoomScale="112" zoomScaleNormal="112" zoomScaleSheetLayoutView="100" workbookViewId="0">
      <pane xSplit="2" ySplit="5" topLeftCell="C24" activePane="bottomRight" state="frozen"/>
      <selection activeCell="I43" sqref="I43"/>
      <selection pane="topRight" activeCell="I43" sqref="I43"/>
      <selection pane="bottomLeft" activeCell="I43" sqref="I43"/>
      <selection pane="bottomRight" activeCell="X25" sqref="X25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6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6" customWidth="1"/>
    <col min="22" max="22" width="9.140625" style="2" customWidth="1"/>
    <col min="23" max="23" width="10.85546875" style="2" customWidth="1"/>
    <col min="24" max="24" width="10.85546875" style="6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6" customWidth="1"/>
    <col min="115" max="119" width="9.140625" style="6" hidden="1" customWidth="1"/>
    <col min="120" max="120" width="9.140625" style="6" customWidth="1"/>
    <col min="121" max="125" width="9.140625" style="6" hidden="1" customWidth="1"/>
    <col min="126" max="126" width="9.140625" style="6" customWidth="1"/>
    <col min="127" max="131" width="9.140625" style="6" hidden="1" customWidth="1"/>
    <col min="132" max="132" width="9.140625" style="6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21" x14ac:dyDescent="0.35">
      <c r="A1" s="2" t="s">
        <v>53</v>
      </c>
      <c r="B1" s="21" t="s">
        <v>66</v>
      </c>
      <c r="W1" s="7"/>
    </row>
    <row r="2" spans="1:193" ht="15.75" x14ac:dyDescent="0.25">
      <c r="A2" s="11" t="s">
        <v>50</v>
      </c>
      <c r="I2" s="6" t="str">
        <f>[1]GSVA_cur!$I$3</f>
        <v>01.08.2025</v>
      </c>
    </row>
    <row r="3" spans="1:193" ht="15.75" x14ac:dyDescent="0.25">
      <c r="A3" s="11"/>
    </row>
    <row r="4" spans="1:193" ht="15.75" x14ac:dyDescent="0.25">
      <c r="A4" s="11"/>
      <c r="E4" s="10"/>
      <c r="F4" s="10" t="s">
        <v>57</v>
      </c>
    </row>
    <row r="5" spans="1:193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2" t="s">
        <v>72</v>
      </c>
      <c r="N5" s="22" t="s">
        <v>73</v>
      </c>
      <c r="O5" s="22" t="s">
        <v>74</v>
      </c>
      <c r="P5" s="20" t="s">
        <v>76</v>
      </c>
    </row>
    <row r="6" spans="1:193" s="24" customFormat="1" ht="15.75" x14ac:dyDescent="0.25">
      <c r="A6" s="32" t="s">
        <v>26</v>
      </c>
      <c r="B6" s="33" t="s">
        <v>2</v>
      </c>
      <c r="C6" s="30">
        <f>SUM(C7:C10)</f>
        <v>5785164.8836538931</v>
      </c>
      <c r="D6" s="30">
        <f t="shared" ref="D6:P6" si="0">SUM(D7:D10)</f>
        <v>7180168.3617907586</v>
      </c>
      <c r="E6" s="30">
        <f t="shared" si="0"/>
        <v>6787446.1164244739</v>
      </c>
      <c r="F6" s="30">
        <f t="shared" si="0"/>
        <v>7206288.863270021</v>
      </c>
      <c r="G6" s="30">
        <f t="shared" si="0"/>
        <v>7726450.7258060612</v>
      </c>
      <c r="H6" s="30">
        <f t="shared" si="0"/>
        <v>9100592.7505386658</v>
      </c>
      <c r="I6" s="30">
        <f t="shared" si="0"/>
        <v>10399591.97210655</v>
      </c>
      <c r="J6" s="30">
        <f t="shared" si="0"/>
        <v>10578863.317952413</v>
      </c>
      <c r="K6" s="30">
        <f t="shared" si="0"/>
        <v>11959647.053055907</v>
      </c>
      <c r="L6" s="30">
        <f t="shared" si="0"/>
        <v>13998548.574805932</v>
      </c>
      <c r="M6" s="30">
        <f t="shared" si="0"/>
        <v>15785004.009495325</v>
      </c>
      <c r="N6" s="30">
        <f t="shared" si="0"/>
        <v>16788251.15906933</v>
      </c>
      <c r="O6" s="30">
        <f t="shared" si="0"/>
        <v>18246443.148466799</v>
      </c>
      <c r="P6" s="30">
        <f t="shared" si="0"/>
        <v>19979381.492065005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K6" s="31"/>
    </row>
    <row r="7" spans="1:193" ht="15.75" x14ac:dyDescent="0.25">
      <c r="A7" s="16">
        <v>1.1000000000000001</v>
      </c>
      <c r="B7" s="17" t="s">
        <v>59</v>
      </c>
      <c r="C7" s="4">
        <v>3905313.8293962758</v>
      </c>
      <c r="D7" s="4">
        <v>4924825.9191903519</v>
      </c>
      <c r="E7" s="4">
        <v>4032046.7723673517</v>
      </c>
      <c r="F7" s="4">
        <v>4068709.4304840937</v>
      </c>
      <c r="G7" s="4">
        <v>4298706.8998606717</v>
      </c>
      <c r="H7" s="4">
        <v>5124508.9291787855</v>
      </c>
      <c r="I7" s="4">
        <v>5734761.8576918244</v>
      </c>
      <c r="J7" s="4">
        <v>5555002.744208023</v>
      </c>
      <c r="K7" s="4">
        <v>6324048.4526525438</v>
      </c>
      <c r="L7" s="4">
        <v>7303762.4993227776</v>
      </c>
      <c r="M7" s="4">
        <v>7059376.4117598711</v>
      </c>
      <c r="N7" s="4">
        <v>7440661.7945308741</v>
      </c>
      <c r="O7" s="4">
        <v>8600002.1511591934</v>
      </c>
      <c r="P7" s="4">
        <v>9211312.0315866973</v>
      </c>
      <c r="Q7" s="8"/>
      <c r="R7" s="8"/>
      <c r="S7" s="8"/>
      <c r="T7" s="8"/>
      <c r="U7" s="7"/>
      <c r="V7" s="8"/>
      <c r="W7" s="8"/>
      <c r="X7" s="7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6"/>
      <c r="GI7" s="6"/>
      <c r="GJ7" s="6"/>
    </row>
    <row r="8" spans="1:193" ht="15.75" x14ac:dyDescent="0.25">
      <c r="A8" s="16">
        <v>1.2</v>
      </c>
      <c r="B8" s="17" t="s">
        <v>60</v>
      </c>
      <c r="C8" s="4">
        <v>1179519.9947011655</v>
      </c>
      <c r="D8" s="4">
        <v>1452471.9052590607</v>
      </c>
      <c r="E8" s="4">
        <v>1797535.4425843169</v>
      </c>
      <c r="F8" s="4">
        <v>2025284.0765495664</v>
      </c>
      <c r="G8" s="4">
        <v>2232102.6711021126</v>
      </c>
      <c r="H8" s="4">
        <v>2548181.2669184525</v>
      </c>
      <c r="I8" s="4">
        <v>3026328.7284544962</v>
      </c>
      <c r="J8" s="4">
        <v>3330149.8285460826</v>
      </c>
      <c r="K8" s="4">
        <v>3748254.4016679339</v>
      </c>
      <c r="L8" s="4">
        <v>4587790.6525807846</v>
      </c>
      <c r="M8" s="4">
        <v>6415576.5404622266</v>
      </c>
      <c r="N8" s="4">
        <v>6745899.6259926166</v>
      </c>
      <c r="O8" s="4">
        <v>6838804.9942818722</v>
      </c>
      <c r="P8" s="4">
        <v>7407722.2416536547</v>
      </c>
      <c r="Q8" s="8"/>
      <c r="R8" s="8"/>
      <c r="S8" s="8"/>
      <c r="T8" s="8"/>
      <c r="U8" s="7"/>
      <c r="V8" s="8"/>
      <c r="W8" s="8"/>
      <c r="X8" s="7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6"/>
      <c r="GI8" s="6"/>
      <c r="GJ8" s="6"/>
    </row>
    <row r="9" spans="1:193" ht="15.75" x14ac:dyDescent="0.25">
      <c r="A9" s="16">
        <v>1.3</v>
      </c>
      <c r="B9" s="17" t="s">
        <v>61</v>
      </c>
      <c r="C9" s="4">
        <v>414085.87787035201</v>
      </c>
      <c r="D9" s="4">
        <v>451964.25929720863</v>
      </c>
      <c r="E9" s="4">
        <v>495321.84985009028</v>
      </c>
      <c r="F9" s="4">
        <v>520572.00270461087</v>
      </c>
      <c r="G9" s="4">
        <v>576964.58005249139</v>
      </c>
      <c r="H9" s="4">
        <v>767443.90054082801</v>
      </c>
      <c r="I9" s="4">
        <v>818496.03911654092</v>
      </c>
      <c r="J9" s="4">
        <v>846133.70742525673</v>
      </c>
      <c r="K9" s="4">
        <v>967047.96583259536</v>
      </c>
      <c r="L9" s="4">
        <v>1040725.7132161485</v>
      </c>
      <c r="M9" s="4">
        <v>1128525.4241274812</v>
      </c>
      <c r="N9" s="4">
        <v>1215347.6099356972</v>
      </c>
      <c r="O9" s="4">
        <v>1339803.1205715474</v>
      </c>
      <c r="P9" s="4">
        <v>1497605.7163370585</v>
      </c>
      <c r="Q9" s="8"/>
      <c r="R9" s="8"/>
      <c r="S9" s="8"/>
      <c r="T9" s="8"/>
      <c r="U9" s="7"/>
      <c r="V9" s="8"/>
      <c r="W9" s="8"/>
      <c r="X9" s="7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6"/>
      <c r="GI9" s="6"/>
      <c r="GJ9" s="6"/>
    </row>
    <row r="10" spans="1:193" ht="15.75" x14ac:dyDescent="0.25">
      <c r="A10" s="16">
        <v>1.4</v>
      </c>
      <c r="B10" s="17" t="s">
        <v>62</v>
      </c>
      <c r="C10" s="4">
        <v>286245.18168609997</v>
      </c>
      <c r="D10" s="4">
        <v>350906.27804413752</v>
      </c>
      <c r="E10" s="4">
        <v>462542.05162271508</v>
      </c>
      <c r="F10" s="4">
        <v>591723.35353175004</v>
      </c>
      <c r="G10" s="4">
        <v>618676.57479078497</v>
      </c>
      <c r="H10" s="4">
        <v>660458.65390060004</v>
      </c>
      <c r="I10" s="4">
        <v>820005.34684368735</v>
      </c>
      <c r="J10" s="4">
        <v>847577.0377730499</v>
      </c>
      <c r="K10" s="4">
        <v>920296.23290283419</v>
      </c>
      <c r="L10" s="4">
        <v>1066269.7096862213</v>
      </c>
      <c r="M10" s="4">
        <v>1181525.6331457461</v>
      </c>
      <c r="N10" s="4">
        <v>1386342.1286101416</v>
      </c>
      <c r="O10" s="4">
        <v>1467832.8824541883</v>
      </c>
      <c r="P10" s="4">
        <v>1862741.5024875959</v>
      </c>
      <c r="Q10" s="8"/>
      <c r="R10" s="8"/>
      <c r="S10" s="8"/>
      <c r="T10" s="8"/>
      <c r="U10" s="7"/>
      <c r="V10" s="8"/>
      <c r="W10" s="8"/>
      <c r="X10" s="7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6"/>
      <c r="GI10" s="6"/>
      <c r="GJ10" s="6"/>
    </row>
    <row r="11" spans="1:193" ht="15.75" x14ac:dyDescent="0.25">
      <c r="A11" s="18" t="s">
        <v>31</v>
      </c>
      <c r="B11" s="17" t="s">
        <v>3</v>
      </c>
      <c r="C11" s="4">
        <v>17365.161910799034</v>
      </c>
      <c r="D11" s="4">
        <v>20329.983460153202</v>
      </c>
      <c r="E11" s="4">
        <v>129139.00393910836</v>
      </c>
      <c r="F11" s="4">
        <v>72353.984478463768</v>
      </c>
      <c r="G11" s="4">
        <v>223374.3371152601</v>
      </c>
      <c r="H11" s="4">
        <v>210415.36004293122</v>
      </c>
      <c r="I11" s="4">
        <v>57669.939777141335</v>
      </c>
      <c r="J11" s="4">
        <v>160413.28159613555</v>
      </c>
      <c r="K11" s="4">
        <v>539908.61503552692</v>
      </c>
      <c r="L11" s="4">
        <v>74904.078193285182</v>
      </c>
      <c r="M11" s="4">
        <v>98620.958862498621</v>
      </c>
      <c r="N11" s="4">
        <v>308621.29359338462</v>
      </c>
      <c r="O11" s="4">
        <v>255792.41770528388</v>
      </c>
      <c r="P11" s="4">
        <v>309813.62699795712</v>
      </c>
      <c r="Q11" s="8"/>
      <c r="R11" s="8"/>
      <c r="S11" s="8"/>
      <c r="T11" s="8"/>
      <c r="U11" s="7"/>
      <c r="V11" s="8"/>
      <c r="W11" s="8"/>
      <c r="X11" s="7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6"/>
      <c r="GI11" s="6"/>
      <c r="GJ11" s="6"/>
    </row>
    <row r="12" spans="1:193" s="31" customFormat="1" ht="15.75" x14ac:dyDescent="0.25">
      <c r="A12" s="34"/>
      <c r="B12" s="35" t="s">
        <v>28</v>
      </c>
      <c r="C12" s="29">
        <f>C6+C11</f>
        <v>5802530.0455646925</v>
      </c>
      <c r="D12" s="29">
        <f t="shared" ref="D12:P12" si="1">D6+D11</f>
        <v>7200498.345250912</v>
      </c>
      <c r="E12" s="29">
        <f t="shared" si="1"/>
        <v>6916585.1203635819</v>
      </c>
      <c r="F12" s="29">
        <f t="shared" si="1"/>
        <v>7278642.8477484845</v>
      </c>
      <c r="G12" s="29">
        <f t="shared" si="1"/>
        <v>7949825.062921321</v>
      </c>
      <c r="H12" s="29">
        <f t="shared" si="1"/>
        <v>9311008.1105815973</v>
      </c>
      <c r="I12" s="29">
        <f t="shared" si="1"/>
        <v>10457261.911883691</v>
      </c>
      <c r="J12" s="29">
        <f t="shared" si="1"/>
        <v>10739276.599548548</v>
      </c>
      <c r="K12" s="29">
        <f t="shared" si="1"/>
        <v>12499555.668091433</v>
      </c>
      <c r="L12" s="29">
        <f t="shared" si="1"/>
        <v>14073452.652999217</v>
      </c>
      <c r="M12" s="29">
        <f t="shared" si="1"/>
        <v>15883624.968357824</v>
      </c>
      <c r="N12" s="29">
        <f t="shared" si="1"/>
        <v>17096872.452662714</v>
      </c>
      <c r="O12" s="29">
        <f t="shared" si="1"/>
        <v>18502235.566172082</v>
      </c>
      <c r="P12" s="29">
        <f t="shared" si="1"/>
        <v>20289195.119062964</v>
      </c>
      <c r="Q12" s="8"/>
      <c r="R12" s="8"/>
      <c r="S12" s="8"/>
      <c r="T12" s="8"/>
      <c r="U12" s="7"/>
      <c r="V12" s="8"/>
      <c r="W12" s="8"/>
      <c r="X12" s="7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4"/>
      <c r="GI12" s="24"/>
      <c r="GJ12" s="24"/>
    </row>
    <row r="13" spans="1:193" s="6" customFormat="1" ht="15.75" x14ac:dyDescent="0.25">
      <c r="A13" s="14" t="s">
        <v>32</v>
      </c>
      <c r="B13" s="15" t="s">
        <v>4</v>
      </c>
      <c r="C13" s="1">
        <v>1268069.1934122564</v>
      </c>
      <c r="D13" s="1">
        <v>844984.87422511063</v>
      </c>
      <c r="E13" s="1">
        <v>1907324.3573147808</v>
      </c>
      <c r="F13" s="1">
        <v>2752337.0624814094</v>
      </c>
      <c r="G13" s="1">
        <v>2313799.0334263928</v>
      </c>
      <c r="H13" s="1">
        <v>2950065.7599001578</v>
      </c>
      <c r="I13" s="1">
        <v>3192840.6519001159</v>
      </c>
      <c r="J13" s="1">
        <v>3097373.460720934</v>
      </c>
      <c r="K13" s="1">
        <v>3415329.596988928</v>
      </c>
      <c r="L13" s="1">
        <v>3783854.2553706313</v>
      </c>
      <c r="M13" s="1">
        <v>4429096.5385928787</v>
      </c>
      <c r="N13" s="1">
        <v>5290965.8471013093</v>
      </c>
      <c r="O13" s="1">
        <v>5896341.6212997213</v>
      </c>
      <c r="P13" s="1">
        <v>6128835.5264118994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K13" s="2"/>
    </row>
    <row r="14" spans="1:193" ht="30" x14ac:dyDescent="0.25">
      <c r="A14" s="18" t="s">
        <v>33</v>
      </c>
      <c r="B14" s="17" t="s">
        <v>5</v>
      </c>
      <c r="C14" s="1">
        <v>243117.63761964731</v>
      </c>
      <c r="D14" s="1">
        <v>289184.67464877089</v>
      </c>
      <c r="E14" s="1">
        <v>255380.0968</v>
      </c>
      <c r="F14" s="1">
        <v>214547.818</v>
      </c>
      <c r="G14" s="1">
        <v>338969.80959999998</v>
      </c>
      <c r="H14" s="1">
        <v>317123.1443801531</v>
      </c>
      <c r="I14" s="1">
        <v>386291.63024373748</v>
      </c>
      <c r="J14" s="1">
        <v>586628.82198033226</v>
      </c>
      <c r="K14" s="1">
        <v>646226.20136956312</v>
      </c>
      <c r="L14" s="1">
        <v>578443.34869589098</v>
      </c>
      <c r="M14" s="1">
        <v>645513.52897212817</v>
      </c>
      <c r="N14" s="1">
        <v>985494.64935169904</v>
      </c>
      <c r="O14" s="1">
        <v>1238145.1750607193</v>
      </c>
      <c r="P14" s="1">
        <v>1445550.8300984469</v>
      </c>
      <c r="Q14" s="8"/>
      <c r="R14" s="8"/>
      <c r="S14" s="8"/>
      <c r="T14" s="8"/>
      <c r="U14" s="7"/>
      <c r="V14" s="8"/>
      <c r="W14" s="8"/>
      <c r="X14" s="7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7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7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7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6"/>
      <c r="GI14" s="6"/>
      <c r="GJ14" s="6"/>
    </row>
    <row r="15" spans="1:193" ht="15.75" x14ac:dyDescent="0.25">
      <c r="A15" s="18" t="s">
        <v>34</v>
      </c>
      <c r="B15" s="17" t="s">
        <v>6</v>
      </c>
      <c r="C15" s="1">
        <v>2576408.2699767421</v>
      </c>
      <c r="D15" s="1">
        <v>2637177.6481367447</v>
      </c>
      <c r="E15" s="1">
        <v>2990936.9117061207</v>
      </c>
      <c r="F15" s="1">
        <v>3075667.8411043482</v>
      </c>
      <c r="G15" s="1">
        <v>3058205.7278599837</v>
      </c>
      <c r="H15" s="1">
        <v>3310962.0532</v>
      </c>
      <c r="I15" s="1">
        <v>3664862.8874000004</v>
      </c>
      <c r="J15" s="1">
        <v>4129155.7007548721</v>
      </c>
      <c r="K15" s="1">
        <v>4237103.3949127281</v>
      </c>
      <c r="L15" s="1">
        <v>3884903.0004623472</v>
      </c>
      <c r="M15" s="1">
        <v>5437727.6705399416</v>
      </c>
      <c r="N15" s="1">
        <v>8178123.1070880927</v>
      </c>
      <c r="O15" s="1">
        <v>9907594.4482835643</v>
      </c>
      <c r="P15" s="1">
        <v>12120063.928829074</v>
      </c>
      <c r="Q15" s="8"/>
      <c r="R15" s="8"/>
      <c r="S15" s="8"/>
      <c r="T15" s="8"/>
      <c r="U15" s="7"/>
      <c r="V15" s="8"/>
      <c r="W15" s="8"/>
      <c r="X15" s="7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7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7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7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6"/>
      <c r="GI15" s="6"/>
      <c r="GJ15" s="6"/>
    </row>
    <row r="16" spans="1:193" s="31" customFormat="1" ht="15.75" x14ac:dyDescent="0.25">
      <c r="A16" s="34"/>
      <c r="B16" s="35" t="s">
        <v>29</v>
      </c>
      <c r="C16" s="29">
        <f>+C13+C14+C15</f>
        <v>4087595.1010086457</v>
      </c>
      <c r="D16" s="29">
        <f t="shared" ref="D16:H16" si="2">+D13+D14+D15</f>
        <v>3771347.1970106261</v>
      </c>
      <c r="E16" s="29">
        <f t="shared" si="2"/>
        <v>5153641.3658209015</v>
      </c>
      <c r="F16" s="29">
        <f t="shared" si="2"/>
        <v>6042552.721585758</v>
      </c>
      <c r="G16" s="29">
        <f t="shared" si="2"/>
        <v>5710974.5708863763</v>
      </c>
      <c r="H16" s="29">
        <f t="shared" si="2"/>
        <v>6578150.9574803114</v>
      </c>
      <c r="I16" s="29">
        <f t="shared" ref="I16:K16" si="3">+I13+I14+I15</f>
        <v>7243995.169543854</v>
      </c>
      <c r="J16" s="29">
        <f t="shared" si="3"/>
        <v>7813157.9834561385</v>
      </c>
      <c r="K16" s="29">
        <f t="shared" si="3"/>
        <v>8298659.1932712197</v>
      </c>
      <c r="L16" s="29">
        <f t="shared" ref="L16:M16" si="4">+L13+L14+L15</f>
        <v>8247200.6045288704</v>
      </c>
      <c r="M16" s="29">
        <f t="shared" si="4"/>
        <v>10512337.738104949</v>
      </c>
      <c r="N16" s="29">
        <f t="shared" ref="N16:O16" si="5">+N13+N14+N15</f>
        <v>14454583.603541102</v>
      </c>
      <c r="O16" s="29">
        <f t="shared" si="5"/>
        <v>17042081.244644005</v>
      </c>
      <c r="P16" s="29">
        <f t="shared" ref="P16" si="6">+P13+P14+P15</f>
        <v>19694450.285339423</v>
      </c>
      <c r="Q16" s="8"/>
      <c r="R16" s="8"/>
      <c r="S16" s="8"/>
      <c r="T16" s="8"/>
      <c r="U16" s="7"/>
      <c r="V16" s="8"/>
      <c r="W16" s="8"/>
      <c r="X16" s="7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6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6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6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4"/>
      <c r="GI16" s="24"/>
      <c r="GJ16" s="24"/>
    </row>
    <row r="17" spans="1:193" s="24" customFormat="1" ht="15.75" x14ac:dyDescent="0.25">
      <c r="A17" s="32" t="s">
        <v>35</v>
      </c>
      <c r="B17" s="33" t="s">
        <v>7</v>
      </c>
      <c r="C17" s="25">
        <f>C18+C19</f>
        <v>4325612.1029920233</v>
      </c>
      <c r="D17" s="25">
        <f t="shared" ref="D17:H17" si="7">D18+D19</f>
        <v>5095231.4086576644</v>
      </c>
      <c r="E17" s="25">
        <f t="shared" si="7"/>
        <v>5108677.1867613448</v>
      </c>
      <c r="F17" s="25">
        <f t="shared" si="7"/>
        <v>5232063.6222000001</v>
      </c>
      <c r="G17" s="25">
        <f t="shared" si="7"/>
        <v>6403936.8233099831</v>
      </c>
      <c r="H17" s="25">
        <f t="shared" si="7"/>
        <v>7283776.1845498085</v>
      </c>
      <c r="I17" s="25">
        <f t="shared" ref="I17:K17" si="8">I18+I19</f>
        <v>8225110.1874745497</v>
      </c>
      <c r="J17" s="25">
        <f t="shared" si="8"/>
        <v>9186386.3217689544</v>
      </c>
      <c r="K17" s="25">
        <f t="shared" si="8"/>
        <v>9851020.6229713392</v>
      </c>
      <c r="L17" s="25">
        <f t="shared" ref="L17:M17" si="9">L18+L19</f>
        <v>8505014.6060182825</v>
      </c>
      <c r="M17" s="25">
        <f t="shared" si="9"/>
        <v>9300001.3751581945</v>
      </c>
      <c r="N17" s="25">
        <f t="shared" ref="N17:O17" si="10">N18+N19</f>
        <v>11343342.461902967</v>
      </c>
      <c r="O17" s="25">
        <f t="shared" si="10"/>
        <v>12060091.539664591</v>
      </c>
      <c r="P17" s="25">
        <f t="shared" ref="P17" si="11">P18+P19</f>
        <v>13331812.645683929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K17" s="31"/>
    </row>
    <row r="18" spans="1:193" ht="15.75" x14ac:dyDescent="0.25">
      <c r="A18" s="16">
        <v>6.1</v>
      </c>
      <c r="B18" s="17" t="s">
        <v>8</v>
      </c>
      <c r="C18" s="4">
        <v>4056408.9949520864</v>
      </c>
      <c r="D18" s="4">
        <v>4799778.6956188744</v>
      </c>
      <c r="E18" s="4">
        <v>4792556.8706999999</v>
      </c>
      <c r="F18" s="4">
        <v>4903087.8685999997</v>
      </c>
      <c r="G18" s="4">
        <v>6044522.2428000001</v>
      </c>
      <c r="H18" s="4">
        <v>6890117.0127999997</v>
      </c>
      <c r="I18" s="4">
        <v>7785646.2304999996</v>
      </c>
      <c r="J18" s="4">
        <v>8681449.9779000003</v>
      </c>
      <c r="K18" s="4">
        <v>9314499.7421849724</v>
      </c>
      <c r="L18" s="4">
        <v>8290592.8083899152</v>
      </c>
      <c r="M18" s="4">
        <v>8978433.4775978662</v>
      </c>
      <c r="N18" s="4">
        <v>10635929.316730076</v>
      </c>
      <c r="O18" s="4">
        <v>11082118.977742929</v>
      </c>
      <c r="P18" s="4">
        <v>12265994.001886552</v>
      </c>
      <c r="Q18" s="8"/>
      <c r="R18" s="8"/>
      <c r="S18" s="8"/>
      <c r="T18" s="8"/>
      <c r="U18" s="7"/>
      <c r="V18" s="8"/>
      <c r="W18" s="8"/>
      <c r="X18" s="7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6"/>
      <c r="GI18" s="6"/>
      <c r="GJ18" s="6"/>
    </row>
    <row r="19" spans="1:193" ht="15.75" x14ac:dyDescent="0.25">
      <c r="A19" s="16">
        <v>6.2</v>
      </c>
      <c r="B19" s="17" t="s">
        <v>9</v>
      </c>
      <c r="C19" s="4">
        <v>269203.10803993687</v>
      </c>
      <c r="D19" s="4">
        <v>295452.71303878981</v>
      </c>
      <c r="E19" s="4">
        <v>316120.31606134516</v>
      </c>
      <c r="F19" s="4">
        <v>328975.7536</v>
      </c>
      <c r="G19" s="4">
        <v>359414.58050998289</v>
      </c>
      <c r="H19" s="4">
        <v>393659.17174980842</v>
      </c>
      <c r="I19" s="4">
        <v>439463.95697454998</v>
      </c>
      <c r="J19" s="4">
        <v>504936.34386895446</v>
      </c>
      <c r="K19" s="4">
        <v>536520.88078636595</v>
      </c>
      <c r="L19" s="4">
        <v>214421.79762836694</v>
      </c>
      <c r="M19" s="4">
        <v>321567.89756032836</v>
      </c>
      <c r="N19" s="4">
        <v>707413.14517289039</v>
      </c>
      <c r="O19" s="4">
        <v>977972.56192166172</v>
      </c>
      <c r="P19" s="4">
        <v>1065818.6437973781</v>
      </c>
      <c r="Q19" s="8"/>
      <c r="R19" s="8"/>
      <c r="S19" s="8"/>
      <c r="T19" s="8"/>
      <c r="U19" s="7"/>
      <c r="V19" s="8"/>
      <c r="W19" s="8"/>
      <c r="X19" s="7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6"/>
      <c r="GI19" s="6"/>
      <c r="GJ19" s="6"/>
    </row>
    <row r="20" spans="1:193" s="24" customFormat="1" ht="30" x14ac:dyDescent="0.25">
      <c r="A20" s="36" t="s">
        <v>36</v>
      </c>
      <c r="B20" s="37" t="s">
        <v>10</v>
      </c>
      <c r="C20" s="25">
        <f>SUM(C21:C27)</f>
        <v>1484506.5533634666</v>
      </c>
      <c r="D20" s="25">
        <f t="shared" ref="D20:P20" si="12">SUM(D21:D27)</f>
        <v>1861195.8891407172</v>
      </c>
      <c r="E20" s="25">
        <f t="shared" si="12"/>
        <v>2253007.5989448512</v>
      </c>
      <c r="F20" s="25">
        <f t="shared" si="12"/>
        <v>2692504.7724000001</v>
      </c>
      <c r="G20" s="25">
        <f t="shared" si="12"/>
        <v>3084128.0092226095</v>
      </c>
      <c r="H20" s="25">
        <f t="shared" si="12"/>
        <v>3249855.8955361675</v>
      </c>
      <c r="I20" s="25">
        <f t="shared" si="12"/>
        <v>3506953.1790999994</v>
      </c>
      <c r="J20" s="25">
        <f t="shared" si="12"/>
        <v>3918249.0234000003</v>
      </c>
      <c r="K20" s="25">
        <f t="shared" si="12"/>
        <v>4386568.7590526184</v>
      </c>
      <c r="L20" s="25">
        <f t="shared" si="12"/>
        <v>3974505.5816615694</v>
      </c>
      <c r="M20" s="25">
        <f t="shared" si="12"/>
        <v>5622929.1131791165</v>
      </c>
      <c r="N20" s="25">
        <f t="shared" si="12"/>
        <v>6129887.2359812781</v>
      </c>
      <c r="O20" s="25">
        <f t="shared" si="12"/>
        <v>6571973.1529133208</v>
      </c>
      <c r="P20" s="25">
        <f t="shared" si="12"/>
        <v>7542891.72520753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K20" s="31"/>
    </row>
    <row r="21" spans="1:193" ht="15.75" x14ac:dyDescent="0.25">
      <c r="A21" s="16">
        <v>7.1</v>
      </c>
      <c r="B21" s="17" t="s">
        <v>11</v>
      </c>
      <c r="C21" s="4">
        <v>202241.06802183919</v>
      </c>
      <c r="D21" s="4">
        <v>255826.36249358239</v>
      </c>
      <c r="E21" s="4">
        <v>299577.62390485144</v>
      </c>
      <c r="F21" s="4">
        <v>351550</v>
      </c>
      <c r="G21" s="4">
        <v>343155</v>
      </c>
      <c r="H21" s="4">
        <v>310994</v>
      </c>
      <c r="I21" s="4">
        <v>320931</v>
      </c>
      <c r="J21" s="4">
        <v>345811</v>
      </c>
      <c r="K21" s="4">
        <v>377749</v>
      </c>
      <c r="L21" s="4">
        <v>492229</v>
      </c>
      <c r="M21" s="4">
        <v>536992.48769567348</v>
      </c>
      <c r="N21" s="4">
        <v>477893.57913944102</v>
      </c>
      <c r="O21" s="4">
        <v>533969.41149339371</v>
      </c>
      <c r="P21" s="4">
        <v>596409.44274130207</v>
      </c>
      <c r="Q21" s="8"/>
      <c r="R21" s="8"/>
      <c r="S21" s="8"/>
      <c r="T21" s="8"/>
      <c r="U21" s="7"/>
      <c r="V21" s="8"/>
      <c r="W21" s="8"/>
      <c r="X21" s="7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6"/>
      <c r="GI21" s="6"/>
      <c r="GJ21" s="6"/>
    </row>
    <row r="22" spans="1:193" ht="15.75" x14ac:dyDescent="0.25">
      <c r="A22" s="16">
        <v>7.2</v>
      </c>
      <c r="B22" s="17" t="s">
        <v>12</v>
      </c>
      <c r="C22" s="4">
        <v>758154.00339168578</v>
      </c>
      <c r="D22" s="4">
        <v>977094.25011613534</v>
      </c>
      <c r="E22" s="4">
        <v>1228187.4735999999</v>
      </c>
      <c r="F22" s="4">
        <v>1447351.5697000001</v>
      </c>
      <c r="G22" s="4">
        <v>1622412.1358</v>
      </c>
      <c r="H22" s="4">
        <v>1849374.8655999999</v>
      </c>
      <c r="I22" s="4">
        <v>2127892.4419999998</v>
      </c>
      <c r="J22" s="4">
        <v>2510669.3670000001</v>
      </c>
      <c r="K22" s="4">
        <v>2776751.326142407</v>
      </c>
      <c r="L22" s="4">
        <v>2198568.1772249513</v>
      </c>
      <c r="M22" s="4">
        <v>3468019.6747530126</v>
      </c>
      <c r="N22" s="4">
        <v>3698597.9840687853</v>
      </c>
      <c r="O22" s="4">
        <v>3847060.2576463292</v>
      </c>
      <c r="P22" s="4">
        <v>4376210.7867397945</v>
      </c>
      <c r="Q22" s="8"/>
      <c r="R22" s="8"/>
      <c r="S22" s="8"/>
      <c r="T22" s="8"/>
      <c r="U22" s="7"/>
      <c r="V22" s="8"/>
      <c r="W22" s="8"/>
      <c r="X22" s="7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6"/>
      <c r="GI22" s="6"/>
      <c r="GJ22" s="6"/>
    </row>
    <row r="23" spans="1:193" ht="15.75" x14ac:dyDescent="0.25">
      <c r="A23" s="16">
        <v>7.3</v>
      </c>
      <c r="B23" s="17" t="s">
        <v>13</v>
      </c>
      <c r="C23" s="4">
        <v>4366.9268081805067</v>
      </c>
      <c r="D23" s="4">
        <v>1964.5317560244989</v>
      </c>
      <c r="E23" s="4">
        <v>959.75680000000011</v>
      </c>
      <c r="F23" s="4">
        <v>1338.5113999999999</v>
      </c>
      <c r="G23" s="4">
        <v>1366.6098000000002</v>
      </c>
      <c r="H23" s="4">
        <v>2506.9884999999999</v>
      </c>
      <c r="I23" s="4">
        <v>2114.152</v>
      </c>
      <c r="J23" s="4">
        <v>3938.8270000000007</v>
      </c>
      <c r="K23" s="4">
        <v>3953.9740725498859</v>
      </c>
      <c r="L23" s="4">
        <v>3771.1880333533472</v>
      </c>
      <c r="M23" s="4">
        <v>6630.2408455535387</v>
      </c>
      <c r="N23" s="4">
        <v>8306.7611413991635</v>
      </c>
      <c r="O23" s="4">
        <v>8348.5245791956186</v>
      </c>
      <c r="P23" s="4">
        <v>9532.4972213243236</v>
      </c>
      <c r="Q23" s="8"/>
      <c r="R23" s="8"/>
      <c r="S23" s="8"/>
      <c r="T23" s="8"/>
      <c r="U23" s="7"/>
      <c r="V23" s="8"/>
      <c r="W23" s="8"/>
      <c r="X23" s="7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6"/>
      <c r="GI23" s="6"/>
      <c r="GJ23" s="6"/>
    </row>
    <row r="24" spans="1:193" ht="15.75" x14ac:dyDescent="0.25">
      <c r="A24" s="16">
        <v>7.4</v>
      </c>
      <c r="B24" s="17" t="s">
        <v>14</v>
      </c>
      <c r="C24" s="4">
        <v>1476.3676920166145</v>
      </c>
      <c r="D24" s="4">
        <v>4043.9853778556094</v>
      </c>
      <c r="E24" s="4">
        <v>2226.4143999999997</v>
      </c>
      <c r="F24" s="4">
        <v>5303.9615999999996</v>
      </c>
      <c r="G24" s="4">
        <v>13037.118399999999</v>
      </c>
      <c r="H24" s="4">
        <v>16189.942999999999</v>
      </c>
      <c r="I24" s="4">
        <v>20279.735499999999</v>
      </c>
      <c r="J24" s="4">
        <v>11147.208000000001</v>
      </c>
      <c r="K24" s="4">
        <v>19164.214113080434</v>
      </c>
      <c r="L24" s="4">
        <v>3589.6364967845948</v>
      </c>
      <c r="M24" s="4">
        <v>1524.7892937079523</v>
      </c>
      <c r="N24" s="4">
        <v>9831.9521879961685</v>
      </c>
      <c r="O24" s="4">
        <v>23025.149492676839</v>
      </c>
      <c r="P24" s="4">
        <v>27682.92742000645</v>
      </c>
      <c r="Q24" s="8"/>
      <c r="R24" s="8"/>
      <c r="S24" s="8"/>
      <c r="T24" s="8"/>
      <c r="U24" s="7"/>
      <c r="V24" s="8"/>
      <c r="W24" s="8"/>
      <c r="X24" s="7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6"/>
      <c r="GI24" s="6"/>
      <c r="GJ24" s="6"/>
    </row>
    <row r="25" spans="1:193" ht="15.75" x14ac:dyDescent="0.25">
      <c r="A25" s="16">
        <v>7.5</v>
      </c>
      <c r="B25" s="17" t="s">
        <v>15</v>
      </c>
      <c r="C25" s="4">
        <v>76053.934555788655</v>
      </c>
      <c r="D25" s="4">
        <v>97147.380301175683</v>
      </c>
      <c r="E25" s="4">
        <v>123260.27840000001</v>
      </c>
      <c r="F25" s="4">
        <v>146892.9093</v>
      </c>
      <c r="G25" s="4">
        <v>164512.61379999999</v>
      </c>
      <c r="H25" s="4">
        <v>192408.85339999999</v>
      </c>
      <c r="I25" s="4">
        <v>218386.63099999999</v>
      </c>
      <c r="J25" s="4">
        <v>249768.39750000005</v>
      </c>
      <c r="K25" s="4">
        <v>275788.38807816419</v>
      </c>
      <c r="L25" s="4">
        <v>204134.27845935937</v>
      </c>
      <c r="M25" s="4">
        <v>332081.27396358573</v>
      </c>
      <c r="N25" s="4">
        <v>365372.65190753713</v>
      </c>
      <c r="O25" s="4">
        <v>399310.02715163538</v>
      </c>
      <c r="P25" s="4">
        <v>465384.94791071559</v>
      </c>
      <c r="Q25" s="8"/>
      <c r="R25" s="8"/>
      <c r="S25" s="8"/>
      <c r="T25" s="8"/>
      <c r="U25" s="7"/>
      <c r="V25" s="8"/>
      <c r="W25" s="8"/>
      <c r="X25" s="7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6"/>
      <c r="GI25" s="6"/>
      <c r="GJ25" s="6"/>
    </row>
    <row r="26" spans="1:193" ht="15.75" x14ac:dyDescent="0.25">
      <c r="A26" s="16">
        <v>7.6</v>
      </c>
      <c r="B26" s="17" t="s">
        <v>16</v>
      </c>
      <c r="C26" s="4">
        <v>6334.8239999999996</v>
      </c>
      <c r="D26" s="4">
        <v>7354.9267716126196</v>
      </c>
      <c r="E26" s="4">
        <v>7152.9865000000018</v>
      </c>
      <c r="F26" s="4">
        <v>7814.8204000000005</v>
      </c>
      <c r="G26" s="4">
        <v>8421.9290000000001</v>
      </c>
      <c r="H26" s="4">
        <v>9009.4313000000002</v>
      </c>
      <c r="I26" s="4">
        <v>12692.0998</v>
      </c>
      <c r="J26" s="4">
        <v>33555.223899999997</v>
      </c>
      <c r="K26" s="4">
        <v>34889.499106969612</v>
      </c>
      <c r="L26" s="4">
        <v>36901.30144712067</v>
      </c>
      <c r="M26" s="4">
        <v>38064.087554358557</v>
      </c>
      <c r="N26" s="4">
        <v>42528.039139382461</v>
      </c>
      <c r="O26" s="4">
        <v>47896.891899139533</v>
      </c>
      <c r="P26" s="4">
        <v>58981.92164393836</v>
      </c>
      <c r="Q26" s="8"/>
      <c r="R26" s="8"/>
      <c r="S26" s="8"/>
      <c r="T26" s="8"/>
      <c r="U26" s="7"/>
      <c r="V26" s="8"/>
      <c r="W26" s="8"/>
      <c r="X26" s="7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6"/>
      <c r="GI26" s="6"/>
      <c r="GJ26" s="6"/>
    </row>
    <row r="27" spans="1:193" ht="30" x14ac:dyDescent="0.25">
      <c r="A27" s="16">
        <v>7.7</v>
      </c>
      <c r="B27" s="17" t="s">
        <v>17</v>
      </c>
      <c r="C27" s="4">
        <v>435879.42889395583</v>
      </c>
      <c r="D27" s="4">
        <v>517764.45232433104</v>
      </c>
      <c r="E27" s="4">
        <v>591643.06533999997</v>
      </c>
      <c r="F27" s="4">
        <v>732253</v>
      </c>
      <c r="G27" s="4">
        <v>931222.60242260946</v>
      </c>
      <c r="H27" s="4">
        <v>869371.81373616774</v>
      </c>
      <c r="I27" s="4">
        <v>804657.11880000005</v>
      </c>
      <c r="J27" s="4">
        <v>763359</v>
      </c>
      <c r="K27" s="4">
        <v>898272.35753944737</v>
      </c>
      <c r="L27" s="4">
        <v>1035312.0000000001</v>
      </c>
      <c r="M27" s="4">
        <v>1239616.5590732247</v>
      </c>
      <c r="N27" s="4">
        <v>1527356.2683967371</v>
      </c>
      <c r="O27" s="4">
        <v>1712362.8906509494</v>
      </c>
      <c r="P27" s="4">
        <v>2008689.2015304489</v>
      </c>
      <c r="Q27" s="8"/>
      <c r="R27" s="8"/>
      <c r="S27" s="8"/>
      <c r="T27" s="8"/>
      <c r="U27" s="7"/>
      <c r="V27" s="8"/>
      <c r="W27" s="8"/>
      <c r="X27" s="7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6"/>
      <c r="GI27" s="6"/>
      <c r="GJ27" s="6"/>
    </row>
    <row r="28" spans="1:193" ht="15.75" x14ac:dyDescent="0.25">
      <c r="A28" s="18" t="s">
        <v>37</v>
      </c>
      <c r="B28" s="17" t="s">
        <v>18</v>
      </c>
      <c r="C28" s="4">
        <v>869974</v>
      </c>
      <c r="D28" s="4">
        <v>960103.00000000012</v>
      </c>
      <c r="E28" s="4">
        <v>1103526</v>
      </c>
      <c r="F28" s="4">
        <v>1196309</v>
      </c>
      <c r="G28" s="4">
        <v>1295951</v>
      </c>
      <c r="H28" s="4">
        <v>1217880</v>
      </c>
      <c r="I28" s="4">
        <v>1520095</v>
      </c>
      <c r="J28" s="4">
        <v>2183087</v>
      </c>
      <c r="K28" s="4">
        <v>2274722</v>
      </c>
      <c r="L28" s="4">
        <v>2482694</v>
      </c>
      <c r="M28" s="4">
        <v>2599905.6698946897</v>
      </c>
      <c r="N28" s="4">
        <v>3139641.8787017399</v>
      </c>
      <c r="O28" s="4">
        <v>3646263.6279407213</v>
      </c>
      <c r="P28" s="4">
        <v>4233591.6568391817</v>
      </c>
      <c r="Q28" s="8"/>
      <c r="R28" s="8"/>
      <c r="S28" s="8"/>
      <c r="T28" s="8"/>
      <c r="U28" s="7"/>
      <c r="V28" s="8"/>
      <c r="W28" s="8"/>
      <c r="X28" s="7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6"/>
      <c r="GI28" s="6"/>
      <c r="GJ28" s="6"/>
    </row>
    <row r="29" spans="1:193" ht="30" x14ac:dyDescent="0.25">
      <c r="A29" s="18" t="s">
        <v>38</v>
      </c>
      <c r="B29" s="17" t="s">
        <v>19</v>
      </c>
      <c r="C29" s="4">
        <v>2529778.6454598079</v>
      </c>
      <c r="D29" s="4">
        <v>2802546.6053977278</v>
      </c>
      <c r="E29" s="4">
        <v>3092201.5822670138</v>
      </c>
      <c r="F29" s="4">
        <v>3262365.3724430948</v>
      </c>
      <c r="G29" s="4">
        <v>3200519.0965305925</v>
      </c>
      <c r="H29" s="4">
        <v>3357781.1011651754</v>
      </c>
      <c r="I29" s="4">
        <v>3565410.0829085722</v>
      </c>
      <c r="J29" s="4">
        <v>3829063.9264787417</v>
      </c>
      <c r="K29" s="4">
        <v>3855915.0285798931</v>
      </c>
      <c r="L29" s="4">
        <v>3771743.4792951448</v>
      </c>
      <c r="M29" s="4">
        <v>4290398.1431176867</v>
      </c>
      <c r="N29" s="4">
        <v>4820462.5349001223</v>
      </c>
      <c r="O29" s="4">
        <v>5149094.6540054847</v>
      </c>
      <c r="P29" s="4">
        <v>5637219.3901790502</v>
      </c>
      <c r="Q29" s="8"/>
      <c r="R29" s="8"/>
      <c r="S29" s="8"/>
      <c r="T29" s="8"/>
      <c r="U29" s="7"/>
      <c r="V29" s="8"/>
      <c r="W29" s="8"/>
      <c r="X29" s="7"/>
      <c r="Y29" s="9"/>
      <c r="Z29" s="9"/>
      <c r="AA29" s="9"/>
      <c r="AB29" s="9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6"/>
      <c r="GI29" s="6"/>
      <c r="GJ29" s="6"/>
    </row>
    <row r="30" spans="1:193" ht="15.75" x14ac:dyDescent="0.25">
      <c r="A30" s="18" t="s">
        <v>39</v>
      </c>
      <c r="B30" s="17" t="s">
        <v>54</v>
      </c>
      <c r="C30" s="4">
        <v>1048516</v>
      </c>
      <c r="D30" s="4">
        <v>1148981</v>
      </c>
      <c r="E30" s="4">
        <v>1233853</v>
      </c>
      <c r="F30" s="4">
        <v>1359849</v>
      </c>
      <c r="G30" s="4">
        <v>1416265</v>
      </c>
      <c r="H30" s="4">
        <v>1579446</v>
      </c>
      <c r="I30" s="4">
        <v>1840466</v>
      </c>
      <c r="J30" s="4">
        <v>1942350.9999999998</v>
      </c>
      <c r="K30" s="4">
        <v>2161458</v>
      </c>
      <c r="L30" s="4">
        <v>2417726</v>
      </c>
      <c r="M30" s="4">
        <v>2663698.315395344</v>
      </c>
      <c r="N30" s="4">
        <v>3098529.1216842812</v>
      </c>
      <c r="O30" s="4">
        <v>3826289.2220714935</v>
      </c>
      <c r="P30" s="4">
        <v>4403702.2285794467</v>
      </c>
      <c r="Q30" s="8"/>
      <c r="R30" s="8"/>
      <c r="S30" s="8"/>
      <c r="T30" s="8"/>
      <c r="U30" s="7"/>
      <c r="V30" s="8"/>
      <c r="W30" s="8"/>
      <c r="X30" s="7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6"/>
      <c r="GI30" s="6"/>
      <c r="GJ30" s="6"/>
    </row>
    <row r="31" spans="1:193" ht="15.75" x14ac:dyDescent="0.25">
      <c r="A31" s="18" t="s">
        <v>40</v>
      </c>
      <c r="B31" s="17" t="s">
        <v>20</v>
      </c>
      <c r="C31" s="4">
        <v>2156685.5288618426</v>
      </c>
      <c r="D31" s="4">
        <v>2725898.0585920722</v>
      </c>
      <c r="E31" s="4">
        <v>3311189.4905025992</v>
      </c>
      <c r="F31" s="4">
        <v>3733761.7322358624</v>
      </c>
      <c r="G31" s="4">
        <v>4205619.4525567349</v>
      </c>
      <c r="H31" s="4">
        <v>4850567.7376517821</v>
      </c>
      <c r="I31" s="4">
        <v>5720354.4924068376</v>
      </c>
      <c r="J31" s="4">
        <v>6986351.1411296492</v>
      </c>
      <c r="K31" s="4">
        <v>7724372.1966520259</v>
      </c>
      <c r="L31" s="4">
        <v>6518701.5488223666</v>
      </c>
      <c r="M31" s="4">
        <v>7218809.2427947978</v>
      </c>
      <c r="N31" s="4">
        <v>8118630.6271492792</v>
      </c>
      <c r="O31" s="4">
        <v>10079889.094545808</v>
      </c>
      <c r="P31" s="4">
        <v>11771598.740105126</v>
      </c>
      <c r="Q31" s="8"/>
      <c r="R31" s="8"/>
      <c r="S31" s="8"/>
      <c r="T31" s="8"/>
      <c r="U31" s="7"/>
      <c r="V31" s="8"/>
      <c r="W31" s="8"/>
      <c r="X31" s="7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6"/>
      <c r="GI31" s="6"/>
      <c r="GJ31" s="6"/>
    </row>
    <row r="32" spans="1:193" s="31" customFormat="1" ht="15.75" x14ac:dyDescent="0.25">
      <c r="A32" s="34"/>
      <c r="B32" s="35" t="s">
        <v>30</v>
      </c>
      <c r="C32" s="29">
        <f>C17+C20+C28+C29+C30+C31</f>
        <v>12415072.830677141</v>
      </c>
      <c r="D32" s="29">
        <f t="shared" ref="D32:G32" si="13">D17+D20+D28+D29+D30+D31</f>
        <v>14593955.961788181</v>
      </c>
      <c r="E32" s="29">
        <f t="shared" si="13"/>
        <v>16102454.85847581</v>
      </c>
      <c r="F32" s="29">
        <f t="shared" si="13"/>
        <v>17476853.499278959</v>
      </c>
      <c r="G32" s="29">
        <f t="shared" si="13"/>
        <v>19606419.381619919</v>
      </c>
      <c r="H32" s="29">
        <f t="shared" ref="H32:K32" si="14">H17+H20+H28+H29+H30+H31</f>
        <v>21539306.918902934</v>
      </c>
      <c r="I32" s="29">
        <f t="shared" si="14"/>
        <v>24378388.941889957</v>
      </c>
      <c r="J32" s="29">
        <f t="shared" si="14"/>
        <v>28045488.412777349</v>
      </c>
      <c r="K32" s="29">
        <f t="shared" si="14"/>
        <v>30254056.607255876</v>
      </c>
      <c r="L32" s="29">
        <f t="shared" ref="L32:M32" si="15">L17+L20+L28+L29+L30+L31</f>
        <v>27670385.215797361</v>
      </c>
      <c r="M32" s="29">
        <f t="shared" si="15"/>
        <v>31695741.859539833</v>
      </c>
      <c r="N32" s="29">
        <f t="shared" ref="N32:O32" si="16">N17+N20+N28+N29+N30+N31</f>
        <v>36650493.860319667</v>
      </c>
      <c r="O32" s="29">
        <f t="shared" si="16"/>
        <v>41333601.291141421</v>
      </c>
      <c r="P32" s="29">
        <f t="shared" ref="P32" si="17">P17+P20+P28+P29+P30+P31</f>
        <v>46920816.386594266</v>
      </c>
      <c r="Q32" s="8"/>
      <c r="R32" s="8"/>
      <c r="S32" s="8"/>
      <c r="T32" s="8"/>
      <c r="U32" s="7"/>
      <c r="V32" s="8"/>
      <c r="W32" s="8"/>
      <c r="X32" s="7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4"/>
      <c r="GI32" s="24"/>
      <c r="GJ32" s="24"/>
    </row>
    <row r="33" spans="1:193" s="24" customFormat="1" ht="15.75" x14ac:dyDescent="0.25">
      <c r="A33" s="32" t="s">
        <v>27</v>
      </c>
      <c r="B33" s="38" t="s">
        <v>51</v>
      </c>
      <c r="C33" s="30">
        <f t="shared" ref="C33:H33" si="18">C6+C11+C13+C14+C15+C17+C20+C28+C29+C30+C31</f>
        <v>22305197.977250479</v>
      </c>
      <c r="D33" s="30">
        <f t="shared" si="18"/>
        <v>25565801.504049722</v>
      </c>
      <c r="E33" s="30">
        <f t="shared" si="18"/>
        <v>28172681.34466029</v>
      </c>
      <c r="F33" s="30">
        <f t="shared" si="18"/>
        <v>30798049.068613201</v>
      </c>
      <c r="G33" s="30">
        <f t="shared" si="18"/>
        <v>33267219.015427619</v>
      </c>
      <c r="H33" s="30">
        <f t="shared" si="18"/>
        <v>37428465.986964837</v>
      </c>
      <c r="I33" s="30">
        <f t="shared" ref="I33:K33" si="19">I6+I11+I13+I14+I15+I17+I20+I28+I29+I30+I31</f>
        <v>42079646.023317501</v>
      </c>
      <c r="J33" s="30">
        <f t="shared" si="19"/>
        <v>46597922.99578204</v>
      </c>
      <c r="K33" s="30">
        <f t="shared" si="19"/>
        <v>51052271.468618527</v>
      </c>
      <c r="L33" s="30">
        <f t="shared" ref="L33:M33" si="20">L6+L11+L13+L14+L15+L17+L20+L28+L29+L30+L31</f>
        <v>49991038.473325439</v>
      </c>
      <c r="M33" s="30">
        <f t="shared" si="20"/>
        <v>58091704.566002592</v>
      </c>
      <c r="N33" s="30">
        <f t="shared" ref="N33:O33" si="21">N6+N11+N13+N14+N15+N17+N20+N28+N29+N30+N31</f>
        <v>68201949.916523486</v>
      </c>
      <c r="O33" s="30">
        <f t="shared" si="21"/>
        <v>76877918.1019575</v>
      </c>
      <c r="P33" s="30">
        <f t="shared" ref="P33" si="22">P6+P11+P13+P14+P15+P17+P20+P28+P29+P30+P31</f>
        <v>86904461.790996641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K33" s="31"/>
    </row>
    <row r="34" spans="1:193" s="31" customFormat="1" ht="15.75" x14ac:dyDescent="0.25">
      <c r="A34" s="39" t="s">
        <v>43</v>
      </c>
      <c r="B34" s="40" t="s">
        <v>25</v>
      </c>
      <c r="C34" s="27">
        <f>GSVA_cur!C34</f>
        <v>1716948.3994893769</v>
      </c>
      <c r="D34" s="27">
        <f>GSVA_cur!D34</f>
        <v>2118543.8162362869</v>
      </c>
      <c r="E34" s="27">
        <f>GSVA_cur!E34</f>
        <v>2623560.7872949191</v>
      </c>
      <c r="F34" s="27">
        <f>GSVA_cur!F34</f>
        <v>2700724</v>
      </c>
      <c r="G34" s="27">
        <f>GSVA_cur!G34</f>
        <v>3478703</v>
      </c>
      <c r="H34" s="27">
        <f>GSVA_cur!H34</f>
        <v>3529141.0000000005</v>
      </c>
      <c r="I34" s="27">
        <f>GSVA_cur!I34</f>
        <v>3123660</v>
      </c>
      <c r="J34" s="27">
        <f>GSVA_cur!J34</f>
        <v>3980968</v>
      </c>
      <c r="K34" s="27">
        <f>GSVA_cur!K34</f>
        <v>4421242</v>
      </c>
      <c r="L34" s="27">
        <f>GSVA_cur!L34</f>
        <v>5080219</v>
      </c>
      <c r="M34" s="27">
        <f>GSVA_cur!M34</f>
        <v>5428937.6721113799</v>
      </c>
      <c r="N34" s="27">
        <f>GSVA_cur!N34</f>
        <v>6545093.453877815</v>
      </c>
      <c r="O34" s="27">
        <f>GSVA_cur!O34</f>
        <v>7257714.8475640099</v>
      </c>
      <c r="P34" s="27">
        <f>GSVA_cur!P34</f>
        <v>8184084.8326945063</v>
      </c>
      <c r="Q34" s="8"/>
      <c r="R34" s="8"/>
      <c r="S34" s="8"/>
      <c r="T34" s="8"/>
      <c r="U34" s="7"/>
      <c r="V34" s="8"/>
      <c r="W34" s="8"/>
      <c r="X34" s="7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</row>
    <row r="35" spans="1:193" s="31" customFormat="1" ht="15.75" x14ac:dyDescent="0.25">
      <c r="A35" s="39" t="s">
        <v>44</v>
      </c>
      <c r="B35" s="40" t="s">
        <v>24</v>
      </c>
      <c r="C35" s="27">
        <f>GSVA_cur!C35</f>
        <v>1172402</v>
      </c>
      <c r="D35" s="27">
        <f>GSVA_cur!D35</f>
        <v>1551663</v>
      </c>
      <c r="E35" s="27">
        <f>GSVA_cur!E35</f>
        <v>1581969</v>
      </c>
      <c r="F35" s="27">
        <f>GSVA_cur!F35</f>
        <v>1925538</v>
      </c>
      <c r="G35" s="27">
        <f>GSVA_cur!G35</f>
        <v>2734023</v>
      </c>
      <c r="H35" s="27">
        <f>GSVA_cur!H35</f>
        <v>2269658</v>
      </c>
      <c r="I35" s="27">
        <f>GSVA_cur!I35</f>
        <v>2090534.9999999998</v>
      </c>
      <c r="J35" s="27">
        <f>GSVA_cur!J35</f>
        <v>2218527</v>
      </c>
      <c r="K35" s="27">
        <f>GSVA_cur!K35</f>
        <v>2216187</v>
      </c>
      <c r="L35" s="27">
        <f>GSVA_cur!L35</f>
        <v>3531540</v>
      </c>
      <c r="M35" s="27">
        <f>GSVA_cur!M35</f>
        <v>4800180</v>
      </c>
      <c r="N35" s="27">
        <f>GSVA_cur!N35</f>
        <v>5909875</v>
      </c>
      <c r="O35" s="27">
        <f>GSVA_cur!O35</f>
        <v>4625912</v>
      </c>
      <c r="P35" s="27">
        <f>GSVA_cur!P35</f>
        <v>5186496.6472979262</v>
      </c>
      <c r="Q35" s="8"/>
      <c r="R35" s="8"/>
      <c r="S35" s="8"/>
      <c r="T35" s="8"/>
      <c r="U35" s="7"/>
      <c r="V35" s="8"/>
      <c r="W35" s="8"/>
      <c r="X35" s="7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</row>
    <row r="36" spans="1:193" s="31" customFormat="1" ht="15.75" x14ac:dyDescent="0.25">
      <c r="A36" s="39" t="s">
        <v>45</v>
      </c>
      <c r="B36" s="40" t="s">
        <v>63</v>
      </c>
      <c r="C36" s="29">
        <f>C33+C34-C35</f>
        <v>22849744.376739856</v>
      </c>
      <c r="D36" s="29">
        <f t="shared" ref="D36:O36" si="23">D33+D34-D35</f>
        <v>26132682.320286009</v>
      </c>
      <c r="E36" s="29">
        <f t="shared" si="23"/>
        <v>29214273.13195521</v>
      </c>
      <c r="F36" s="29">
        <f t="shared" si="23"/>
        <v>31573235.068613201</v>
      </c>
      <c r="G36" s="29">
        <f t="shared" si="23"/>
        <v>34011899.015427619</v>
      </c>
      <c r="H36" s="29">
        <f t="shared" si="23"/>
        <v>38687948.986964837</v>
      </c>
      <c r="I36" s="29">
        <f t="shared" si="23"/>
        <v>43112771.023317501</v>
      </c>
      <c r="J36" s="29">
        <f t="shared" si="23"/>
        <v>48360363.99578204</v>
      </c>
      <c r="K36" s="29">
        <f t="shared" si="23"/>
        <v>53257326.468618527</v>
      </c>
      <c r="L36" s="29">
        <f t="shared" si="23"/>
        <v>51539717.473325439</v>
      </c>
      <c r="M36" s="29">
        <f t="shared" si="23"/>
        <v>58720462.23811397</v>
      </c>
      <c r="N36" s="29">
        <f t="shared" si="23"/>
        <v>68837168.370401308</v>
      </c>
      <c r="O36" s="29">
        <f t="shared" si="23"/>
        <v>79509720.949521512</v>
      </c>
      <c r="P36" s="29">
        <f t="shared" ref="P36" si="24">P33+P34-P35</f>
        <v>89902049.976393223</v>
      </c>
      <c r="Q36" s="8"/>
      <c r="R36" s="8"/>
      <c r="S36" s="8"/>
      <c r="T36" s="8"/>
      <c r="U36" s="7"/>
      <c r="V36" s="8"/>
      <c r="W36" s="8"/>
      <c r="X36" s="7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</row>
    <row r="37" spans="1:193" s="31" customFormat="1" ht="15.75" x14ac:dyDescent="0.25">
      <c r="A37" s="39" t="s">
        <v>46</v>
      </c>
      <c r="B37" s="40" t="s">
        <v>42</v>
      </c>
      <c r="C37" s="27">
        <f>GSVA_cur!C37</f>
        <v>1050570</v>
      </c>
      <c r="D37" s="27">
        <f>GSVA_cur!D37</f>
        <v>1067200</v>
      </c>
      <c r="E37" s="27">
        <f>GSVA_cur!E37</f>
        <v>1084080</v>
      </c>
      <c r="F37" s="27">
        <f>GSVA_cur!F37</f>
        <v>1101240</v>
      </c>
      <c r="G37" s="27">
        <f>GSVA_cur!G37</f>
        <v>1118670</v>
      </c>
      <c r="H37" s="27">
        <f>GSVA_cur!H37</f>
        <v>1136380</v>
      </c>
      <c r="I37" s="27">
        <f>GSVA_cur!I37</f>
        <v>1169960</v>
      </c>
      <c r="J37" s="27">
        <f>GSVA_cur!J37</f>
        <v>1187780</v>
      </c>
      <c r="K37" s="27">
        <f>GSVA_cur!K37</f>
        <v>1205590</v>
      </c>
      <c r="L37" s="27">
        <f>GSVA_cur!L37</f>
        <v>1223410</v>
      </c>
      <c r="M37" s="27">
        <f>GSVA_cur!M37</f>
        <v>1241540</v>
      </c>
      <c r="N37" s="27">
        <f>GSVA_cur!N37</f>
        <v>1259910</v>
      </c>
      <c r="O37" s="27">
        <f>GSVA_cur!O37</f>
        <v>1278270</v>
      </c>
      <c r="P37" s="27">
        <f>GSVA_cur!P37</f>
        <v>1296897.5505393241</v>
      </c>
      <c r="Q37" s="2"/>
      <c r="R37" s="2"/>
      <c r="S37" s="2"/>
      <c r="T37" s="2"/>
      <c r="U37" s="6"/>
      <c r="V37" s="2"/>
      <c r="W37" s="2"/>
      <c r="X37" s="6"/>
      <c r="Y37" s="6"/>
      <c r="Z37" s="6"/>
      <c r="AA37" s="6"/>
      <c r="AB37" s="6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</row>
    <row r="38" spans="1:193" s="31" customFormat="1" ht="15.75" x14ac:dyDescent="0.25">
      <c r="A38" s="39" t="s">
        <v>47</v>
      </c>
      <c r="B38" s="40" t="s">
        <v>64</v>
      </c>
      <c r="C38" s="29">
        <f>C36/C37*1000</f>
        <v>21749.854247446485</v>
      </c>
      <c r="D38" s="29">
        <f t="shared" ref="D38:O38" si="25">D36/D37*1000</f>
        <v>24487.146102217026</v>
      </c>
      <c r="E38" s="29">
        <f t="shared" si="25"/>
        <v>26948.447653268402</v>
      </c>
      <c r="F38" s="29">
        <f t="shared" si="25"/>
        <v>28670.621361931277</v>
      </c>
      <c r="G38" s="29">
        <f t="shared" si="25"/>
        <v>30403.871575556346</v>
      </c>
      <c r="H38" s="29">
        <f t="shared" si="25"/>
        <v>34044.904861899042</v>
      </c>
      <c r="I38" s="29">
        <f t="shared" si="25"/>
        <v>36849.782063760729</v>
      </c>
      <c r="J38" s="29">
        <f t="shared" si="25"/>
        <v>40714.916900252603</v>
      </c>
      <c r="K38" s="29">
        <f t="shared" si="25"/>
        <v>44175.322015460093</v>
      </c>
      <c r="L38" s="29">
        <f t="shared" si="25"/>
        <v>42127.919073185149</v>
      </c>
      <c r="M38" s="29">
        <f t="shared" si="25"/>
        <v>47296.472315119907</v>
      </c>
      <c r="N38" s="29">
        <f t="shared" si="25"/>
        <v>54636.575922408192</v>
      </c>
      <c r="O38" s="29">
        <f t="shared" si="25"/>
        <v>62201.038082346859</v>
      </c>
      <c r="P38" s="29">
        <f t="shared" ref="P38" si="26">P36/P37*1000</f>
        <v>69320.85725584632</v>
      </c>
      <c r="Q38" s="2"/>
      <c r="R38" s="2"/>
      <c r="S38" s="2"/>
      <c r="T38" s="2"/>
      <c r="U38" s="6"/>
      <c r="V38" s="2"/>
      <c r="W38" s="2"/>
      <c r="X38" s="7"/>
      <c r="Y38" s="7"/>
      <c r="Z38" s="7"/>
      <c r="AA38" s="7"/>
      <c r="AB38" s="7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CC38" s="28"/>
      <c r="CD38" s="28"/>
      <c r="CE38" s="28"/>
      <c r="CF38" s="28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G39"/>
  <sheetViews>
    <sheetView tabSelected="1" zoomScale="118" zoomScaleNormal="118" zoomScaleSheetLayoutView="100" workbookViewId="0">
      <pane xSplit="2" ySplit="5" topLeftCell="C24" activePane="bottomRight" state="frozen"/>
      <selection activeCell="I43" sqref="I43"/>
      <selection pane="topRight" activeCell="I43" sqref="I43"/>
      <selection pane="bottomLeft" activeCell="I43" sqref="I43"/>
      <selection pane="bottomRight" activeCell="R12" sqref="R12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0.85546875" style="2" customWidth="1"/>
    <col min="7" max="16" width="11.85546875" style="6" customWidth="1"/>
    <col min="17" max="17" width="11.7109375" style="6" customWidth="1"/>
    <col min="18" max="18" width="9.140625" style="2" customWidth="1"/>
    <col min="19" max="19" width="10.85546875" style="2" customWidth="1"/>
    <col min="20" max="20" width="10.85546875" style="6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6" customWidth="1"/>
    <col min="111" max="115" width="9.140625" style="6" hidden="1" customWidth="1"/>
    <col min="116" max="116" width="9.140625" style="6" customWidth="1"/>
    <col min="117" max="121" width="9.140625" style="6" hidden="1" customWidth="1"/>
    <col min="122" max="122" width="9.140625" style="6" customWidth="1"/>
    <col min="123" max="127" width="9.140625" style="6" hidden="1" customWidth="1"/>
    <col min="128" max="128" width="9.140625" style="6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21" x14ac:dyDescent="0.35">
      <c r="A1" s="2" t="s">
        <v>53</v>
      </c>
      <c r="B1" s="21" t="s">
        <v>66</v>
      </c>
      <c r="S1" s="7"/>
    </row>
    <row r="2" spans="1:189" ht="15.75" x14ac:dyDescent="0.25">
      <c r="A2" s="11" t="s">
        <v>52</v>
      </c>
      <c r="I2" s="6" t="str">
        <f>[1]GSVA_cur!$I$3</f>
        <v>01.08.2025</v>
      </c>
    </row>
    <row r="3" spans="1:189" ht="15.75" x14ac:dyDescent="0.25">
      <c r="A3" s="11"/>
    </row>
    <row r="4" spans="1:189" ht="15.75" x14ac:dyDescent="0.25">
      <c r="A4" s="11"/>
      <c r="E4" s="10"/>
      <c r="F4" s="10" t="s">
        <v>57</v>
      </c>
    </row>
    <row r="5" spans="1:189" ht="15.75" x14ac:dyDescent="0.25">
      <c r="A5" s="12" t="s">
        <v>0</v>
      </c>
      <c r="B5" s="13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20" t="s">
        <v>65</v>
      </c>
      <c r="H5" s="20" t="s">
        <v>67</v>
      </c>
      <c r="I5" s="20" t="s">
        <v>68</v>
      </c>
      <c r="J5" s="20" t="s">
        <v>69</v>
      </c>
      <c r="K5" s="20" t="s">
        <v>70</v>
      </c>
      <c r="L5" s="20" t="s">
        <v>71</v>
      </c>
      <c r="M5" s="22" t="s">
        <v>72</v>
      </c>
      <c r="N5" s="22" t="s">
        <v>73</v>
      </c>
      <c r="O5" s="22" t="s">
        <v>74</v>
      </c>
      <c r="P5" s="22" t="s">
        <v>76</v>
      </c>
    </row>
    <row r="6" spans="1:189" s="24" customFormat="1" ht="15.75" x14ac:dyDescent="0.25">
      <c r="A6" s="32" t="s">
        <v>26</v>
      </c>
      <c r="B6" s="33" t="s">
        <v>2</v>
      </c>
      <c r="C6" s="25">
        <f>SUM(C7:C10)</f>
        <v>5785164.887318884</v>
      </c>
      <c r="D6" s="25">
        <f t="shared" ref="D6:P6" si="0">SUM(D7:D10)</f>
        <v>6349084.8216240145</v>
      </c>
      <c r="E6" s="25">
        <f t="shared" si="0"/>
        <v>5448680.4915301865</v>
      </c>
      <c r="F6" s="25">
        <f t="shared" si="0"/>
        <v>5392865.2384062875</v>
      </c>
      <c r="G6" s="25">
        <f t="shared" si="0"/>
        <v>5514635.3896770887</v>
      </c>
      <c r="H6" s="25">
        <f t="shared" si="0"/>
        <v>6083952.6531783063</v>
      </c>
      <c r="I6" s="25">
        <f t="shared" si="0"/>
        <v>6575072.4338843841</v>
      </c>
      <c r="J6" s="25">
        <f t="shared" si="0"/>
        <v>6478121.4052083716</v>
      </c>
      <c r="K6" s="25">
        <f t="shared" si="0"/>
        <v>6518670.8132257229</v>
      </c>
      <c r="L6" s="25">
        <f t="shared" si="0"/>
        <v>7046892.3583421987</v>
      </c>
      <c r="M6" s="25">
        <f t="shared" si="0"/>
        <v>7303290.9756000591</v>
      </c>
      <c r="N6" s="25">
        <f t="shared" si="0"/>
        <v>7672230.540469164</v>
      </c>
      <c r="O6" s="25">
        <f t="shared" si="0"/>
        <v>7998143.9531467762</v>
      </c>
      <c r="P6" s="25">
        <f t="shared" si="0"/>
        <v>8318393.8076808359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G6" s="31"/>
    </row>
    <row r="7" spans="1:189" ht="15.75" x14ac:dyDescent="0.25">
      <c r="A7" s="16">
        <v>1.1000000000000001</v>
      </c>
      <c r="B7" s="17" t="s">
        <v>59</v>
      </c>
      <c r="C7" s="1">
        <v>3905313.8333744877</v>
      </c>
      <c r="D7" s="1">
        <v>4367512.6625670511</v>
      </c>
      <c r="E7" s="1">
        <v>3290765.2827938795</v>
      </c>
      <c r="F7" s="1">
        <v>3073813.5702902647</v>
      </c>
      <c r="G7" s="1">
        <v>3063960.1793487975</v>
      </c>
      <c r="H7" s="1">
        <v>3385781.2073024181</v>
      </c>
      <c r="I7" s="1">
        <v>3653968.9171336968</v>
      </c>
      <c r="J7" s="1">
        <v>3383437.4766288348</v>
      </c>
      <c r="K7" s="4">
        <v>3133173.4940329734</v>
      </c>
      <c r="L7" s="4">
        <v>3384428.6125237495</v>
      </c>
      <c r="M7" s="4">
        <v>3453481.2246884671</v>
      </c>
      <c r="N7" s="4">
        <v>3668512.6323934426</v>
      </c>
      <c r="O7" s="4">
        <v>3881655.3395746453</v>
      </c>
      <c r="P7" s="4">
        <v>3918974.5054295687</v>
      </c>
      <c r="Q7" s="7"/>
      <c r="R7" s="8"/>
      <c r="S7" s="8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6"/>
      <c r="GE7" s="6"/>
      <c r="GF7" s="6"/>
    </row>
    <row r="8" spans="1:189" ht="15.75" x14ac:dyDescent="0.25">
      <c r="A8" s="16">
        <v>1.2</v>
      </c>
      <c r="B8" s="17" t="s">
        <v>60</v>
      </c>
      <c r="C8" s="1">
        <v>1179519.9945383007</v>
      </c>
      <c r="D8" s="1">
        <v>1225992.997991198</v>
      </c>
      <c r="E8" s="1">
        <v>1370610.0627288651</v>
      </c>
      <c r="F8" s="1">
        <v>1504229.9418533405</v>
      </c>
      <c r="G8" s="1">
        <v>1596183.1812613513</v>
      </c>
      <c r="H8" s="1">
        <v>1722310.165924961</v>
      </c>
      <c r="I8" s="1">
        <v>1864563.6865001516</v>
      </c>
      <c r="J8" s="1">
        <v>2009256.6448219186</v>
      </c>
      <c r="K8" s="4">
        <v>2239491.1707426677</v>
      </c>
      <c r="L8" s="4">
        <v>2476540.2311316459</v>
      </c>
      <c r="M8" s="4">
        <v>2580560.9231353258</v>
      </c>
      <c r="N8" s="4">
        <v>2649685.2239514454</v>
      </c>
      <c r="O8" s="4">
        <v>2716228.0855831895</v>
      </c>
      <c r="P8" s="4">
        <v>2900587.1580677149</v>
      </c>
      <c r="Q8" s="7"/>
      <c r="R8" s="8"/>
      <c r="S8" s="8"/>
      <c r="T8" s="7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6"/>
      <c r="GE8" s="6"/>
      <c r="GF8" s="6"/>
    </row>
    <row r="9" spans="1:189" ht="15.75" x14ac:dyDescent="0.25">
      <c r="A9" s="16">
        <v>1.3</v>
      </c>
      <c r="B9" s="17" t="s">
        <v>61</v>
      </c>
      <c r="C9" s="1">
        <v>414085.87773253722</v>
      </c>
      <c r="D9" s="1">
        <v>420591.40110563458</v>
      </c>
      <c r="E9" s="1">
        <v>427998.91242362792</v>
      </c>
      <c r="F9" s="1">
        <v>417324.89482023165</v>
      </c>
      <c r="G9" s="1">
        <v>430498.05405055947</v>
      </c>
      <c r="H9" s="1">
        <v>548694.83140434569</v>
      </c>
      <c r="I9" s="1">
        <v>560602.72772737558</v>
      </c>
      <c r="J9" s="1">
        <v>574651.63637997408</v>
      </c>
      <c r="K9" s="4">
        <v>601801.04243428307</v>
      </c>
      <c r="L9" s="4">
        <v>614846.54990450607</v>
      </c>
      <c r="M9" s="4">
        <v>627003.11942946422</v>
      </c>
      <c r="N9" s="4">
        <v>640359.88046431472</v>
      </c>
      <c r="O9" s="4">
        <v>664187.5029541757</v>
      </c>
      <c r="P9" s="4">
        <v>689732.65001442423</v>
      </c>
      <c r="Q9" s="7"/>
      <c r="R9" s="8"/>
      <c r="S9" s="8"/>
      <c r="T9" s="7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6"/>
      <c r="GE9" s="6"/>
      <c r="GF9" s="6"/>
    </row>
    <row r="10" spans="1:189" ht="15.75" x14ac:dyDescent="0.25">
      <c r="A10" s="16">
        <v>1.4</v>
      </c>
      <c r="B10" s="17" t="s">
        <v>62</v>
      </c>
      <c r="C10" s="1">
        <v>286245.18167355738</v>
      </c>
      <c r="D10" s="1">
        <v>334987.75996013044</v>
      </c>
      <c r="E10" s="1">
        <v>359306.23358381481</v>
      </c>
      <c r="F10" s="1">
        <v>397496.83144245046</v>
      </c>
      <c r="G10" s="1">
        <v>423993.97501638089</v>
      </c>
      <c r="H10" s="1">
        <v>427166.4485465805</v>
      </c>
      <c r="I10" s="1">
        <v>495937.10252315953</v>
      </c>
      <c r="J10" s="1">
        <v>510775.6473776435</v>
      </c>
      <c r="K10" s="4">
        <v>544205.10601579887</v>
      </c>
      <c r="L10" s="4">
        <v>571076.96478229808</v>
      </c>
      <c r="M10" s="4">
        <v>642245.70834680181</v>
      </c>
      <c r="N10" s="4">
        <v>713672.80365996202</v>
      </c>
      <c r="O10" s="4">
        <v>736073.02503476525</v>
      </c>
      <c r="P10" s="4">
        <v>809099.49416912731</v>
      </c>
      <c r="Q10" s="7"/>
      <c r="R10" s="8"/>
      <c r="S10" s="8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6"/>
      <c r="GE10" s="6"/>
      <c r="GF10" s="6"/>
    </row>
    <row r="11" spans="1:189" ht="15.75" x14ac:dyDescent="0.25">
      <c r="A11" s="18" t="s">
        <v>31</v>
      </c>
      <c r="B11" s="17" t="s">
        <v>3</v>
      </c>
      <c r="C11" s="1">
        <v>17365.167885492639</v>
      </c>
      <c r="D11" s="1">
        <v>18683.047360647932</v>
      </c>
      <c r="E11" s="1">
        <v>118743.42792357957</v>
      </c>
      <c r="F11" s="1">
        <v>46772.59334257774</v>
      </c>
      <c r="G11" s="1">
        <v>142385.68008351815</v>
      </c>
      <c r="H11" s="1">
        <v>92226.044180398982</v>
      </c>
      <c r="I11" s="1">
        <v>26355.543908304615</v>
      </c>
      <c r="J11" s="1">
        <v>55916.132830832154</v>
      </c>
      <c r="K11" s="4">
        <v>209353.11230821768</v>
      </c>
      <c r="L11" s="4">
        <v>30463.744670551354</v>
      </c>
      <c r="M11" s="4">
        <v>39845.52350200191</v>
      </c>
      <c r="N11" s="4">
        <v>121591.48465057969</v>
      </c>
      <c r="O11" s="4">
        <v>96952.405023826796</v>
      </c>
      <c r="P11" s="4">
        <v>117584.02523628088</v>
      </c>
      <c r="Q11" s="7"/>
      <c r="R11" s="8"/>
      <c r="S11" s="8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6"/>
      <c r="GE11" s="6"/>
      <c r="GF11" s="6"/>
    </row>
    <row r="12" spans="1:189" s="31" customFormat="1" ht="15.75" x14ac:dyDescent="0.25">
      <c r="A12" s="34"/>
      <c r="B12" s="35" t="s">
        <v>28</v>
      </c>
      <c r="C12" s="29">
        <f>C6+C11</f>
        <v>5802530.0552043766</v>
      </c>
      <c r="D12" s="29">
        <f t="shared" ref="D12:P12" si="1">D6+D11</f>
        <v>6367767.868984662</v>
      </c>
      <c r="E12" s="29">
        <f t="shared" si="1"/>
        <v>5567423.9194537662</v>
      </c>
      <c r="F12" s="29">
        <f t="shared" si="1"/>
        <v>5439637.8317488655</v>
      </c>
      <c r="G12" s="29">
        <f t="shared" si="1"/>
        <v>5657021.0697606066</v>
      </c>
      <c r="H12" s="29">
        <f t="shared" si="1"/>
        <v>6176178.6973587051</v>
      </c>
      <c r="I12" s="29">
        <f t="shared" si="1"/>
        <v>6601427.9777926886</v>
      </c>
      <c r="J12" s="29">
        <f t="shared" si="1"/>
        <v>6534037.5380392037</v>
      </c>
      <c r="K12" s="29">
        <f t="shared" si="1"/>
        <v>6728023.925533941</v>
      </c>
      <c r="L12" s="29">
        <f t="shared" si="1"/>
        <v>7077356.1030127499</v>
      </c>
      <c r="M12" s="29">
        <f t="shared" si="1"/>
        <v>7343136.4991020607</v>
      </c>
      <c r="N12" s="29">
        <f t="shared" si="1"/>
        <v>7793822.0251197433</v>
      </c>
      <c r="O12" s="29">
        <f t="shared" si="1"/>
        <v>8095096.3581706034</v>
      </c>
      <c r="P12" s="29">
        <f t="shared" si="1"/>
        <v>8435977.8329171166</v>
      </c>
      <c r="Q12" s="7"/>
      <c r="R12" s="8"/>
      <c r="S12" s="8"/>
      <c r="T12" s="7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4"/>
      <c r="GE12" s="24"/>
      <c r="GF12" s="24"/>
    </row>
    <row r="13" spans="1:189" s="6" customFormat="1" ht="15.75" x14ac:dyDescent="0.25">
      <c r="A13" s="14" t="s">
        <v>32</v>
      </c>
      <c r="B13" s="15" t="s">
        <v>4</v>
      </c>
      <c r="C13" s="1">
        <v>1268069.1804579527</v>
      </c>
      <c r="D13" s="1">
        <v>789607.25591255631</v>
      </c>
      <c r="E13" s="1">
        <v>1691289.3457347094</v>
      </c>
      <c r="F13" s="1">
        <v>2376058.258156768</v>
      </c>
      <c r="G13" s="1">
        <v>2127001.6681161723</v>
      </c>
      <c r="H13" s="1">
        <v>2696745.1947433753</v>
      </c>
      <c r="I13" s="1">
        <v>2821757.8754993426</v>
      </c>
      <c r="J13" s="1">
        <v>2733150.9453098793</v>
      </c>
      <c r="K13" s="1">
        <v>2825356.1403618986</v>
      </c>
      <c r="L13" s="1">
        <v>3233003.6686152499</v>
      </c>
      <c r="M13" s="1">
        <v>3309349.1420238502</v>
      </c>
      <c r="N13" s="1">
        <v>3632977.5947810607</v>
      </c>
      <c r="O13" s="1">
        <v>4079786.8723771875</v>
      </c>
      <c r="P13" s="1">
        <v>4124784.7316808542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G13" s="2"/>
    </row>
    <row r="14" spans="1:189" ht="30" x14ac:dyDescent="0.25">
      <c r="A14" s="18" t="s">
        <v>33</v>
      </c>
      <c r="B14" s="17" t="s">
        <v>5</v>
      </c>
      <c r="C14" s="1">
        <v>243117.63127509662</v>
      </c>
      <c r="D14" s="1">
        <v>254246.47566872233</v>
      </c>
      <c r="E14" s="1">
        <v>290370.75391943869</v>
      </c>
      <c r="F14" s="1">
        <v>322637.12427930435</v>
      </c>
      <c r="G14" s="1">
        <v>279769.06359542464</v>
      </c>
      <c r="H14" s="1">
        <v>274926.46251049038</v>
      </c>
      <c r="I14" s="1">
        <v>377199.74410294637</v>
      </c>
      <c r="J14" s="1">
        <v>535573.31875409232</v>
      </c>
      <c r="K14" s="1">
        <v>579003.72002148197</v>
      </c>
      <c r="L14" s="1">
        <v>527886.12929980119</v>
      </c>
      <c r="M14" s="1">
        <v>546661.83775930863</v>
      </c>
      <c r="N14" s="1">
        <v>657157.82935795689</v>
      </c>
      <c r="O14" s="1">
        <v>803576.04978918529</v>
      </c>
      <c r="P14" s="1">
        <v>946845.64011021226</v>
      </c>
      <c r="Q14" s="7"/>
      <c r="R14" s="8"/>
      <c r="S14" s="8"/>
      <c r="T14" s="7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7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7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6"/>
      <c r="GE14" s="6"/>
      <c r="GF14" s="6"/>
    </row>
    <row r="15" spans="1:189" ht="15.75" x14ac:dyDescent="0.25">
      <c r="A15" s="18" t="s">
        <v>34</v>
      </c>
      <c r="B15" s="17" t="s">
        <v>6</v>
      </c>
      <c r="C15" s="1">
        <v>2576408.2521551643</v>
      </c>
      <c r="D15" s="1">
        <v>2423545.4017721233</v>
      </c>
      <c r="E15" s="1">
        <v>2543683.5657943371</v>
      </c>
      <c r="F15" s="1">
        <v>2423766.1470774258</v>
      </c>
      <c r="G15" s="1">
        <v>2686624.3358101249</v>
      </c>
      <c r="H15" s="1">
        <v>2779939.9172762833</v>
      </c>
      <c r="I15" s="1">
        <v>2936681.9736547614</v>
      </c>
      <c r="J15" s="1">
        <v>3193016.7663297309</v>
      </c>
      <c r="K15" s="1">
        <v>3179578.5289624552</v>
      </c>
      <c r="L15" s="1">
        <v>2910749.2399180578</v>
      </c>
      <c r="M15" s="1">
        <v>3454087.981085517</v>
      </c>
      <c r="N15" s="1">
        <v>4958665.7305055931</v>
      </c>
      <c r="O15" s="1">
        <v>5973133.262712013</v>
      </c>
      <c r="P15" s="1">
        <v>6980889.057219781</v>
      </c>
      <c r="Q15" s="7"/>
      <c r="R15" s="8"/>
      <c r="S15" s="8"/>
      <c r="T15" s="7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7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7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7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6"/>
      <c r="GE15" s="6"/>
      <c r="GF15" s="6"/>
    </row>
    <row r="16" spans="1:189" s="31" customFormat="1" ht="15.75" x14ac:dyDescent="0.25">
      <c r="A16" s="34"/>
      <c r="B16" s="35" t="s">
        <v>29</v>
      </c>
      <c r="C16" s="29">
        <f>+C13+C14+C15</f>
        <v>4087595.0638882136</v>
      </c>
      <c r="D16" s="29">
        <f t="shared" ref="D16:H16" si="2">+D13+D14+D15</f>
        <v>3467399.1333534019</v>
      </c>
      <c r="E16" s="29">
        <f t="shared" si="2"/>
        <v>4525343.6654484849</v>
      </c>
      <c r="F16" s="29">
        <f t="shared" si="2"/>
        <v>5122461.5295134988</v>
      </c>
      <c r="G16" s="29">
        <f t="shared" si="2"/>
        <v>5093395.0675217221</v>
      </c>
      <c r="H16" s="29">
        <f t="shared" si="2"/>
        <v>5751611.5745301489</v>
      </c>
      <c r="I16" s="29">
        <f t="shared" ref="I16:K16" si="3">+I13+I14+I15</f>
        <v>6135639.593257051</v>
      </c>
      <c r="J16" s="29">
        <f t="shared" si="3"/>
        <v>6461741.0303937029</v>
      </c>
      <c r="K16" s="29">
        <f t="shared" si="3"/>
        <v>6583938.3893458359</v>
      </c>
      <c r="L16" s="29">
        <f t="shared" ref="L16:M16" si="4">+L13+L14+L15</f>
        <v>6671639.0378331095</v>
      </c>
      <c r="M16" s="29">
        <f t="shared" si="4"/>
        <v>7310098.9608686753</v>
      </c>
      <c r="N16" s="29">
        <f t="shared" ref="N16:O16" si="5">+N13+N14+N15</f>
        <v>9248801.1546446104</v>
      </c>
      <c r="O16" s="29">
        <f t="shared" si="5"/>
        <v>10856496.184878387</v>
      </c>
      <c r="P16" s="29">
        <f t="shared" ref="P16" si="6">+P13+P14+P15</f>
        <v>12052519.429010848</v>
      </c>
      <c r="Q16" s="7"/>
      <c r="R16" s="8"/>
      <c r="S16" s="8"/>
      <c r="T16" s="7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6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6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6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4"/>
      <c r="GE16" s="24"/>
      <c r="GF16" s="24"/>
    </row>
    <row r="17" spans="1:189" s="24" customFormat="1" ht="15.75" x14ac:dyDescent="0.25">
      <c r="A17" s="32" t="s">
        <v>35</v>
      </c>
      <c r="B17" s="33" t="s">
        <v>7</v>
      </c>
      <c r="C17" s="25">
        <f>C18+C19</f>
        <v>4325612.0754727535</v>
      </c>
      <c r="D17" s="25">
        <f t="shared" ref="D17:H17" si="7">D18+D19</f>
        <v>4597175.2046314524</v>
      </c>
      <c r="E17" s="25">
        <f t="shared" si="7"/>
        <v>4480450.688112624</v>
      </c>
      <c r="F17" s="25">
        <f t="shared" si="7"/>
        <v>4166903.9216541429</v>
      </c>
      <c r="G17" s="25">
        <f t="shared" si="7"/>
        <v>4861650.5978906136</v>
      </c>
      <c r="H17" s="25">
        <f t="shared" si="7"/>
        <v>5231317.686857013</v>
      </c>
      <c r="I17" s="25">
        <f t="shared" ref="I17:K17" si="8">I18+I19</f>
        <v>5862682.7647150317</v>
      </c>
      <c r="J17" s="25">
        <f t="shared" si="8"/>
        <v>6343853.7153148381</v>
      </c>
      <c r="K17" s="25">
        <f t="shared" si="8"/>
        <v>6592991.8187053595</v>
      </c>
      <c r="L17" s="25">
        <f t="shared" ref="L17:M17" si="9">L18+L19</f>
        <v>5478882.2775752563</v>
      </c>
      <c r="M17" s="25">
        <f t="shared" si="9"/>
        <v>5278430.3273204137</v>
      </c>
      <c r="N17" s="25">
        <f t="shared" ref="N17:O17" si="10">N18+N19</f>
        <v>6126679.8770528128</v>
      </c>
      <c r="O17" s="25">
        <f t="shared" si="10"/>
        <v>6144142.8963471707</v>
      </c>
      <c r="P17" s="25">
        <f t="shared" ref="P17" si="11">P18+P19</f>
        <v>6427055.708597796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G17" s="31"/>
    </row>
    <row r="18" spans="1:189" ht="15.75" x14ac:dyDescent="0.25">
      <c r="A18" s="16">
        <v>6.1</v>
      </c>
      <c r="B18" s="17" t="s">
        <v>8</v>
      </c>
      <c r="C18" s="4">
        <v>4056408.9689381476</v>
      </c>
      <c r="D18" s="4">
        <v>4330890.0605218764</v>
      </c>
      <c r="E18" s="4">
        <v>4203782.4343359666</v>
      </c>
      <c r="F18" s="4">
        <v>3906189.123289811</v>
      </c>
      <c r="G18" s="4">
        <v>4591463.5579705257</v>
      </c>
      <c r="H18" s="4">
        <v>4952552.9225719217</v>
      </c>
      <c r="I18" s="4">
        <v>5552968.3000902031</v>
      </c>
      <c r="J18" s="4">
        <v>5997743.9614924202</v>
      </c>
      <c r="K18" s="4">
        <v>6236663.7612686334</v>
      </c>
      <c r="L18" s="4">
        <v>5345592.3306089425</v>
      </c>
      <c r="M18" s="4">
        <v>5101331.3667568872</v>
      </c>
      <c r="N18" s="4">
        <v>5748590.9387836494</v>
      </c>
      <c r="O18" s="4">
        <v>5651074.0940109501</v>
      </c>
      <c r="P18" s="4">
        <v>5918784.5987969115</v>
      </c>
      <c r="Q18" s="7"/>
      <c r="R18" s="8"/>
      <c r="S18" s="8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6"/>
      <c r="GE18" s="6"/>
      <c r="GF18" s="6"/>
    </row>
    <row r="19" spans="1:189" ht="15.75" x14ac:dyDescent="0.25">
      <c r="A19" s="16">
        <v>6.2</v>
      </c>
      <c r="B19" s="17" t="s">
        <v>9</v>
      </c>
      <c r="C19" s="4">
        <v>269203.10653460561</v>
      </c>
      <c r="D19" s="4">
        <v>266285.14410957595</v>
      </c>
      <c r="E19" s="4">
        <v>276668.2537766571</v>
      </c>
      <c r="F19" s="4">
        <v>260714.79836433177</v>
      </c>
      <c r="G19" s="4">
        <v>270187.03992008785</v>
      </c>
      <c r="H19" s="4">
        <v>278764.76428509172</v>
      </c>
      <c r="I19" s="4">
        <v>309714.46462482837</v>
      </c>
      <c r="J19" s="4">
        <v>346109.75382241764</v>
      </c>
      <c r="K19" s="4">
        <v>356328.05743672629</v>
      </c>
      <c r="L19" s="4">
        <v>133289.94696631414</v>
      </c>
      <c r="M19" s="4">
        <v>177098.96056352637</v>
      </c>
      <c r="N19" s="4">
        <v>378088.9382691636</v>
      </c>
      <c r="O19" s="4">
        <v>493068.8023362208</v>
      </c>
      <c r="P19" s="4">
        <v>508271.10980088438</v>
      </c>
      <c r="Q19" s="7"/>
      <c r="R19" s="8"/>
      <c r="S19" s="8"/>
      <c r="T19" s="7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6"/>
      <c r="GE19" s="6"/>
      <c r="GF19" s="6"/>
    </row>
    <row r="20" spans="1:189" s="24" customFormat="1" ht="30" x14ac:dyDescent="0.25">
      <c r="A20" s="36" t="s">
        <v>36</v>
      </c>
      <c r="B20" s="37" t="s">
        <v>10</v>
      </c>
      <c r="C20" s="25">
        <f>SUM(C21:C27)</f>
        <v>1484506.5506514679</v>
      </c>
      <c r="D20" s="25">
        <f t="shared" ref="D20:P20" si="12">SUM(D21:D27)</f>
        <v>1749017.2468741694</v>
      </c>
      <c r="E20" s="25">
        <f t="shared" si="12"/>
        <v>1938576.8805279834</v>
      </c>
      <c r="F20" s="25">
        <f t="shared" si="12"/>
        <v>2165371.8561976664</v>
      </c>
      <c r="G20" s="25">
        <f t="shared" si="12"/>
        <v>2450662.6074863737</v>
      </c>
      <c r="H20" s="25">
        <f t="shared" si="12"/>
        <v>2448816.990828116</v>
      </c>
      <c r="I20" s="25">
        <f t="shared" si="12"/>
        <v>2575759.8822681727</v>
      </c>
      <c r="J20" s="25">
        <f t="shared" si="12"/>
        <v>2873587.0354758324</v>
      </c>
      <c r="K20" s="25">
        <f t="shared" si="12"/>
        <v>3067234.351624127</v>
      </c>
      <c r="L20" s="25">
        <f t="shared" si="12"/>
        <v>2349939.7972928248</v>
      </c>
      <c r="M20" s="25">
        <f t="shared" si="12"/>
        <v>3187111.5259344378</v>
      </c>
      <c r="N20" s="25">
        <f t="shared" si="12"/>
        <v>3367413.0390605489</v>
      </c>
      <c r="O20" s="25">
        <f t="shared" si="12"/>
        <v>3537677.3609170495</v>
      </c>
      <c r="P20" s="25">
        <f t="shared" si="12"/>
        <v>3992219.2666718629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G20" s="31"/>
    </row>
    <row r="21" spans="1:189" ht="15.75" x14ac:dyDescent="0.25">
      <c r="A21" s="16">
        <v>7.1</v>
      </c>
      <c r="B21" s="17" t="s">
        <v>11</v>
      </c>
      <c r="C21" s="4">
        <v>202241.06802183919</v>
      </c>
      <c r="D21" s="4">
        <v>260549.76628833706</v>
      </c>
      <c r="E21" s="4">
        <v>308811.39240914531</v>
      </c>
      <c r="F21" s="4">
        <v>304032</v>
      </c>
      <c r="G21" s="4">
        <v>289274</v>
      </c>
      <c r="H21" s="4">
        <v>225794</v>
      </c>
      <c r="I21" s="4">
        <v>229982.02361300151</v>
      </c>
      <c r="J21" s="4">
        <v>275303.8432525617</v>
      </c>
      <c r="K21" s="4">
        <v>304639.09695398575</v>
      </c>
      <c r="L21" s="4">
        <v>200894</v>
      </c>
      <c r="M21" s="4">
        <v>258367.17479660024</v>
      </c>
      <c r="N21" s="4">
        <v>252887.01430446989</v>
      </c>
      <c r="O21" s="4">
        <v>277007.14920735918</v>
      </c>
      <c r="P21" s="4">
        <v>304419.18707020418</v>
      </c>
      <c r="Q21" s="7"/>
      <c r="R21" s="8"/>
      <c r="S21" s="8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6"/>
      <c r="GE21" s="6"/>
      <c r="GF21" s="6"/>
    </row>
    <row r="22" spans="1:189" ht="15.75" x14ac:dyDescent="0.25">
      <c r="A22" s="16">
        <v>7.2</v>
      </c>
      <c r="B22" s="17" t="s">
        <v>12</v>
      </c>
      <c r="C22" s="4">
        <v>758154.00096789061</v>
      </c>
      <c r="D22" s="4">
        <v>907744.51912371023</v>
      </c>
      <c r="E22" s="4">
        <v>1026526.6690924298</v>
      </c>
      <c r="F22" s="4">
        <v>1151386.1298619728</v>
      </c>
      <c r="G22" s="4">
        <v>1275602.3320252572</v>
      </c>
      <c r="H22" s="4">
        <v>1383909.8433270252</v>
      </c>
      <c r="I22" s="4">
        <v>1577847.9168517715</v>
      </c>
      <c r="J22" s="4">
        <v>1777070.948991037</v>
      </c>
      <c r="K22" s="4">
        <v>1936295.2591914036</v>
      </c>
      <c r="L22" s="4">
        <v>1393823.4813567339</v>
      </c>
      <c r="M22" s="4">
        <v>2055491.2498621698</v>
      </c>
      <c r="N22" s="4">
        <v>2109986.050827106</v>
      </c>
      <c r="O22" s="4">
        <v>2153402.7530746232</v>
      </c>
      <c r="P22" s="4">
        <v>2409883.6423362116</v>
      </c>
      <c r="Q22" s="7"/>
      <c r="R22" s="8"/>
      <c r="S22" s="8"/>
      <c r="T22" s="7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6"/>
      <c r="GE22" s="6"/>
      <c r="GF22" s="6"/>
    </row>
    <row r="23" spans="1:189" ht="15.75" x14ac:dyDescent="0.25">
      <c r="A23" s="16">
        <v>7.3</v>
      </c>
      <c r="B23" s="17" t="s">
        <v>13</v>
      </c>
      <c r="C23" s="4">
        <v>4366.9267940641421</v>
      </c>
      <c r="D23" s="4">
        <v>1812.7138308464382</v>
      </c>
      <c r="E23" s="4">
        <v>743.81853832099978</v>
      </c>
      <c r="F23" s="4">
        <v>981.13311287252054</v>
      </c>
      <c r="G23" s="4">
        <v>969.10033576499313</v>
      </c>
      <c r="H23" s="4">
        <v>1734.4987386662524</v>
      </c>
      <c r="I23" s="4">
        <v>1461.5474723748525</v>
      </c>
      <c r="J23" s="4">
        <v>2673.3894726029025</v>
      </c>
      <c r="K23" s="4">
        <v>2671.875275285417</v>
      </c>
      <c r="L23" s="4">
        <v>2306.0629694854078</v>
      </c>
      <c r="M23" s="4">
        <v>3803.5674593595486</v>
      </c>
      <c r="N23" s="4">
        <v>4563.1128827736475</v>
      </c>
      <c r="O23" s="4">
        <v>4516.6244707825226</v>
      </c>
      <c r="P23" s="4">
        <v>5073.5565668338713</v>
      </c>
      <c r="Q23" s="7"/>
      <c r="R23" s="8"/>
      <c r="S23" s="8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6"/>
      <c r="GE23" s="6"/>
      <c r="GF23" s="6"/>
    </row>
    <row r="24" spans="1:189" ht="15.75" x14ac:dyDescent="0.25">
      <c r="A24" s="16">
        <v>7.4</v>
      </c>
      <c r="B24" s="17" t="s">
        <v>14</v>
      </c>
      <c r="C24" s="4">
        <v>1476.3676831370576</v>
      </c>
      <c r="D24" s="4">
        <v>3715.9050685388975</v>
      </c>
      <c r="E24" s="4">
        <v>1679.3810160845992</v>
      </c>
      <c r="F24" s="4">
        <v>3940.8306687199092</v>
      </c>
      <c r="G24" s="4">
        <v>10044.376671791586</v>
      </c>
      <c r="H24" s="4">
        <v>11903.552339926855</v>
      </c>
      <c r="I24" s="4">
        <v>14822.01354224918</v>
      </c>
      <c r="J24" s="4">
        <v>7399.99075093595</v>
      </c>
      <c r="K24" s="4">
        <v>12083.250080578153</v>
      </c>
      <c r="L24" s="4">
        <v>-878.84877300994401</v>
      </c>
      <c r="M24" s="4">
        <v>-1965.9910464790971</v>
      </c>
      <c r="N24" s="4">
        <v>3511.0424712966073</v>
      </c>
      <c r="O24" s="4">
        <v>11335.190605740556</v>
      </c>
      <c r="P24" s="4">
        <v>13407.25746206743</v>
      </c>
      <c r="Q24" s="7"/>
      <c r="R24" s="8"/>
      <c r="S24" s="8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6"/>
      <c r="GE24" s="6"/>
      <c r="GF24" s="6"/>
    </row>
    <row r="25" spans="1:189" ht="15.75" x14ac:dyDescent="0.25">
      <c r="A25" s="16">
        <v>7.5</v>
      </c>
      <c r="B25" s="17" t="s">
        <v>15</v>
      </c>
      <c r="C25" s="4">
        <v>76053.934298346867</v>
      </c>
      <c r="D25" s="4">
        <v>89870.10820779622</v>
      </c>
      <c r="E25" s="4">
        <v>102124.38001930235</v>
      </c>
      <c r="F25" s="4">
        <v>116910.81417777701</v>
      </c>
      <c r="G25" s="4">
        <v>129283.13332629958</v>
      </c>
      <c r="H25" s="4">
        <v>143758.35779165046</v>
      </c>
      <c r="I25" s="4">
        <v>161502.19903711046</v>
      </c>
      <c r="J25" s="4">
        <v>176292.9051654638</v>
      </c>
      <c r="K25" s="4">
        <v>190816.11901968269</v>
      </c>
      <c r="L25" s="4">
        <v>126229.82220024298</v>
      </c>
      <c r="M25" s="4">
        <v>192064.65496842694</v>
      </c>
      <c r="N25" s="4">
        <v>202498.36255743148</v>
      </c>
      <c r="O25" s="4">
        <v>218601.20840789599</v>
      </c>
      <c r="P25" s="4">
        <v>250643.38171113899</v>
      </c>
      <c r="Q25" s="7"/>
      <c r="R25" s="8"/>
      <c r="S25" s="8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6"/>
      <c r="GE25" s="6"/>
      <c r="GF25" s="6"/>
    </row>
    <row r="26" spans="1:189" ht="15.75" x14ac:dyDescent="0.25">
      <c r="A26" s="16">
        <v>7.6</v>
      </c>
      <c r="B26" s="17" t="s">
        <v>16</v>
      </c>
      <c r="C26" s="4">
        <v>6334.8239922341209</v>
      </c>
      <c r="D26" s="4">
        <v>6841.4113973946969</v>
      </c>
      <c r="E26" s="4">
        <v>5953.4144267776692</v>
      </c>
      <c r="F26" s="4">
        <v>6203.894645375397</v>
      </c>
      <c r="G26" s="4">
        <v>6576.4114112539492</v>
      </c>
      <c r="H26" s="4">
        <v>6822.3023250330716</v>
      </c>
      <c r="I26" s="4">
        <v>9388.0723462348706</v>
      </c>
      <c r="J26" s="4">
        <v>24094.957843231234</v>
      </c>
      <c r="K26" s="4">
        <v>24530.671395101675</v>
      </c>
      <c r="L26" s="4">
        <v>23657.952207130638</v>
      </c>
      <c r="M26" s="4">
        <v>22711.576693064966</v>
      </c>
      <c r="N26" s="4">
        <v>24272.92589562164</v>
      </c>
      <c r="O26" s="4">
        <v>26746.543942177119</v>
      </c>
      <c r="P26" s="4">
        <v>32397.710568522292</v>
      </c>
      <c r="Q26" s="7"/>
      <c r="R26" s="8"/>
      <c r="S26" s="8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6"/>
      <c r="GE26" s="6"/>
      <c r="GF26" s="6"/>
    </row>
    <row r="27" spans="1:189" ht="30" x14ac:dyDescent="0.25">
      <c r="A27" s="16">
        <v>7.7</v>
      </c>
      <c r="B27" s="17" t="s">
        <v>17</v>
      </c>
      <c r="C27" s="4">
        <v>435879.42889395583</v>
      </c>
      <c r="D27" s="4">
        <v>478482.82295754598</v>
      </c>
      <c r="E27" s="4">
        <v>492737.82502592274</v>
      </c>
      <c r="F27" s="4">
        <v>581917.0537309486</v>
      </c>
      <c r="G27" s="4">
        <v>738913.25371600664</v>
      </c>
      <c r="H27" s="4">
        <v>674894.43630581396</v>
      </c>
      <c r="I27" s="4">
        <v>580756.1094054305</v>
      </c>
      <c r="J27" s="4">
        <v>610751</v>
      </c>
      <c r="K27" s="4">
        <v>596198.07970809017</v>
      </c>
      <c r="L27" s="4">
        <v>603907.32733224216</v>
      </c>
      <c r="M27" s="4">
        <v>656639.29320129461</v>
      </c>
      <c r="N27" s="4">
        <v>769694.5301218495</v>
      </c>
      <c r="O27" s="4">
        <v>846067.89120847103</v>
      </c>
      <c r="P27" s="4">
        <v>976394.53095688438</v>
      </c>
      <c r="Q27" s="7"/>
      <c r="R27" s="8"/>
      <c r="S27" s="8"/>
      <c r="T27" s="7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6"/>
      <c r="GE27" s="6"/>
      <c r="GF27" s="6"/>
    </row>
    <row r="28" spans="1:189" ht="15.75" x14ac:dyDescent="0.25">
      <c r="A28" s="18" t="s">
        <v>37</v>
      </c>
      <c r="B28" s="17" t="s">
        <v>18</v>
      </c>
      <c r="C28" s="4">
        <v>869974.14623510337</v>
      </c>
      <c r="D28" s="4">
        <v>941216.51332247769</v>
      </c>
      <c r="E28" s="4">
        <v>1009475.7803164216</v>
      </c>
      <c r="F28" s="4">
        <v>1145354</v>
      </c>
      <c r="G28" s="4">
        <v>1202079</v>
      </c>
      <c r="H28" s="4">
        <v>1131431</v>
      </c>
      <c r="I28" s="4">
        <v>1313963</v>
      </c>
      <c r="J28" s="4">
        <v>1790716.9541181601</v>
      </c>
      <c r="K28" s="4">
        <v>1863048.9716937353</v>
      </c>
      <c r="L28" s="4">
        <v>1881084</v>
      </c>
      <c r="M28" s="4">
        <v>1838621.8119685235</v>
      </c>
      <c r="N28" s="4">
        <v>1944432.1846084844</v>
      </c>
      <c r="O28" s="4">
        <v>2210035.9614782445</v>
      </c>
      <c r="P28" s="4">
        <v>2511855.6591844126</v>
      </c>
      <c r="Q28" s="7"/>
      <c r="R28" s="8"/>
      <c r="S28" s="8"/>
      <c r="T28" s="7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6"/>
      <c r="GE28" s="6"/>
      <c r="GF28" s="6"/>
    </row>
    <row r="29" spans="1:189" ht="30" x14ac:dyDescent="0.25">
      <c r="A29" s="18" t="s">
        <v>38</v>
      </c>
      <c r="B29" s="17" t="s">
        <v>19</v>
      </c>
      <c r="C29" s="4">
        <v>2529778.6418060614</v>
      </c>
      <c r="D29" s="4">
        <v>2572395.0535674496</v>
      </c>
      <c r="E29" s="4">
        <v>2654816.1786371777</v>
      </c>
      <c r="F29" s="4">
        <v>2728481.1931481771</v>
      </c>
      <c r="G29" s="4">
        <v>2625371.974910405</v>
      </c>
      <c r="H29" s="4">
        <v>2705645.1736463346</v>
      </c>
      <c r="I29" s="4">
        <v>2840803.7158687678</v>
      </c>
      <c r="J29" s="4">
        <v>3024615.5854354301</v>
      </c>
      <c r="K29" s="4">
        <v>3041240.6435964308</v>
      </c>
      <c r="L29" s="4">
        <v>2969307.7733390615</v>
      </c>
      <c r="M29" s="4">
        <v>3364447.1580930213</v>
      </c>
      <c r="N29" s="4">
        <v>3754337.9930480276</v>
      </c>
      <c r="O29" s="4">
        <v>3915766.4673973895</v>
      </c>
      <c r="P29" s="4">
        <v>4108992.9426961634</v>
      </c>
      <c r="Q29" s="7"/>
      <c r="R29" s="8"/>
      <c r="S29" s="8"/>
      <c r="T29" s="7"/>
      <c r="U29" s="9"/>
      <c r="V29" s="9"/>
      <c r="W29" s="9"/>
      <c r="X29" s="9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6"/>
      <c r="GE29" s="6"/>
      <c r="GF29" s="6"/>
    </row>
    <row r="30" spans="1:189" ht="15.75" x14ac:dyDescent="0.25">
      <c r="A30" s="18" t="s">
        <v>39</v>
      </c>
      <c r="B30" s="17" t="s">
        <v>54</v>
      </c>
      <c r="C30" s="4">
        <v>1048516</v>
      </c>
      <c r="D30" s="4">
        <v>1019107.928448821</v>
      </c>
      <c r="E30" s="4">
        <v>955343.59846340469</v>
      </c>
      <c r="F30" s="4">
        <v>991017.63695005316</v>
      </c>
      <c r="G30" s="4">
        <v>993252.99379596568</v>
      </c>
      <c r="H30" s="4">
        <v>1070845.7737163419</v>
      </c>
      <c r="I30" s="4">
        <v>1188080.9896260872</v>
      </c>
      <c r="J30" s="4">
        <v>1415802.8161306363</v>
      </c>
      <c r="K30" s="4">
        <v>1530874.6980334378</v>
      </c>
      <c r="L30" s="4">
        <v>1410199.0338280357</v>
      </c>
      <c r="M30" s="4">
        <v>1531389.2880097667</v>
      </c>
      <c r="N30" s="4">
        <v>1684898.665730417</v>
      </c>
      <c r="O30" s="4">
        <v>1966030.7163120783</v>
      </c>
      <c r="P30" s="4">
        <v>2167821.3038649741</v>
      </c>
      <c r="Q30" s="7"/>
      <c r="R30" s="8"/>
      <c r="S30" s="8"/>
      <c r="T30" s="7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6"/>
      <c r="GE30" s="6"/>
      <c r="GF30" s="6"/>
    </row>
    <row r="31" spans="1:189" ht="15.75" x14ac:dyDescent="0.25">
      <c r="A31" s="18" t="s">
        <v>40</v>
      </c>
      <c r="B31" s="17" t="s">
        <v>20</v>
      </c>
      <c r="C31" s="4">
        <v>2156685.5202858346</v>
      </c>
      <c r="D31" s="4">
        <v>2455029.153290201</v>
      </c>
      <c r="E31" s="4">
        <v>2661293.0510515557</v>
      </c>
      <c r="F31" s="4">
        <v>2808212.8913714248</v>
      </c>
      <c r="G31" s="4">
        <v>2996667.7994768834</v>
      </c>
      <c r="H31" s="4">
        <v>3224909.9749858249</v>
      </c>
      <c r="I31" s="4">
        <v>3822023.0209262031</v>
      </c>
      <c r="J31" s="4">
        <v>4671110.5169512099</v>
      </c>
      <c r="K31" s="4">
        <v>4866047.3958639242</v>
      </c>
      <c r="L31" s="4">
        <v>3813971.3536917572</v>
      </c>
      <c r="M31" s="4">
        <v>4059502.4743027324</v>
      </c>
      <c r="N31" s="4">
        <v>4326467.8513256311</v>
      </c>
      <c r="O31" s="4">
        <v>5058748.7406764263</v>
      </c>
      <c r="P31" s="4">
        <v>5621840.4966068957</v>
      </c>
      <c r="Q31" s="7"/>
      <c r="R31" s="8"/>
      <c r="S31" s="8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6"/>
      <c r="GE31" s="6"/>
      <c r="GF31" s="6"/>
    </row>
    <row r="32" spans="1:189" s="31" customFormat="1" ht="15.75" x14ac:dyDescent="0.25">
      <c r="A32" s="34"/>
      <c r="B32" s="35" t="s">
        <v>30</v>
      </c>
      <c r="C32" s="29">
        <f>C17+C20+C28+C29+C30+C31</f>
        <v>12415072.934451222</v>
      </c>
      <c r="D32" s="29">
        <f t="shared" ref="D32:G32" si="13">D17+D20+D28+D29+D30+D31</f>
        <v>13333941.100134572</v>
      </c>
      <c r="E32" s="29">
        <f t="shared" si="13"/>
        <v>13699956.177109167</v>
      </c>
      <c r="F32" s="29">
        <f t="shared" si="13"/>
        <v>14005341.499321464</v>
      </c>
      <c r="G32" s="29">
        <f t="shared" si="13"/>
        <v>15129684.97356024</v>
      </c>
      <c r="H32" s="29">
        <f t="shared" ref="H32:K32" si="14">H17+H20+H28+H29+H30+H31</f>
        <v>15812966.60003363</v>
      </c>
      <c r="I32" s="29">
        <f t="shared" si="14"/>
        <v>17603313.373404261</v>
      </c>
      <c r="J32" s="29">
        <f t="shared" si="14"/>
        <v>20119686.623426106</v>
      </c>
      <c r="K32" s="29">
        <f t="shared" si="14"/>
        <v>20961437.879517015</v>
      </c>
      <c r="L32" s="29">
        <f t="shared" ref="L32:M32" si="15">L17+L20+L28+L29+L30+L31</f>
        <v>17903384.235726934</v>
      </c>
      <c r="M32" s="29">
        <f t="shared" si="15"/>
        <v>19259502.585628893</v>
      </c>
      <c r="N32" s="29">
        <f t="shared" ref="N32" si="16">N17+N20+N28+N29+N30+N31</f>
        <v>21204229.610825922</v>
      </c>
      <c r="O32" s="29">
        <f t="shared" ref="O32" si="17">O17+O20+O28+O29+O30+O31</f>
        <v>22832402.143128358</v>
      </c>
      <c r="P32" s="29">
        <f t="shared" ref="P32" si="18">P17+P20+P28+P29+P30+P31</f>
        <v>24829785.377622105</v>
      </c>
      <c r="Q32" s="7"/>
      <c r="R32" s="8"/>
      <c r="S32" s="8"/>
      <c r="T32" s="7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4"/>
      <c r="GE32" s="24"/>
      <c r="GF32" s="24"/>
    </row>
    <row r="33" spans="1:189" s="24" customFormat="1" ht="15.75" x14ac:dyDescent="0.25">
      <c r="A33" s="32" t="s">
        <v>27</v>
      </c>
      <c r="B33" s="38" t="s">
        <v>51</v>
      </c>
      <c r="C33" s="30">
        <f t="shared" ref="C33:H33" si="19">C6+C11+C13+C14+C15+C17+C20+C28+C29+C30+C31</f>
        <v>22305198.05354381</v>
      </c>
      <c r="D33" s="30">
        <f t="shared" si="19"/>
        <v>23169108.102472637</v>
      </c>
      <c r="E33" s="30">
        <f t="shared" si="19"/>
        <v>23792723.762011416</v>
      </c>
      <c r="F33" s="30">
        <f t="shared" si="19"/>
        <v>24567440.860583827</v>
      </c>
      <c r="G33" s="30">
        <f t="shared" si="19"/>
        <v>25880101.110842567</v>
      </c>
      <c r="H33" s="30">
        <f t="shared" si="19"/>
        <v>27740756.871922486</v>
      </c>
      <c r="I33" s="30">
        <f t="shared" ref="I33:K33" si="20">I6+I11+I13+I14+I15+I17+I20+I28+I29+I30+I31</f>
        <v>30340380.944453999</v>
      </c>
      <c r="J33" s="30">
        <f t="shared" si="20"/>
        <v>33115465.191859014</v>
      </c>
      <c r="K33" s="30">
        <f t="shared" si="20"/>
        <v>34273400.194396794</v>
      </c>
      <c r="L33" s="30">
        <f t="shared" ref="L33:M33" si="21">L6+L11+L13+L14+L15+L17+L20+L28+L29+L30+L31</f>
        <v>31652379.376572791</v>
      </c>
      <c r="M33" s="30">
        <f t="shared" si="21"/>
        <v>33912738.045599632</v>
      </c>
      <c r="N33" s="30">
        <f t="shared" ref="N33" si="22">N6+N11+N13+N14+N15+N17+N20+N28+N29+N30+N31</f>
        <v>38246852.790590279</v>
      </c>
      <c r="O33" s="30">
        <f t="shared" ref="O33" si="23">O6+O11+O13+O14+O15+O17+O20+O28+O29+O30+O31</f>
        <v>41783994.686177351</v>
      </c>
      <c r="P33" s="30">
        <f t="shared" ref="P33" si="24">P6+P11+P13+P14+P15+P17+P20+P28+P29+P30+P31</f>
        <v>45318282.63955006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G33" s="31"/>
    </row>
    <row r="34" spans="1:189" s="31" customFormat="1" ht="15.75" x14ac:dyDescent="0.25">
      <c r="A34" s="39" t="s">
        <v>43</v>
      </c>
      <c r="B34" s="40" t="s">
        <v>25</v>
      </c>
      <c r="C34" s="27">
        <f>GSVA_const!C34</f>
        <v>1716948.3994893769</v>
      </c>
      <c r="D34" s="27">
        <f>GSVA_const!D34</f>
        <v>1958839.3193535015</v>
      </c>
      <c r="E34" s="27">
        <f>GSVA_const!E34</f>
        <v>2263772.08212446</v>
      </c>
      <c r="F34" s="27">
        <f>GSVA_const!F34</f>
        <v>2679293.2557065655</v>
      </c>
      <c r="G34" s="27">
        <f>GSVA_const!G34</f>
        <v>3089963</v>
      </c>
      <c r="H34" s="27">
        <f>GSVA_const!H34</f>
        <v>3322482.583317643</v>
      </c>
      <c r="I34" s="27">
        <f>GSVA_const!I34</f>
        <v>2782027.0751692196</v>
      </c>
      <c r="J34" s="27">
        <f>GSVA_const!J34</f>
        <v>3250565.9928619303</v>
      </c>
      <c r="K34" s="27">
        <f>GSVA_const!K34</f>
        <v>3309808.3545440934</v>
      </c>
      <c r="L34" s="27">
        <f>GSVA_const!L34</f>
        <v>3880695.8979451535</v>
      </c>
      <c r="M34" s="27">
        <f>GSVA_const!M34</f>
        <v>3846763.7441446749</v>
      </c>
      <c r="N34" s="27">
        <f>GSVA_const!N34</f>
        <v>4169646.0813389914</v>
      </c>
      <c r="O34" s="27">
        <f>GSVA_const!O34</f>
        <v>4506218.0849149441</v>
      </c>
      <c r="P34" s="27">
        <f>GSVA_const!P34</f>
        <v>4952350.6953785904</v>
      </c>
      <c r="Q34" s="7"/>
      <c r="R34" s="8"/>
      <c r="S34" s="8"/>
      <c r="T34" s="7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</row>
    <row r="35" spans="1:189" s="31" customFormat="1" ht="15.75" x14ac:dyDescent="0.25">
      <c r="A35" s="39" t="s">
        <v>44</v>
      </c>
      <c r="B35" s="40" t="s">
        <v>24</v>
      </c>
      <c r="C35" s="27">
        <f>GSVA_const!C35</f>
        <v>1172402</v>
      </c>
      <c r="D35" s="27">
        <f>GSVA_const!D35</f>
        <v>1434692.2973657362</v>
      </c>
      <c r="E35" s="27">
        <f>GSVA_const!E35</f>
        <v>1365021.6432297127</v>
      </c>
      <c r="F35" s="27">
        <f>GSVA_const!F35</f>
        <v>1672852.9003961601</v>
      </c>
      <c r="G35" s="27">
        <f>GSVA_const!G35</f>
        <v>2050104</v>
      </c>
      <c r="H35" s="27">
        <f>GSVA_const!H35</f>
        <v>2136752.024100923</v>
      </c>
      <c r="I35" s="27">
        <f>GSVA_const!I35</f>
        <v>1861894.3712148196</v>
      </c>
      <c r="J35" s="27">
        <f>GSVA_const!J35</f>
        <v>1811486.0782232382</v>
      </c>
      <c r="K35" s="27">
        <f>GSVA_const!K35</f>
        <v>1659070.9687078902</v>
      </c>
      <c r="L35" s="27">
        <f>GSVA_const!L35</f>
        <v>2697685.4327400504</v>
      </c>
      <c r="M35" s="27">
        <f>GSVA_const!M35</f>
        <v>3401247.0771628991</v>
      </c>
      <c r="N35" s="27">
        <f>GSVA_const!N35</f>
        <v>3764971.0135694719</v>
      </c>
      <c r="O35" s="27">
        <f>GSVA_const!O35</f>
        <v>2872166.8943250962</v>
      </c>
      <c r="P35" s="27">
        <f>GSVA_const!P35</f>
        <v>3138451.1283674021</v>
      </c>
      <c r="Q35" s="7"/>
      <c r="R35" s="8"/>
      <c r="S35" s="8"/>
      <c r="T35" s="7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</row>
    <row r="36" spans="1:189" s="31" customFormat="1" ht="15.75" x14ac:dyDescent="0.25">
      <c r="A36" s="39" t="s">
        <v>45</v>
      </c>
      <c r="B36" s="40" t="s">
        <v>63</v>
      </c>
      <c r="C36" s="29">
        <f>C33+C34-C35</f>
        <v>22849744.453033186</v>
      </c>
      <c r="D36" s="29">
        <f t="shared" ref="D36:M36" si="25">D33+D34-D35</f>
        <v>23693255.124460403</v>
      </c>
      <c r="E36" s="29">
        <f t="shared" si="25"/>
        <v>24691474.200906165</v>
      </c>
      <c r="F36" s="29">
        <f t="shared" si="25"/>
        <v>25573881.21589423</v>
      </c>
      <c r="G36" s="29">
        <f t="shared" si="25"/>
        <v>26919960.110842567</v>
      </c>
      <c r="H36" s="29">
        <f t="shared" si="25"/>
        <v>28926487.431139208</v>
      </c>
      <c r="I36" s="29">
        <f t="shared" si="25"/>
        <v>31260513.648408402</v>
      </c>
      <c r="J36" s="29">
        <f t="shared" si="25"/>
        <v>34554545.106497712</v>
      </c>
      <c r="K36" s="29">
        <f t="shared" si="25"/>
        <v>35924137.580233</v>
      </c>
      <c r="L36" s="29">
        <f t="shared" si="25"/>
        <v>32835389.841777895</v>
      </c>
      <c r="M36" s="29">
        <f t="shared" si="25"/>
        <v>34358254.712581411</v>
      </c>
      <c r="N36" s="29">
        <f t="shared" ref="N36" si="26">N33+N34-N35</f>
        <v>38651527.858359799</v>
      </c>
      <c r="O36" s="29">
        <f t="shared" ref="O36" si="27">O33+O34-O35</f>
        <v>43418045.876767203</v>
      </c>
      <c r="P36" s="29">
        <f t="shared" ref="P36" si="28">P33+P34-P35</f>
        <v>47132182.206561245</v>
      </c>
      <c r="Q36" s="7"/>
      <c r="R36" s="8"/>
      <c r="S36" s="8"/>
      <c r="T36" s="7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</row>
    <row r="37" spans="1:189" s="31" customFormat="1" ht="15.75" x14ac:dyDescent="0.25">
      <c r="A37" s="39" t="s">
        <v>46</v>
      </c>
      <c r="B37" s="40" t="s">
        <v>42</v>
      </c>
      <c r="C37" s="27">
        <f>GSVA_cur!C37</f>
        <v>1050570</v>
      </c>
      <c r="D37" s="27">
        <f>GSVA_cur!D37</f>
        <v>1067200</v>
      </c>
      <c r="E37" s="27">
        <f>GSVA_cur!E37</f>
        <v>1084080</v>
      </c>
      <c r="F37" s="27">
        <f>GSVA_cur!F37</f>
        <v>1101240</v>
      </c>
      <c r="G37" s="27">
        <f>GSVA_cur!G37</f>
        <v>1118670</v>
      </c>
      <c r="H37" s="27">
        <f>GSVA_cur!H37</f>
        <v>1136380</v>
      </c>
      <c r="I37" s="27">
        <f>GSVA_cur!I37</f>
        <v>1169960</v>
      </c>
      <c r="J37" s="27">
        <f>GSVA_cur!J37</f>
        <v>1187780</v>
      </c>
      <c r="K37" s="27">
        <f>GSVA_cur!K37</f>
        <v>1205590</v>
      </c>
      <c r="L37" s="27">
        <f>GSVA_cur!L37</f>
        <v>1223410</v>
      </c>
      <c r="M37" s="27">
        <f>GSVA_cur!M37</f>
        <v>1241540</v>
      </c>
      <c r="N37" s="27">
        <f>GSVA_cur!N37</f>
        <v>1259910</v>
      </c>
      <c r="O37" s="27">
        <f>GSVA_cur!O37</f>
        <v>1278270</v>
      </c>
      <c r="P37" s="27">
        <f>GSVA_cur!P37</f>
        <v>1296897.5505393241</v>
      </c>
      <c r="Q37" s="6"/>
      <c r="R37" s="2"/>
      <c r="S37" s="2"/>
      <c r="T37" s="6"/>
      <c r="U37" s="6"/>
      <c r="V37" s="6"/>
      <c r="W37" s="6"/>
      <c r="X37" s="6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</row>
    <row r="38" spans="1:189" s="31" customFormat="1" ht="15.75" x14ac:dyDescent="0.25">
      <c r="A38" s="39" t="s">
        <v>47</v>
      </c>
      <c r="B38" s="40" t="s">
        <v>64</v>
      </c>
      <c r="C38" s="29">
        <f>C36/C37*1000</f>
        <v>21749.854320067378</v>
      </c>
      <c r="D38" s="29">
        <f t="shared" ref="D38:M38" si="29">D36/D37*1000</f>
        <v>22201.326016173542</v>
      </c>
      <c r="E38" s="29">
        <f t="shared" si="29"/>
        <v>22776.431813986204</v>
      </c>
      <c r="F38" s="29">
        <f t="shared" si="29"/>
        <v>23222.804489388534</v>
      </c>
      <c r="G38" s="29">
        <f t="shared" si="29"/>
        <v>24064.254973175797</v>
      </c>
      <c r="H38" s="29">
        <f t="shared" si="29"/>
        <v>25454.942388232113</v>
      </c>
      <c r="I38" s="29">
        <f t="shared" si="29"/>
        <v>26719.301214065781</v>
      </c>
      <c r="J38" s="29">
        <f t="shared" si="29"/>
        <v>29091.704782449371</v>
      </c>
      <c r="K38" s="29">
        <f t="shared" si="29"/>
        <v>29797.972428630797</v>
      </c>
      <c r="L38" s="29">
        <f t="shared" si="29"/>
        <v>26839.236103822834</v>
      </c>
      <c r="M38" s="29">
        <f t="shared" si="29"/>
        <v>27673.900730207173</v>
      </c>
      <c r="N38" s="29">
        <f t="shared" ref="N38" si="30">N36/N37*1000</f>
        <v>30678.007046820647</v>
      </c>
      <c r="O38" s="29">
        <f t="shared" ref="O38" si="31">O36/O37*1000</f>
        <v>33966.255858908684</v>
      </c>
      <c r="P38" s="29">
        <f t="shared" ref="P38" si="32">P36/P37*1000</f>
        <v>36342.255552075789</v>
      </c>
      <c r="Q38" s="6"/>
      <c r="R38" s="2"/>
      <c r="S38" s="2"/>
      <c r="T38" s="7"/>
      <c r="U38" s="7"/>
      <c r="V38" s="7"/>
      <c r="W38" s="7"/>
      <c r="X38" s="7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BY38" s="28"/>
      <c r="BZ38" s="28"/>
      <c r="CA38" s="28"/>
      <c r="CB38" s="28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2025-08-06T07:58:00Z</dcterms:modified>
</cp:coreProperties>
</file>