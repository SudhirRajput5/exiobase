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11C84CB5-4EBC-4152-8991-B2DC52890DE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7" i="12" l="1"/>
  <c r="O37" i="12"/>
  <c r="N34" i="12"/>
  <c r="O34" i="12"/>
  <c r="N35" i="12"/>
  <c r="O35" i="12"/>
  <c r="N34" i="11"/>
  <c r="O34" i="11"/>
  <c r="N35" i="11"/>
  <c r="O35" i="11"/>
  <c r="N37" i="11"/>
  <c r="O37" i="11"/>
  <c r="N37" i="1"/>
  <c r="O37" i="1"/>
  <c r="I2" i="1" l="1"/>
  <c r="I2" i="11"/>
  <c r="I2" i="12"/>
  <c r="I2" i="10"/>
  <c r="N20" i="1" l="1"/>
  <c r="O20" i="1"/>
  <c r="N20" i="11"/>
  <c r="O20" i="11"/>
  <c r="N20" i="12"/>
  <c r="O20" i="12"/>
  <c r="N20" i="10"/>
  <c r="O20" i="10"/>
  <c r="N16" i="1"/>
  <c r="O16" i="1"/>
  <c r="N17" i="1"/>
  <c r="O17" i="1"/>
  <c r="N16" i="11"/>
  <c r="O16" i="11"/>
  <c r="N17" i="11"/>
  <c r="O17" i="11"/>
  <c r="N16" i="12"/>
  <c r="O16" i="12"/>
  <c r="N17" i="12"/>
  <c r="O17" i="12"/>
  <c r="N16" i="10"/>
  <c r="O16" i="10"/>
  <c r="N17" i="10"/>
  <c r="O17" i="10"/>
  <c r="N6" i="1"/>
  <c r="O6" i="1"/>
  <c r="N6" i="11"/>
  <c r="N12" i="11" s="1"/>
  <c r="O6" i="11"/>
  <c r="N6" i="12"/>
  <c r="N12" i="12" s="1"/>
  <c r="O6" i="12"/>
  <c r="N6" i="10"/>
  <c r="O6" i="10"/>
  <c r="N33" i="1" l="1"/>
  <c r="N36" i="1" s="1"/>
  <c r="O32" i="12"/>
  <c r="O12" i="11"/>
  <c r="O33" i="10"/>
  <c r="O36" i="10" s="1"/>
  <c r="O32" i="10"/>
  <c r="O33" i="11"/>
  <c r="O32" i="11"/>
  <c r="O32" i="1"/>
  <c r="O33" i="12"/>
  <c r="O12" i="10"/>
  <c r="O12" i="12"/>
  <c r="O12" i="1"/>
  <c r="O33" i="1"/>
  <c r="N32" i="11"/>
  <c r="N32" i="12"/>
  <c r="N33" i="12"/>
  <c r="N33" i="11"/>
  <c r="N32" i="1"/>
  <c r="N12" i="1"/>
  <c r="N32" i="10"/>
  <c r="N33" i="10"/>
  <c r="N36" i="10" s="1"/>
  <c r="N12" i="10"/>
  <c r="O36" i="11" l="1"/>
  <c r="O36" i="12"/>
  <c r="O36" i="1"/>
  <c r="N36" i="12"/>
  <c r="N36" i="11"/>
  <c r="N38" i="1"/>
  <c r="M34" i="12"/>
  <c r="M35" i="12"/>
  <c r="M37" i="12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M37" i="1"/>
  <c r="O38" i="11" l="1"/>
  <c r="O38" i="10"/>
  <c r="O38" i="12"/>
  <c r="O38" i="1"/>
  <c r="N38" i="12"/>
  <c r="N38" i="11"/>
  <c r="N38" i="10"/>
  <c r="D37" i="12"/>
  <c r="E37" i="12"/>
  <c r="F37" i="12"/>
  <c r="G37" i="12"/>
  <c r="H37" i="12"/>
  <c r="I37" i="12"/>
  <c r="J37" i="12"/>
  <c r="K37" i="12"/>
  <c r="L37" i="12"/>
  <c r="C37" i="12"/>
  <c r="D34" i="12"/>
  <c r="E34" i="12"/>
  <c r="F34" i="12"/>
  <c r="G34" i="12"/>
  <c r="H34" i="12"/>
  <c r="I34" i="12"/>
  <c r="J34" i="12"/>
  <c r="K34" i="12"/>
  <c r="L34" i="12"/>
  <c r="D35" i="12"/>
  <c r="E35" i="12"/>
  <c r="F35" i="12"/>
  <c r="G35" i="12"/>
  <c r="H35" i="12"/>
  <c r="I35" i="12"/>
  <c r="J35" i="12"/>
  <c r="K35" i="12"/>
  <c r="L35" i="12"/>
  <c r="C37" i="11"/>
  <c r="D37" i="1"/>
  <c r="E37" i="1"/>
  <c r="F37" i="1"/>
  <c r="G37" i="1"/>
  <c r="H37" i="1"/>
  <c r="I37" i="1"/>
  <c r="J37" i="1"/>
  <c r="K37" i="1"/>
  <c r="L37" i="1"/>
  <c r="C37" i="1"/>
  <c r="L20" i="1" l="1"/>
  <c r="M20" i="1"/>
  <c r="L20" i="11"/>
  <c r="M20" i="11"/>
  <c r="L20" i="12"/>
  <c r="M20" i="12"/>
  <c r="L20" i="10"/>
  <c r="M20" i="10"/>
  <c r="L16" i="1"/>
  <c r="M16" i="1"/>
  <c r="L17" i="1"/>
  <c r="M17" i="1"/>
  <c r="L16" i="11"/>
  <c r="M16" i="11"/>
  <c r="L17" i="11"/>
  <c r="M17" i="11"/>
  <c r="L16" i="12"/>
  <c r="M16" i="12"/>
  <c r="L17" i="12"/>
  <c r="M17" i="12"/>
  <c r="L16" i="10"/>
  <c r="M16" i="10"/>
  <c r="L17" i="10"/>
  <c r="M17" i="10"/>
  <c r="L6" i="1"/>
  <c r="M6" i="1"/>
  <c r="L6" i="11"/>
  <c r="M6" i="11"/>
  <c r="L6" i="12"/>
  <c r="M6" i="12"/>
  <c r="L6" i="10"/>
  <c r="M6" i="10"/>
  <c r="M33" i="11" l="1"/>
  <c r="M12" i="1"/>
  <c r="M32" i="12"/>
  <c r="M33" i="12"/>
  <c r="L32" i="11"/>
  <c r="M12" i="10"/>
  <c r="M33" i="10"/>
  <c r="M36" i="10" s="1"/>
  <c r="L32" i="12"/>
  <c r="M12" i="12"/>
  <c r="M32" i="11"/>
  <c r="M12" i="11"/>
  <c r="L12" i="11"/>
  <c r="L33" i="11"/>
  <c r="L36" i="11" s="1"/>
  <c r="L38" i="11" s="1"/>
  <c r="M32" i="1"/>
  <c r="M32" i="10"/>
  <c r="L32" i="10"/>
  <c r="L12" i="10"/>
  <c r="M33" i="1"/>
  <c r="L33" i="12"/>
  <c r="L12" i="12"/>
  <c r="L32" i="1"/>
  <c r="L33" i="1"/>
  <c r="L12" i="1"/>
  <c r="L33" i="10"/>
  <c r="L36" i="10" s="1"/>
  <c r="M36" i="11" l="1"/>
  <c r="M36" i="12"/>
  <c r="M36" i="1"/>
  <c r="L36" i="1"/>
  <c r="L36" i="12"/>
  <c r="K6" i="11"/>
  <c r="M38" i="11" l="1"/>
  <c r="M38" i="12"/>
  <c r="M38" i="1"/>
  <c r="M38" i="10"/>
  <c r="L38" i="10"/>
  <c r="L38" i="1"/>
  <c r="L38" i="12"/>
  <c r="J20" i="1" l="1"/>
  <c r="K20" i="1"/>
  <c r="J20" i="11"/>
  <c r="K20" i="11"/>
  <c r="J20" i="12"/>
  <c r="K20" i="12"/>
  <c r="J20" i="10"/>
  <c r="K20" i="10"/>
  <c r="J17" i="1"/>
  <c r="K17" i="1"/>
  <c r="J17" i="11"/>
  <c r="K17" i="11"/>
  <c r="J17" i="12"/>
  <c r="K17" i="12"/>
  <c r="J17" i="10"/>
  <c r="K17" i="10"/>
  <c r="I16" i="1"/>
  <c r="J16" i="1"/>
  <c r="K16" i="1"/>
  <c r="I16" i="11"/>
  <c r="J16" i="11"/>
  <c r="K16" i="11"/>
  <c r="I16" i="12"/>
  <c r="J16" i="12"/>
  <c r="K16" i="12"/>
  <c r="I16" i="10"/>
  <c r="J16" i="10"/>
  <c r="K16" i="10"/>
  <c r="J6" i="1"/>
  <c r="K6" i="1"/>
  <c r="J6" i="11"/>
  <c r="J6" i="12"/>
  <c r="K6" i="12"/>
  <c r="J6" i="10"/>
  <c r="K6" i="10"/>
  <c r="K33" i="12" l="1"/>
  <c r="K36" i="12" s="1"/>
  <c r="K38" i="12" s="1"/>
  <c r="J33" i="12"/>
  <c r="J36" i="12" s="1"/>
  <c r="J38" i="12" s="1"/>
  <c r="J33" i="11"/>
  <c r="J36" i="11" s="1"/>
  <c r="J38" i="11" s="1"/>
  <c r="J32" i="12"/>
  <c r="K32" i="12"/>
  <c r="J32" i="11"/>
  <c r="K32" i="11"/>
  <c r="K33" i="11"/>
  <c r="K36" i="11" s="1"/>
  <c r="K38" i="11" s="1"/>
  <c r="K32" i="1"/>
  <c r="K33" i="1"/>
  <c r="K33" i="10"/>
  <c r="K36" i="10" s="1"/>
  <c r="K12" i="12"/>
  <c r="K12" i="10"/>
  <c r="K32" i="10"/>
  <c r="K12" i="1"/>
  <c r="J12" i="11"/>
  <c r="K12" i="11"/>
  <c r="J12" i="1"/>
  <c r="J12" i="10"/>
  <c r="J12" i="12"/>
  <c r="J32" i="1"/>
  <c r="J33" i="1"/>
  <c r="J36" i="1" s="1"/>
  <c r="J38" i="1" s="1"/>
  <c r="J32" i="10"/>
  <c r="J33" i="10"/>
  <c r="J36" i="10" s="1"/>
  <c r="K36" i="1" l="1"/>
  <c r="K38" i="1" s="1"/>
  <c r="K38" i="10" l="1"/>
  <c r="J38" i="10"/>
  <c r="I20" i="1"/>
  <c r="H20" i="1"/>
  <c r="G20" i="1"/>
  <c r="F20" i="1"/>
  <c r="E20" i="1"/>
  <c r="D20" i="1"/>
  <c r="C20" i="1"/>
  <c r="I17" i="1"/>
  <c r="H17" i="1"/>
  <c r="G17" i="1"/>
  <c r="F17" i="1"/>
  <c r="E17" i="1"/>
  <c r="D17" i="1"/>
  <c r="C17" i="1"/>
  <c r="H16" i="1"/>
  <c r="G16" i="1"/>
  <c r="F16" i="1"/>
  <c r="E16" i="1"/>
  <c r="D16" i="1"/>
  <c r="C16" i="1"/>
  <c r="I6" i="1"/>
  <c r="H6" i="1"/>
  <c r="G6" i="1"/>
  <c r="F6" i="1"/>
  <c r="E6" i="1"/>
  <c r="D6" i="1"/>
  <c r="C6" i="1"/>
  <c r="I20" i="11"/>
  <c r="I20" i="12"/>
  <c r="I20" i="10"/>
  <c r="I17" i="11"/>
  <c r="I17" i="12"/>
  <c r="I17" i="10"/>
  <c r="I6" i="11"/>
  <c r="I6" i="12"/>
  <c r="I6" i="10"/>
  <c r="I32" i="11" l="1"/>
  <c r="I32" i="12"/>
  <c r="I33" i="12"/>
  <c r="I36" i="12" s="1"/>
  <c r="I38" i="12" s="1"/>
  <c r="I33" i="11"/>
  <c r="I36" i="11" s="1"/>
  <c r="I38" i="11" s="1"/>
  <c r="H32" i="1"/>
  <c r="I32" i="1"/>
  <c r="I12" i="10"/>
  <c r="E32" i="1"/>
  <c r="C32" i="1"/>
  <c r="F32" i="1"/>
  <c r="I33" i="10"/>
  <c r="I36" i="10" s="1"/>
  <c r="G32" i="1"/>
  <c r="I12" i="12"/>
  <c r="D32" i="1"/>
  <c r="H12" i="1"/>
  <c r="I33" i="1"/>
  <c r="I36" i="1" s="1"/>
  <c r="I38" i="1" s="1"/>
  <c r="C12" i="1"/>
  <c r="D33" i="1"/>
  <c r="D36" i="1" s="1"/>
  <c r="D38" i="1" s="1"/>
  <c r="E33" i="1"/>
  <c r="E36" i="1" s="1"/>
  <c r="E38" i="1" s="1"/>
  <c r="F12" i="1"/>
  <c r="E12" i="1"/>
  <c r="I12" i="1"/>
  <c r="G33" i="1"/>
  <c r="G36" i="1" s="1"/>
  <c r="H33" i="1"/>
  <c r="H36" i="1" s="1"/>
  <c r="D12" i="1"/>
  <c r="I12" i="11"/>
  <c r="C33" i="1"/>
  <c r="G12" i="1"/>
  <c r="F33" i="1"/>
  <c r="F36" i="1" s="1"/>
  <c r="F38" i="1" s="1"/>
  <c r="I32" i="10"/>
  <c r="G38" i="1" l="1"/>
  <c r="H38" i="1"/>
  <c r="C36" i="1"/>
  <c r="C35" i="12"/>
  <c r="C34" i="12"/>
  <c r="C35" i="11"/>
  <c r="C34" i="11"/>
  <c r="C38" i="1" l="1"/>
  <c r="I38" i="10"/>
  <c r="G20" i="11"/>
  <c r="H20" i="11"/>
  <c r="G20" i="12"/>
  <c r="G20" i="10"/>
  <c r="H20" i="10"/>
  <c r="G17" i="11"/>
  <c r="H17" i="11"/>
  <c r="H32" i="11" s="1"/>
  <c r="G17" i="12"/>
  <c r="G32" i="12" s="1"/>
  <c r="G17" i="10"/>
  <c r="H17" i="10"/>
  <c r="G16" i="11"/>
  <c r="H16" i="11"/>
  <c r="G16" i="12"/>
  <c r="G16" i="10"/>
  <c r="H16" i="10"/>
  <c r="G6" i="11"/>
  <c r="H6" i="11"/>
  <c r="G6" i="12"/>
  <c r="G6" i="10"/>
  <c r="H6" i="10"/>
  <c r="G32" i="11" l="1"/>
  <c r="G33" i="12"/>
  <c r="G36" i="12" s="1"/>
  <c r="H33" i="11"/>
  <c r="H36" i="11" s="1"/>
  <c r="G33" i="11"/>
  <c r="G36" i="11" s="1"/>
  <c r="H32" i="10"/>
  <c r="H12" i="10"/>
  <c r="G12" i="12"/>
  <c r="H12" i="11"/>
  <c r="H33" i="10"/>
  <c r="H36" i="10" s="1"/>
  <c r="G12" i="11"/>
  <c r="G33" i="10"/>
  <c r="G36" i="10" s="1"/>
  <c r="G32" i="10"/>
  <c r="G12" i="10"/>
  <c r="G38" i="12" l="1"/>
  <c r="H38" i="11"/>
  <c r="G38" i="11"/>
  <c r="F20" i="12"/>
  <c r="E20" i="12"/>
  <c r="D20" i="12"/>
  <c r="C20" i="12"/>
  <c r="F17" i="12"/>
  <c r="E17" i="12"/>
  <c r="D17" i="12"/>
  <c r="C17" i="12"/>
  <c r="F16" i="12"/>
  <c r="E16" i="12"/>
  <c r="D16" i="12"/>
  <c r="C16" i="12"/>
  <c r="F6" i="12"/>
  <c r="E6" i="12"/>
  <c r="D6" i="12"/>
  <c r="C6" i="12"/>
  <c r="F20" i="11"/>
  <c r="E20" i="11"/>
  <c r="D20" i="11"/>
  <c r="C20" i="11"/>
  <c r="F17" i="11"/>
  <c r="E17" i="11"/>
  <c r="D17" i="11"/>
  <c r="C17" i="11"/>
  <c r="F16" i="11"/>
  <c r="E16" i="11"/>
  <c r="D16" i="11"/>
  <c r="C16" i="11"/>
  <c r="F6" i="11"/>
  <c r="E6" i="11"/>
  <c r="D6" i="11"/>
  <c r="C6" i="11"/>
  <c r="F20" i="10"/>
  <c r="E20" i="10"/>
  <c r="D20" i="10"/>
  <c r="C20" i="10"/>
  <c r="F17" i="10"/>
  <c r="E17" i="10"/>
  <c r="D17" i="10"/>
  <c r="C17" i="10"/>
  <c r="F16" i="10"/>
  <c r="E16" i="10"/>
  <c r="D16" i="10"/>
  <c r="C16" i="10"/>
  <c r="F6" i="10"/>
  <c r="E6" i="10"/>
  <c r="D6" i="10"/>
  <c r="C6" i="10"/>
  <c r="D33" i="11" l="1"/>
  <c r="D36" i="11" s="1"/>
  <c r="D38" i="11" s="1"/>
  <c r="D32" i="11"/>
  <c r="D32" i="12"/>
  <c r="E33" i="12"/>
  <c r="E36" i="12" s="1"/>
  <c r="E38" i="12" s="1"/>
  <c r="E32" i="12"/>
  <c r="D33" i="12"/>
  <c r="D36" i="12" s="1"/>
  <c r="D38" i="12" s="1"/>
  <c r="F33" i="12"/>
  <c r="F36" i="12" s="1"/>
  <c r="F38" i="12" s="1"/>
  <c r="F32" i="12"/>
  <c r="E33" i="11"/>
  <c r="E36" i="11" s="1"/>
  <c r="E38" i="11" s="1"/>
  <c r="F33" i="11"/>
  <c r="F36" i="11" s="1"/>
  <c r="F38" i="11" s="1"/>
  <c r="E32" i="11"/>
  <c r="F32" i="11"/>
  <c r="C32" i="10"/>
  <c r="C12" i="12"/>
  <c r="D12" i="11"/>
  <c r="G38" i="10"/>
  <c r="H38" i="10"/>
  <c r="C33" i="11"/>
  <c r="C33" i="10"/>
  <c r="C32" i="12"/>
  <c r="C33" i="12"/>
  <c r="C32" i="11"/>
  <c r="C12" i="11"/>
  <c r="D33" i="10"/>
  <c r="D36" i="10" s="1"/>
  <c r="E33" i="10"/>
  <c r="E36" i="10" s="1"/>
  <c r="D32" i="10"/>
  <c r="E32" i="10"/>
  <c r="F33" i="10"/>
  <c r="F36" i="10" s="1"/>
  <c r="F32" i="10"/>
  <c r="E12" i="10"/>
  <c r="F12" i="10"/>
  <c r="D12" i="12"/>
  <c r="E12" i="12"/>
  <c r="F12" i="12"/>
  <c r="E12" i="11"/>
  <c r="F12" i="11"/>
  <c r="C12" i="10"/>
  <c r="D12" i="10"/>
  <c r="C36" i="10" l="1"/>
  <c r="C36" i="11"/>
  <c r="C38" i="11" s="1"/>
  <c r="C36" i="12"/>
  <c r="C38" i="12" l="1"/>
  <c r="C38" i="10"/>
  <c r="D38" i="10"/>
  <c r="F38" i="10"/>
  <c r="E38" i="10"/>
  <c r="H39" i="1"/>
  <c r="H6" i="12" l="1"/>
  <c r="H17" i="12"/>
  <c r="H20" i="12" l="1"/>
  <c r="H32" i="12" s="1"/>
  <c r="H16" i="12"/>
  <c r="H12" i="12"/>
  <c r="H33" i="12" l="1"/>
  <c r="H36" i="12" s="1"/>
  <c r="H38" i="12" l="1"/>
</calcChain>
</file>

<file path=xl/sharedStrings.xml><?xml version="1.0" encoding="utf-8"?>
<sst xmlns="http://schemas.openxmlformats.org/spreadsheetml/2006/main" count="280" uniqueCount="76">
  <si>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</si>
  <si>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</si>
  <si>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</si>
  <si>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</si>
  <si>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</si>
  <si>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</si>
  <si>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</si>
  <si>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</si>
  <si>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</si>
  <si>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</si>
  <si>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</si>
  <si>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</si>
  <si>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</si>
  <si>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</si>
  <si>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</si>
  <si>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</si>
  <si>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</si>
  <si>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</si>
  <si>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</si>
  <si>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</si>
  <si>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</si>
  <si>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</si>
  <si>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</si>
  <si>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</si>
  <si>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</si>
  <si>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</si>
  <si>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</si>
  <si>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</si>
  <si>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</si>
  <si>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</si>
  <si>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</si>
  <si>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</si>
  <si>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</si>
  <si>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</si>
  <si>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</si>
  <si>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</si>
  <si>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</si>
  <si>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</si>
  <si>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</si>
  <si>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</si>
  <si>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</si>
  <si>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</si>
  <si>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</si>
  <si>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</si>
  <si>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</si>
  <si>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</si>
  <si>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</si>
  <si>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</si>
  <si>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</si>
  <si>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</si>
  <si>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</si>
  <si>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</si>
  <si>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</si>
  <si>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</si>
  <si>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</si>
  <si>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</si>
  <si>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</si>
  <si>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</si>
  <si>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</si>
  <si>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</si>
  <si>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</si>
  <si>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</si>
  <si>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</si>
  <si>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</si>
  <si>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</si>
  <si>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</si>
  <si>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Manipur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</si>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</sst>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2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2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46">
    <xf numFmtId="0" fontId="0" fillId="0" borderId="0" xfId="0"/>
    <xf numFmtId="1" fontId="7" fillId="0" borderId="1" xfId="0" applyNumberFormat="1" applyFont="1" applyBorder="1"/>
    <xf numFmtId="0" fontId="7" fillId="0" borderId="0" xfId="0" applyFont="1" applyProtection="1">
      <protection locked="0"/>
    </xf>
    <xf numFmtId="0" fontId="7" fillId="0" borderId="1" xfId="0" applyFont="1" applyBorder="1" applyProtection="1"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0" xfId="0" applyFont="1"/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7" fillId="0" borderId="0" xfId="0" quotePrefix="1" applyFont="1" applyProtection="1">
      <protection locked="0"/>
    </xf>
    <xf numFmtId="0" fontId="1" fillId="0" borderId="0" xfId="0" applyFont="1" applyAlignment="1">
      <alignment horizontal="left" vertical="center"/>
    </xf>
    <xf numFmtId="49" fontId="11" fillId="0" borderId="1" xfId="0" applyNumberFormat="1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49" fontId="12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 applyProtection="1">
      <alignment horizontal="righ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49" fontId="12" fillId="0" borderId="1" xfId="0" applyNumberFormat="1" applyFont="1" applyBorder="1" applyAlignment="1" applyProtection="1">
      <alignment vertical="center" wrapText="1"/>
      <protection locked="0"/>
    </xf>
    <xf numFmtId="49" fontId="12" fillId="0" borderId="1" xfId="0" quotePrefix="1" applyNumberFormat="1" applyFont="1" applyBorder="1" applyAlignment="1">
      <alignment vertical="center" wrapText="1"/>
    </xf>
    <xf numFmtId="0" fontId="7" fillId="0" borderId="1" xfId="0" applyFont="1" applyBorder="1"/>
    <xf numFmtId="0" fontId="16" fillId="0" borderId="0" xfId="0" applyFont="1" applyProtection="1">
      <protection locked="0"/>
    </xf>
    <xf numFmtId="1" fontId="7" fillId="3" borderId="1" xfId="0" applyNumberFormat="1" applyFont="1" applyFill="1" applyBorder="1" applyProtection="1">
      <protection locked="0"/>
    </xf>
    <xf numFmtId="1" fontId="7" fillId="3" borderId="1" xfId="0" applyNumberFormat="1" applyFont="1" applyFill="1" applyBorder="1"/>
    <xf numFmtId="1" fontId="7" fillId="0" borderId="1" xfId="0" applyNumberFormat="1" applyFont="1" applyBorder="1" applyProtection="1">
      <protection locked="0"/>
    </xf>
    <xf numFmtId="1" fontId="17" fillId="0" borderId="1" xfId="0" applyNumberFormat="1" applyFont="1" applyBorder="1"/>
    <xf numFmtId="1" fontId="7" fillId="0" borderId="1" xfId="0" applyNumberFormat="1" applyFont="1" applyBorder="1" applyAlignment="1" applyProtection="1">
      <alignment vertical="center"/>
      <protection locked="0"/>
    </xf>
    <xf numFmtId="1" fontId="7" fillId="0" borderId="1" xfId="0" applyNumberFormat="1" applyFont="1" applyBorder="1" applyAlignment="1">
      <alignment vertical="center"/>
    </xf>
    <xf numFmtId="2" fontId="17" fillId="0" borderId="1" xfId="0" applyNumberFormat="1" applyFont="1" applyBorder="1"/>
    <xf numFmtId="1" fontId="7" fillId="0" borderId="1" xfId="0" applyNumberFormat="1" applyFont="1" applyBorder="1" applyAlignment="1">
      <alignment horizontal="right"/>
    </xf>
    <xf numFmtId="0" fontId="7" fillId="0" borderId="3" xfId="0" applyFont="1" applyBorder="1"/>
    <xf numFmtId="49" fontId="12" fillId="4" borderId="1" xfId="0" applyNumberFormat="1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left" vertical="center" wrapText="1"/>
    </xf>
    <xf numFmtId="1" fontId="7" fillId="4" borderId="1" xfId="0" applyNumberFormat="1" applyFont="1" applyFill="1" applyBorder="1"/>
    <xf numFmtId="1" fontId="7" fillId="4" borderId="0" xfId="0" applyNumberFormat="1" applyFont="1" applyFill="1"/>
    <xf numFmtId="0" fontId="7" fillId="4" borderId="0" xfId="0" applyFont="1" applyFill="1"/>
    <xf numFmtId="0" fontId="7" fillId="4" borderId="0" xfId="0" applyFont="1" applyFill="1" applyProtection="1">
      <protection locked="0"/>
    </xf>
    <xf numFmtId="49" fontId="12" fillId="4" borderId="1" xfId="0" applyNumberFormat="1" applyFont="1" applyFill="1" applyBorder="1" applyAlignment="1" applyProtection="1">
      <alignment vertical="center" wrapText="1"/>
      <protection locked="0"/>
    </xf>
    <xf numFmtId="0" fontId="15" fillId="4" borderId="1" xfId="0" applyFont="1" applyFill="1" applyBorder="1" applyAlignment="1" applyProtection="1">
      <alignment horizontal="left" vertical="center" wrapText="1"/>
      <protection locked="0"/>
    </xf>
    <xf numFmtId="1" fontId="7" fillId="4" borderId="1" xfId="0" applyNumberFormat="1" applyFont="1" applyFill="1" applyBorder="1" applyProtection="1">
      <protection locked="0"/>
    </xf>
    <xf numFmtId="1" fontId="7" fillId="4" borderId="0" xfId="0" applyNumberFormat="1" applyFont="1" applyFill="1" applyProtection="1">
      <protection locked="0"/>
    </xf>
    <xf numFmtId="1" fontId="7" fillId="4" borderId="1" xfId="0" applyNumberFormat="1" applyFont="1" applyFill="1" applyBorder="1" applyAlignment="1">
      <alignment vertical="center"/>
    </xf>
    <xf numFmtId="49" fontId="14" fillId="4" borderId="1" xfId="0" applyNumberFormat="1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center" wrapText="1"/>
    </xf>
    <xf numFmtId="49" fontId="12" fillId="4" borderId="1" xfId="0" quotePrefix="1" applyNumberFormat="1" applyFont="1" applyFill="1" applyBorder="1" applyAlignment="1">
      <alignment vertical="center" wrapText="1"/>
    </xf>
    <xf numFmtId="0" fontId="7" fillId="4" borderId="1" xfId="0" applyFont="1" applyFill="1" applyBorder="1" applyAlignment="1" applyProtection="1">
      <alignment vertical="center" wrapText="1"/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39"/>
  <sheetViews>
    <sheetView zoomScale="77" zoomScaleNormal="77" zoomScaleSheetLayoutView="100" workbookViewId="0">
      <pane xSplit="2" ySplit="5" topLeftCell="C11" activePane="bottomRight" state="frozen"/>
      <selection activeCell="Q48" sqref="Q48"/>
      <selection pane="topRight" activeCell="Q48" sqref="Q48"/>
      <selection pane="bottomLeft" activeCell="Q48" sqref="Q48"/>
      <selection pane="bottomRight" activeCell="R35" sqref="R35"/>
    </sheetView>
  </sheetViews>
  <sheetFormatPr defaultColWidth="8.85546875" defaultRowHeight="15" x14ac:dyDescent="0.25"/>
  <cols>
    <col min="1" max="1" width="11" style="2" customWidth="1"/>
    <col min="2" max="2" width="44" style="2" customWidth="1"/>
    <col min="3" max="7" width="10.7109375" style="2" customWidth="1"/>
    <col min="8" max="15" width="11.85546875" style="5" customWidth="1"/>
    <col min="16" max="16" width="11.5703125" style="5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5" customWidth="1"/>
    <col min="22" max="22" width="9.140625" style="2" customWidth="1"/>
    <col min="23" max="23" width="10.85546875" style="2" customWidth="1"/>
    <col min="24" max="24" width="10.85546875" style="5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5" customWidth="1"/>
    <col min="115" max="119" width="9.140625" style="5" hidden="1" customWidth="1"/>
    <col min="120" max="120" width="9.140625" style="5" customWidth="1"/>
    <col min="121" max="125" width="9.140625" style="5" hidden="1" customWidth="1"/>
    <col min="126" max="126" width="9.140625" style="5" customWidth="1"/>
    <col min="127" max="131" width="9.140625" style="5" hidden="1" customWidth="1"/>
    <col min="132" max="132" width="9.140625" style="5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53</v>
      </c>
      <c r="B1" s="20" t="s">
        <v>66</v>
      </c>
      <c r="W1" s="6"/>
    </row>
    <row r="2" spans="1:193" ht="15.75" x14ac:dyDescent="0.25">
      <c r="A2" s="10" t="s">
        <v>48</v>
      </c>
      <c r="I2" s="5" t="str">
        <f>[1]GSVA_cur!$I$3</f>
        <v>01.08.2025</v>
      </c>
    </row>
    <row r="3" spans="1:193" ht="15.75" x14ac:dyDescent="0.25">
      <c r="A3" s="10"/>
      <c r="C3" s="7"/>
      <c r="D3" s="7"/>
      <c r="E3" s="7"/>
      <c r="F3" s="7"/>
      <c r="G3" s="7"/>
    </row>
    <row r="4" spans="1:193" ht="15.75" x14ac:dyDescent="0.25">
      <c r="A4" s="10"/>
      <c r="E4" s="9"/>
      <c r="F4" s="9" t="s">
        <v>57</v>
      </c>
      <c r="G4" s="9"/>
    </row>
    <row r="5" spans="1:193" ht="15.75" x14ac:dyDescent="0.25">
      <c r="A5" s="11" t="s">
        <v>0</v>
      </c>
      <c r="B5" s="12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19" t="s">
        <v>67</v>
      </c>
      <c r="I5" s="19" t="s">
        <v>68</v>
      </c>
      <c r="J5" s="19" t="s">
        <v>69</v>
      </c>
      <c r="K5" s="19" t="s">
        <v>70</v>
      </c>
      <c r="L5" s="19" t="s">
        <v>71</v>
      </c>
      <c r="M5" s="29" t="s">
        <v>72</v>
      </c>
      <c r="N5" s="29" t="s">
        <v>73</v>
      </c>
      <c r="O5" s="29" t="s">
        <v>74</v>
      </c>
    </row>
    <row r="6" spans="1:193" s="34" customFormat="1" ht="15.75" x14ac:dyDescent="0.25">
      <c r="A6" s="30" t="s">
        <v>26</v>
      </c>
      <c r="B6" s="31" t="s">
        <v>2</v>
      </c>
      <c r="C6" s="32">
        <f>C7+C8+C9+C10</f>
        <v>251622.58</v>
      </c>
      <c r="D6" s="32">
        <f t="shared" ref="D6:O6" si="0">D7+D8+D9+D10</f>
        <v>297164.76</v>
      </c>
      <c r="E6" s="32">
        <f t="shared" si="0"/>
        <v>348747.66</v>
      </c>
      <c r="F6" s="32">
        <f t="shared" si="0"/>
        <v>400433</v>
      </c>
      <c r="G6" s="32">
        <f t="shared" si="0"/>
        <v>397568</v>
      </c>
      <c r="H6" s="32">
        <f t="shared" si="0"/>
        <v>419897</v>
      </c>
      <c r="I6" s="32">
        <f t="shared" si="0"/>
        <v>673554</v>
      </c>
      <c r="J6" s="32">
        <f t="shared" si="0"/>
        <v>725622</v>
      </c>
      <c r="K6" s="32">
        <f t="shared" si="0"/>
        <v>756921</v>
      </c>
      <c r="L6" s="32">
        <f t="shared" si="0"/>
        <v>801394</v>
      </c>
      <c r="M6" s="32">
        <f t="shared" si="0"/>
        <v>877910</v>
      </c>
      <c r="N6" s="32">
        <f t="shared" si="0"/>
        <v>805725</v>
      </c>
      <c r="O6" s="32">
        <f t="shared" si="0"/>
        <v>873138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K6" s="35"/>
    </row>
    <row r="7" spans="1:193" ht="15.75" x14ac:dyDescent="0.25">
      <c r="A7" s="15">
        <v>1.1000000000000001</v>
      </c>
      <c r="B7" s="16" t="s">
        <v>59</v>
      </c>
      <c r="C7" s="21">
        <v>137771.57999999999</v>
      </c>
      <c r="D7" s="21">
        <v>168582.76</v>
      </c>
      <c r="E7" s="21">
        <v>205623.48</v>
      </c>
      <c r="F7" s="21">
        <v>248051</v>
      </c>
      <c r="G7" s="21">
        <v>235995</v>
      </c>
      <c r="H7" s="1">
        <v>224997</v>
      </c>
      <c r="I7" s="1">
        <v>450711</v>
      </c>
      <c r="J7" s="1">
        <v>509503</v>
      </c>
      <c r="K7" s="1">
        <v>544732</v>
      </c>
      <c r="L7" s="1">
        <v>594724</v>
      </c>
      <c r="M7" s="1">
        <v>654831</v>
      </c>
      <c r="N7" s="1">
        <v>583271</v>
      </c>
      <c r="O7" s="1">
        <v>607465</v>
      </c>
      <c r="P7" s="6"/>
      <c r="Q7" s="7"/>
      <c r="R7" s="7"/>
      <c r="S7" s="7"/>
      <c r="T7" s="7"/>
      <c r="U7" s="6"/>
      <c r="V7" s="7"/>
      <c r="W7" s="7"/>
      <c r="X7" s="6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5"/>
      <c r="GI7" s="5"/>
      <c r="GJ7" s="5"/>
    </row>
    <row r="8" spans="1:193" ht="15.75" x14ac:dyDescent="0.25">
      <c r="A8" s="15">
        <v>1.2</v>
      </c>
      <c r="B8" s="16" t="s">
        <v>60</v>
      </c>
      <c r="C8" s="21">
        <v>52587</v>
      </c>
      <c r="D8" s="21">
        <v>58268</v>
      </c>
      <c r="E8" s="21">
        <v>67294.080000000002</v>
      </c>
      <c r="F8" s="21">
        <v>73744</v>
      </c>
      <c r="G8" s="21">
        <v>80879</v>
      </c>
      <c r="H8" s="1">
        <v>84455</v>
      </c>
      <c r="I8" s="1">
        <v>96785</v>
      </c>
      <c r="J8" s="1">
        <v>95040</v>
      </c>
      <c r="K8" s="1">
        <v>103225</v>
      </c>
      <c r="L8" s="1">
        <v>109680</v>
      </c>
      <c r="M8" s="1">
        <v>120137</v>
      </c>
      <c r="N8" s="1">
        <v>116351</v>
      </c>
      <c r="O8" s="1">
        <v>139798</v>
      </c>
      <c r="P8" s="6"/>
      <c r="Q8" s="7"/>
      <c r="R8" s="7"/>
      <c r="S8" s="7"/>
      <c r="T8" s="7"/>
      <c r="U8" s="6"/>
      <c r="V8" s="7"/>
      <c r="W8" s="7"/>
      <c r="X8" s="6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5"/>
      <c r="GI8" s="5"/>
      <c r="GJ8" s="5"/>
    </row>
    <row r="9" spans="1:193" ht="15.75" x14ac:dyDescent="0.25">
      <c r="A9" s="15">
        <v>1.3</v>
      </c>
      <c r="B9" s="16" t="s">
        <v>61</v>
      </c>
      <c r="C9" s="21">
        <v>42183</v>
      </c>
      <c r="D9" s="21">
        <v>43885</v>
      </c>
      <c r="E9" s="21">
        <v>41994</v>
      </c>
      <c r="F9" s="21">
        <v>43083</v>
      </c>
      <c r="G9" s="21">
        <v>40811</v>
      </c>
      <c r="H9" s="1">
        <v>67973</v>
      </c>
      <c r="I9" s="1">
        <v>76918</v>
      </c>
      <c r="J9" s="1">
        <v>65258</v>
      </c>
      <c r="K9" s="1">
        <v>56033</v>
      </c>
      <c r="L9" s="1">
        <v>38562</v>
      </c>
      <c r="M9" s="1">
        <v>40371</v>
      </c>
      <c r="N9" s="1">
        <v>41571</v>
      </c>
      <c r="O9" s="1">
        <v>49168</v>
      </c>
      <c r="P9" s="6"/>
      <c r="Q9" s="7"/>
      <c r="R9" s="7"/>
      <c r="S9" s="7"/>
      <c r="T9" s="7"/>
      <c r="U9" s="6"/>
      <c r="V9" s="7"/>
      <c r="W9" s="7"/>
      <c r="X9" s="6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5"/>
      <c r="GI9" s="5"/>
      <c r="GJ9" s="5"/>
    </row>
    <row r="10" spans="1:193" ht="15.75" x14ac:dyDescent="0.25">
      <c r="A10" s="15">
        <v>1.4</v>
      </c>
      <c r="B10" s="16" t="s">
        <v>62</v>
      </c>
      <c r="C10" s="21">
        <v>19081</v>
      </c>
      <c r="D10" s="21">
        <v>26429</v>
      </c>
      <c r="E10" s="21">
        <v>33836.1</v>
      </c>
      <c r="F10" s="21">
        <v>35555</v>
      </c>
      <c r="G10" s="21">
        <v>39883</v>
      </c>
      <c r="H10" s="1">
        <v>42472</v>
      </c>
      <c r="I10" s="1">
        <v>49140</v>
      </c>
      <c r="J10" s="1">
        <v>55821</v>
      </c>
      <c r="K10" s="1">
        <v>52931</v>
      </c>
      <c r="L10" s="1">
        <v>58428</v>
      </c>
      <c r="M10" s="1">
        <v>62571</v>
      </c>
      <c r="N10" s="1">
        <v>64532</v>
      </c>
      <c r="O10" s="1">
        <v>76707</v>
      </c>
      <c r="P10" s="6"/>
      <c r="Q10" s="7"/>
      <c r="R10" s="7"/>
      <c r="S10" s="7"/>
      <c r="T10" s="7"/>
      <c r="U10" s="6"/>
      <c r="V10" s="7"/>
      <c r="W10" s="7"/>
      <c r="X10" s="6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5"/>
      <c r="GI10" s="5"/>
      <c r="GJ10" s="5"/>
    </row>
    <row r="11" spans="1:193" ht="15.75" x14ac:dyDescent="0.25">
      <c r="A11" s="17" t="s">
        <v>31</v>
      </c>
      <c r="B11" s="16" t="s">
        <v>3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/>
      <c r="O11" s="1"/>
      <c r="P11" s="6"/>
      <c r="Q11" s="7"/>
      <c r="R11" s="7"/>
      <c r="S11" s="7"/>
      <c r="T11" s="7"/>
      <c r="U11" s="6"/>
      <c r="V11" s="7"/>
      <c r="W11" s="7"/>
      <c r="X11" s="6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5"/>
      <c r="GI11" s="5"/>
      <c r="GJ11" s="5"/>
    </row>
    <row r="12" spans="1:193" s="35" customFormat="1" ht="15.75" x14ac:dyDescent="0.25">
      <c r="A12" s="36"/>
      <c r="B12" s="37" t="s">
        <v>28</v>
      </c>
      <c r="C12" s="38">
        <f>C6+C11</f>
        <v>251622.58</v>
      </c>
      <c r="D12" s="38">
        <f t="shared" ref="D12" si="1">D6+D11</f>
        <v>297164.76</v>
      </c>
      <c r="E12" s="38">
        <f>E6+E11</f>
        <v>348747.66</v>
      </c>
      <c r="F12" s="38">
        <f>F6+F11</f>
        <v>400433</v>
      </c>
      <c r="G12" s="38">
        <f t="shared" ref="G12:O12" si="2">G6+G11</f>
        <v>397568</v>
      </c>
      <c r="H12" s="38">
        <f t="shared" si="2"/>
        <v>419897</v>
      </c>
      <c r="I12" s="38">
        <f t="shared" si="2"/>
        <v>673554</v>
      </c>
      <c r="J12" s="38">
        <f t="shared" si="2"/>
        <v>725622</v>
      </c>
      <c r="K12" s="38">
        <f t="shared" si="2"/>
        <v>756921</v>
      </c>
      <c r="L12" s="38">
        <f t="shared" si="2"/>
        <v>801394</v>
      </c>
      <c r="M12" s="38">
        <f t="shared" si="2"/>
        <v>877910</v>
      </c>
      <c r="N12" s="38">
        <f t="shared" si="2"/>
        <v>805725</v>
      </c>
      <c r="O12" s="38">
        <f t="shared" si="2"/>
        <v>873138</v>
      </c>
      <c r="P12" s="6"/>
      <c r="Q12" s="7"/>
      <c r="R12" s="7"/>
      <c r="S12" s="7"/>
      <c r="T12" s="7"/>
      <c r="U12" s="6"/>
      <c r="V12" s="7"/>
      <c r="W12" s="7"/>
      <c r="X12" s="6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4"/>
      <c r="GI12" s="34"/>
      <c r="GJ12" s="34"/>
    </row>
    <row r="13" spans="1:193" s="5" customFormat="1" ht="15.75" x14ac:dyDescent="0.25">
      <c r="A13" s="13" t="s">
        <v>32</v>
      </c>
      <c r="B13" s="14" t="s">
        <v>4</v>
      </c>
      <c r="C13" s="22">
        <v>40990</v>
      </c>
      <c r="D13" s="22">
        <v>30594</v>
      </c>
      <c r="E13" s="22">
        <v>46011</v>
      </c>
      <c r="F13" s="22">
        <v>47201</v>
      </c>
      <c r="G13" s="22">
        <v>59408</v>
      </c>
      <c r="H13" s="1">
        <v>60896</v>
      </c>
      <c r="I13" s="1">
        <v>61998</v>
      </c>
      <c r="J13" s="1">
        <v>63648</v>
      </c>
      <c r="K13" s="1">
        <v>44819</v>
      </c>
      <c r="L13" s="1">
        <v>46141</v>
      </c>
      <c r="M13" s="1">
        <v>56513</v>
      </c>
      <c r="N13" s="1">
        <v>56824</v>
      </c>
      <c r="O13" s="1">
        <v>63956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K13" s="2"/>
    </row>
    <row r="14" spans="1:193" ht="30" x14ac:dyDescent="0.25">
      <c r="A14" s="17" t="s">
        <v>33</v>
      </c>
      <c r="B14" s="16" t="s">
        <v>5</v>
      </c>
      <c r="C14" s="21">
        <v>54276</v>
      </c>
      <c r="D14" s="21">
        <v>55506</v>
      </c>
      <c r="E14" s="21">
        <v>48391</v>
      </c>
      <c r="F14" s="21">
        <v>27410</v>
      </c>
      <c r="G14" s="21">
        <v>33257</v>
      </c>
      <c r="H14" s="1">
        <v>39667</v>
      </c>
      <c r="I14" s="1">
        <v>59750</v>
      </c>
      <c r="J14" s="1">
        <v>54968</v>
      </c>
      <c r="K14" s="1">
        <v>55368</v>
      </c>
      <c r="L14" s="1">
        <v>63177</v>
      </c>
      <c r="M14" s="1">
        <v>67361</v>
      </c>
      <c r="N14" s="1">
        <v>76495</v>
      </c>
      <c r="O14" s="1">
        <v>83442</v>
      </c>
      <c r="P14" s="6"/>
      <c r="Q14" s="7"/>
      <c r="R14" s="7"/>
      <c r="S14" s="7"/>
      <c r="T14" s="7"/>
      <c r="U14" s="6"/>
      <c r="V14" s="7"/>
      <c r="W14" s="7"/>
      <c r="X14" s="6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6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6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6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5"/>
      <c r="GI14" s="5"/>
      <c r="GJ14" s="5"/>
    </row>
    <row r="15" spans="1:193" ht="15.75" x14ac:dyDescent="0.25">
      <c r="A15" s="17" t="s">
        <v>34</v>
      </c>
      <c r="B15" s="16" t="s">
        <v>6</v>
      </c>
      <c r="C15" s="21">
        <v>100712</v>
      </c>
      <c r="D15" s="21">
        <v>106164</v>
      </c>
      <c r="E15" s="21">
        <v>120023</v>
      </c>
      <c r="F15" s="21">
        <v>191000</v>
      </c>
      <c r="G15" s="21">
        <v>202688</v>
      </c>
      <c r="H15" s="1">
        <v>191502</v>
      </c>
      <c r="I15" s="1">
        <v>211321</v>
      </c>
      <c r="J15" s="1">
        <v>138334</v>
      </c>
      <c r="K15" s="1">
        <v>146254</v>
      </c>
      <c r="L15" s="1">
        <v>129510</v>
      </c>
      <c r="M15" s="1">
        <v>200588</v>
      </c>
      <c r="N15" s="1">
        <v>233539</v>
      </c>
      <c r="O15" s="1">
        <v>268314</v>
      </c>
      <c r="P15" s="6"/>
      <c r="Q15" s="7"/>
      <c r="R15" s="7"/>
      <c r="S15" s="7"/>
      <c r="T15" s="7"/>
      <c r="U15" s="6"/>
      <c r="V15" s="7"/>
      <c r="W15" s="7"/>
      <c r="X15" s="6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6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6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6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5"/>
      <c r="GI15" s="5"/>
      <c r="GJ15" s="5"/>
    </row>
    <row r="16" spans="1:193" s="35" customFormat="1" ht="15.75" x14ac:dyDescent="0.25">
      <c r="A16" s="36"/>
      <c r="B16" s="37" t="s">
        <v>29</v>
      </c>
      <c r="C16" s="38">
        <f>+C13+C14+C15</f>
        <v>195978</v>
      </c>
      <c r="D16" s="38">
        <f t="shared" ref="D16" si="3">+D13+D14+D15</f>
        <v>192264</v>
      </c>
      <c r="E16" s="38">
        <f>+E13+E14+E15</f>
        <v>214425</v>
      </c>
      <c r="F16" s="38">
        <f>+F13+F14+F15</f>
        <v>265611</v>
      </c>
      <c r="G16" s="38">
        <f t="shared" ref="G16:K16" si="4">+G13+G14+G15</f>
        <v>295353</v>
      </c>
      <c r="H16" s="38">
        <f t="shared" si="4"/>
        <v>292065</v>
      </c>
      <c r="I16" s="38">
        <f t="shared" si="4"/>
        <v>333069</v>
      </c>
      <c r="J16" s="38">
        <f t="shared" si="4"/>
        <v>256950</v>
      </c>
      <c r="K16" s="38">
        <f t="shared" si="4"/>
        <v>246441</v>
      </c>
      <c r="L16" s="38">
        <f t="shared" ref="L16:M16" si="5">+L13+L14+L15</f>
        <v>238828</v>
      </c>
      <c r="M16" s="38">
        <f t="shared" si="5"/>
        <v>324462</v>
      </c>
      <c r="N16" s="38">
        <f t="shared" ref="N16:O16" si="6">+N13+N14+N15</f>
        <v>366858</v>
      </c>
      <c r="O16" s="38">
        <f t="shared" si="6"/>
        <v>415712</v>
      </c>
      <c r="P16" s="6"/>
      <c r="Q16" s="7"/>
      <c r="R16" s="7"/>
      <c r="S16" s="7"/>
      <c r="T16" s="7"/>
      <c r="U16" s="6"/>
      <c r="V16" s="7"/>
      <c r="W16" s="7"/>
      <c r="X16" s="6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3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3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3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4"/>
      <c r="GI16" s="34"/>
      <c r="GJ16" s="34"/>
    </row>
    <row r="17" spans="1:193" s="34" customFormat="1" ht="15.75" x14ac:dyDescent="0.25">
      <c r="A17" s="30" t="s">
        <v>35</v>
      </c>
      <c r="B17" s="31" t="s">
        <v>7</v>
      </c>
      <c r="C17" s="32">
        <f>C18+C19</f>
        <v>156450</v>
      </c>
      <c r="D17" s="32">
        <f t="shared" ref="D17" si="7">D18+D19</f>
        <v>140653</v>
      </c>
      <c r="E17" s="32">
        <f>E18+E19</f>
        <v>217288</v>
      </c>
      <c r="F17" s="32">
        <f>F18+F19</f>
        <v>237568</v>
      </c>
      <c r="G17" s="32">
        <f t="shared" ref="G17:H17" si="8">G18+G19</f>
        <v>260508</v>
      </c>
      <c r="H17" s="32">
        <f t="shared" si="8"/>
        <v>286274</v>
      </c>
      <c r="I17" s="32">
        <f t="shared" ref="I17:K17" si="9">I18+I19</f>
        <v>325480</v>
      </c>
      <c r="J17" s="32">
        <f t="shared" si="9"/>
        <v>368411</v>
      </c>
      <c r="K17" s="32">
        <f t="shared" si="9"/>
        <v>397782</v>
      </c>
      <c r="L17" s="32">
        <f t="shared" ref="L17:M17" si="10">L18+L19</f>
        <v>311711</v>
      </c>
      <c r="M17" s="32">
        <f t="shared" si="10"/>
        <v>393631</v>
      </c>
      <c r="N17" s="32">
        <f t="shared" ref="N17:O17" si="11">N18+N19</f>
        <v>480974</v>
      </c>
      <c r="O17" s="32">
        <f t="shared" si="11"/>
        <v>509763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K17" s="35"/>
    </row>
    <row r="18" spans="1:193" ht="15.75" x14ac:dyDescent="0.25">
      <c r="A18" s="15">
        <v>6.1</v>
      </c>
      <c r="B18" s="16" t="s">
        <v>8</v>
      </c>
      <c r="C18" s="21">
        <v>149457</v>
      </c>
      <c r="D18" s="21">
        <v>132930</v>
      </c>
      <c r="E18" s="21">
        <v>208884</v>
      </c>
      <c r="F18" s="21">
        <v>228858</v>
      </c>
      <c r="G18" s="21">
        <v>250960</v>
      </c>
      <c r="H18" s="1">
        <v>275809</v>
      </c>
      <c r="I18" s="1">
        <v>313900</v>
      </c>
      <c r="J18" s="1">
        <v>355194</v>
      </c>
      <c r="K18" s="1">
        <v>383178</v>
      </c>
      <c r="L18" s="1">
        <v>304886</v>
      </c>
      <c r="M18" s="1">
        <v>383225</v>
      </c>
      <c r="N18" s="1">
        <v>461068</v>
      </c>
      <c r="O18" s="1">
        <v>486378</v>
      </c>
      <c r="P18" s="6"/>
      <c r="Q18" s="7"/>
      <c r="R18" s="7"/>
      <c r="S18" s="7"/>
      <c r="T18" s="7"/>
      <c r="U18" s="6"/>
      <c r="V18" s="7"/>
      <c r="W18" s="7"/>
      <c r="X18" s="6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5"/>
      <c r="GI18" s="5"/>
      <c r="GJ18" s="5"/>
    </row>
    <row r="19" spans="1:193" ht="15.75" x14ac:dyDescent="0.25">
      <c r="A19" s="15">
        <v>6.2</v>
      </c>
      <c r="B19" s="16" t="s">
        <v>9</v>
      </c>
      <c r="C19" s="21">
        <v>6993</v>
      </c>
      <c r="D19" s="21">
        <v>7723</v>
      </c>
      <c r="E19" s="21">
        <v>8404</v>
      </c>
      <c r="F19" s="21">
        <v>8710</v>
      </c>
      <c r="G19" s="21">
        <v>9548</v>
      </c>
      <c r="H19" s="1">
        <v>10465</v>
      </c>
      <c r="I19" s="1">
        <v>11580</v>
      </c>
      <c r="J19" s="1">
        <v>13217</v>
      </c>
      <c r="K19" s="1">
        <v>14604</v>
      </c>
      <c r="L19" s="1">
        <v>6825</v>
      </c>
      <c r="M19" s="1">
        <v>10406</v>
      </c>
      <c r="N19" s="1">
        <v>19906</v>
      </c>
      <c r="O19" s="1">
        <v>23385</v>
      </c>
      <c r="P19" s="6"/>
      <c r="Q19" s="7"/>
      <c r="R19" s="7"/>
      <c r="S19" s="7"/>
      <c r="T19" s="7"/>
      <c r="U19" s="6"/>
      <c r="V19" s="7"/>
      <c r="W19" s="7"/>
      <c r="X19" s="6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5"/>
      <c r="GI19" s="5"/>
      <c r="GJ19" s="5"/>
    </row>
    <row r="20" spans="1:193" s="34" customFormat="1" ht="30" x14ac:dyDescent="0.25">
      <c r="A20" s="41" t="s">
        <v>36</v>
      </c>
      <c r="B20" s="42" t="s">
        <v>10</v>
      </c>
      <c r="C20" s="32">
        <f>SUM(C21:C27)</f>
        <v>70408</v>
      </c>
      <c r="D20" s="32">
        <f>SUM(D21:D27)</f>
        <v>87255</v>
      </c>
      <c r="E20" s="32">
        <f>SUM(E21:E27)</f>
        <v>98114</v>
      </c>
      <c r="F20" s="32">
        <f t="shared" ref="F20:O20" si="12">SUM(F21:F27)</f>
        <v>107959</v>
      </c>
      <c r="G20" s="32">
        <f t="shared" si="12"/>
        <v>124084</v>
      </c>
      <c r="H20" s="32">
        <f t="shared" si="12"/>
        <v>139817</v>
      </c>
      <c r="I20" s="32">
        <f t="shared" si="12"/>
        <v>147565</v>
      </c>
      <c r="J20" s="32">
        <f t="shared" si="12"/>
        <v>156287</v>
      </c>
      <c r="K20" s="32">
        <f t="shared" si="12"/>
        <v>173096</v>
      </c>
      <c r="L20" s="32">
        <f t="shared" si="12"/>
        <v>154845</v>
      </c>
      <c r="M20" s="32">
        <f t="shared" si="12"/>
        <v>206465</v>
      </c>
      <c r="N20" s="32">
        <f t="shared" si="12"/>
        <v>232889</v>
      </c>
      <c r="O20" s="32">
        <f t="shared" si="12"/>
        <v>250785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K20" s="35"/>
    </row>
    <row r="21" spans="1:193" ht="15.75" x14ac:dyDescent="0.25">
      <c r="A21" s="15">
        <v>7.1</v>
      </c>
      <c r="B21" s="16" t="s">
        <v>11</v>
      </c>
      <c r="C21" s="21">
        <v>2</v>
      </c>
      <c r="D21" s="21">
        <v>3</v>
      </c>
      <c r="E21" s="21">
        <v>5</v>
      </c>
      <c r="F21" s="21">
        <v>6</v>
      </c>
      <c r="G21" s="21">
        <v>7</v>
      </c>
      <c r="H21" s="1">
        <v>6</v>
      </c>
      <c r="I21" s="1">
        <v>7</v>
      </c>
      <c r="J21" s="1">
        <v>8</v>
      </c>
      <c r="K21" s="1">
        <v>53</v>
      </c>
      <c r="L21" s="1">
        <v>62</v>
      </c>
      <c r="M21" s="1">
        <v>72</v>
      </c>
      <c r="N21" s="1">
        <v>38</v>
      </c>
      <c r="O21" s="1">
        <v>335</v>
      </c>
      <c r="P21" s="6"/>
      <c r="Q21" s="7"/>
      <c r="R21" s="7"/>
      <c r="S21" s="7"/>
      <c r="T21" s="7"/>
      <c r="U21" s="6"/>
      <c r="V21" s="7"/>
      <c r="W21" s="7"/>
      <c r="X21" s="6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5"/>
      <c r="GI21" s="5"/>
      <c r="GJ21" s="5"/>
    </row>
    <row r="22" spans="1:193" ht="15.75" x14ac:dyDescent="0.25">
      <c r="A22" s="15">
        <v>7.2</v>
      </c>
      <c r="B22" s="16" t="s">
        <v>12</v>
      </c>
      <c r="C22" s="21">
        <v>43561</v>
      </c>
      <c r="D22" s="21">
        <v>53400</v>
      </c>
      <c r="E22" s="21">
        <v>56436</v>
      </c>
      <c r="F22" s="21">
        <v>58935</v>
      </c>
      <c r="G22" s="21">
        <v>62770</v>
      </c>
      <c r="H22" s="1">
        <v>72410</v>
      </c>
      <c r="I22" s="1">
        <v>78738</v>
      </c>
      <c r="J22" s="1">
        <v>88507</v>
      </c>
      <c r="K22" s="1">
        <v>92577</v>
      </c>
      <c r="L22" s="1">
        <v>75387</v>
      </c>
      <c r="M22" s="1">
        <v>114270</v>
      </c>
      <c r="N22" s="1">
        <v>121048</v>
      </c>
      <c r="O22" s="1">
        <v>119723</v>
      </c>
      <c r="P22" s="6"/>
      <c r="Q22" s="7"/>
      <c r="R22" s="7"/>
      <c r="S22" s="7"/>
      <c r="T22" s="7"/>
      <c r="U22" s="6"/>
      <c r="V22" s="7"/>
      <c r="W22" s="7"/>
      <c r="X22" s="6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5"/>
      <c r="GI22" s="5"/>
      <c r="GJ22" s="5"/>
    </row>
    <row r="23" spans="1:193" ht="15.75" x14ac:dyDescent="0.25">
      <c r="A23" s="15">
        <v>7.3</v>
      </c>
      <c r="B23" s="16" t="s">
        <v>13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/>
      <c r="O23" s="1"/>
      <c r="P23" s="6"/>
      <c r="Q23" s="7"/>
      <c r="R23" s="7"/>
      <c r="S23" s="7"/>
      <c r="T23" s="7"/>
      <c r="U23" s="6"/>
      <c r="V23" s="7"/>
      <c r="W23" s="7"/>
      <c r="X23" s="6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5"/>
      <c r="GI23" s="5"/>
      <c r="GJ23" s="5"/>
    </row>
    <row r="24" spans="1:193" ht="15.75" x14ac:dyDescent="0.25">
      <c r="A24" s="15">
        <v>7.4</v>
      </c>
      <c r="B24" s="16" t="s">
        <v>14</v>
      </c>
      <c r="C24" s="21">
        <v>1999</v>
      </c>
      <c r="D24" s="21">
        <v>3502</v>
      </c>
      <c r="E24" s="21">
        <v>2499</v>
      </c>
      <c r="F24" s="21">
        <v>3668</v>
      </c>
      <c r="G24" s="21">
        <v>6969</v>
      </c>
      <c r="H24" s="1">
        <v>7437</v>
      </c>
      <c r="I24" s="1">
        <v>7230</v>
      </c>
      <c r="J24" s="1">
        <v>4715</v>
      </c>
      <c r="K24" s="1">
        <v>8488</v>
      </c>
      <c r="L24" s="1">
        <v>4633</v>
      </c>
      <c r="M24" s="1">
        <v>4796</v>
      </c>
      <c r="N24" s="1">
        <v>6841</v>
      </c>
      <c r="O24" s="1">
        <v>11211</v>
      </c>
      <c r="P24" s="6"/>
      <c r="Q24" s="7"/>
      <c r="R24" s="7"/>
      <c r="S24" s="7"/>
      <c r="T24" s="7"/>
      <c r="U24" s="6"/>
      <c r="V24" s="7"/>
      <c r="W24" s="7"/>
      <c r="X24" s="6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5"/>
      <c r="GI24" s="5"/>
      <c r="GJ24" s="5"/>
    </row>
    <row r="25" spans="1:193" ht="15.75" x14ac:dyDescent="0.25">
      <c r="A25" s="15">
        <v>7.5</v>
      </c>
      <c r="B25" s="16" t="s">
        <v>15</v>
      </c>
      <c r="C25" s="21">
        <v>1816</v>
      </c>
      <c r="D25" s="21">
        <v>2226</v>
      </c>
      <c r="E25" s="21">
        <v>2330</v>
      </c>
      <c r="F25" s="21">
        <v>2442</v>
      </c>
      <c r="G25" s="21">
        <v>2617</v>
      </c>
      <c r="H25" s="1">
        <v>8234</v>
      </c>
      <c r="I25" s="1">
        <v>8495</v>
      </c>
      <c r="J25" s="1">
        <v>9538</v>
      </c>
      <c r="K25" s="1">
        <v>9627</v>
      </c>
      <c r="L25" s="1">
        <v>4936</v>
      </c>
      <c r="M25" s="1">
        <v>7456</v>
      </c>
      <c r="N25" s="1">
        <v>11487</v>
      </c>
      <c r="O25" s="1">
        <v>14734</v>
      </c>
      <c r="P25" s="6"/>
      <c r="Q25" s="7"/>
      <c r="R25" s="7"/>
      <c r="S25" s="7"/>
      <c r="T25" s="7"/>
      <c r="U25" s="6"/>
      <c r="V25" s="7"/>
      <c r="W25" s="7"/>
      <c r="X25" s="6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5"/>
      <c r="GI25" s="5"/>
      <c r="GJ25" s="5"/>
    </row>
    <row r="26" spans="1:193" ht="15.75" x14ac:dyDescent="0.25">
      <c r="A26" s="15">
        <v>7.6</v>
      </c>
      <c r="B26" s="16" t="s">
        <v>16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/>
      <c r="O26" s="1"/>
      <c r="P26" s="6"/>
      <c r="Q26" s="7"/>
      <c r="R26" s="7"/>
      <c r="S26" s="7"/>
      <c r="T26" s="7"/>
      <c r="U26" s="6"/>
      <c r="V26" s="7"/>
      <c r="W26" s="7"/>
      <c r="X26" s="6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5"/>
      <c r="GI26" s="5"/>
      <c r="GJ26" s="5"/>
    </row>
    <row r="27" spans="1:193" ht="30" x14ac:dyDescent="0.25">
      <c r="A27" s="15">
        <v>7.7</v>
      </c>
      <c r="B27" s="16" t="s">
        <v>17</v>
      </c>
      <c r="C27" s="21">
        <v>23030</v>
      </c>
      <c r="D27" s="21">
        <v>28124</v>
      </c>
      <c r="E27" s="21">
        <v>36844</v>
      </c>
      <c r="F27" s="21">
        <v>42908</v>
      </c>
      <c r="G27" s="21">
        <v>51721</v>
      </c>
      <c r="H27" s="1">
        <v>51730</v>
      </c>
      <c r="I27" s="1">
        <v>53095</v>
      </c>
      <c r="J27" s="1">
        <v>53519</v>
      </c>
      <c r="K27" s="1">
        <v>62351</v>
      </c>
      <c r="L27" s="1">
        <v>69827</v>
      </c>
      <c r="M27" s="1">
        <v>79871</v>
      </c>
      <c r="N27" s="1">
        <v>93475</v>
      </c>
      <c r="O27" s="1">
        <v>104782</v>
      </c>
      <c r="P27" s="6"/>
      <c r="Q27" s="7"/>
      <c r="R27" s="7"/>
      <c r="S27" s="7"/>
      <c r="T27" s="7"/>
      <c r="U27" s="6"/>
      <c r="V27" s="7"/>
      <c r="W27" s="7"/>
      <c r="X27" s="6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5"/>
      <c r="GI27" s="5"/>
      <c r="GJ27" s="5"/>
    </row>
    <row r="28" spans="1:193" ht="15.75" x14ac:dyDescent="0.25">
      <c r="A28" s="17" t="s">
        <v>37</v>
      </c>
      <c r="B28" s="16" t="s">
        <v>18</v>
      </c>
      <c r="C28" s="21">
        <v>23399</v>
      </c>
      <c r="D28" s="21">
        <v>25250</v>
      </c>
      <c r="E28" s="21">
        <v>28230</v>
      </c>
      <c r="F28" s="21">
        <v>29609</v>
      </c>
      <c r="G28" s="21">
        <v>37875</v>
      </c>
      <c r="H28" s="1">
        <v>38515</v>
      </c>
      <c r="I28" s="1">
        <v>43542</v>
      </c>
      <c r="J28" s="1">
        <v>58371</v>
      </c>
      <c r="K28" s="1">
        <v>69087</v>
      </c>
      <c r="L28" s="1">
        <v>71562</v>
      </c>
      <c r="M28" s="1">
        <v>79424</v>
      </c>
      <c r="N28" s="1">
        <v>101237</v>
      </c>
      <c r="O28" s="1">
        <v>190217</v>
      </c>
      <c r="P28" s="6"/>
      <c r="Q28" s="7"/>
      <c r="R28" s="7"/>
      <c r="S28" s="7"/>
      <c r="T28" s="7"/>
      <c r="U28" s="6"/>
      <c r="V28" s="7"/>
      <c r="W28" s="7"/>
      <c r="X28" s="6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5"/>
      <c r="GI28" s="5"/>
      <c r="GJ28" s="5"/>
    </row>
    <row r="29" spans="1:193" ht="30" x14ac:dyDescent="0.25">
      <c r="A29" s="17" t="s">
        <v>38</v>
      </c>
      <c r="B29" s="16" t="s">
        <v>19</v>
      </c>
      <c r="C29" s="21">
        <v>134847</v>
      </c>
      <c r="D29" s="21">
        <v>144304</v>
      </c>
      <c r="E29" s="21">
        <v>152279</v>
      </c>
      <c r="F29" s="21">
        <v>157980</v>
      </c>
      <c r="G29" s="21">
        <v>158360</v>
      </c>
      <c r="H29" s="1">
        <v>169921</v>
      </c>
      <c r="I29" s="1">
        <v>184563</v>
      </c>
      <c r="J29" s="1">
        <v>199661</v>
      </c>
      <c r="K29" s="1">
        <v>199415</v>
      </c>
      <c r="L29" s="1">
        <v>198331</v>
      </c>
      <c r="M29" s="1">
        <v>215887</v>
      </c>
      <c r="N29" s="1">
        <v>232063</v>
      </c>
      <c r="O29" s="1">
        <v>246672</v>
      </c>
      <c r="P29" s="6"/>
      <c r="Q29" s="7"/>
      <c r="R29" s="7"/>
      <c r="S29" s="7"/>
      <c r="T29" s="7"/>
      <c r="U29" s="6"/>
      <c r="V29" s="7"/>
      <c r="W29" s="7"/>
      <c r="X29" s="6"/>
      <c r="Y29" s="8"/>
      <c r="Z29" s="8"/>
      <c r="AA29" s="8"/>
      <c r="AB29" s="8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5"/>
      <c r="GI29" s="5"/>
      <c r="GJ29" s="5"/>
    </row>
    <row r="30" spans="1:193" ht="15.75" x14ac:dyDescent="0.25">
      <c r="A30" s="17" t="s">
        <v>39</v>
      </c>
      <c r="B30" s="16" t="s">
        <v>54</v>
      </c>
      <c r="C30" s="21">
        <v>231790</v>
      </c>
      <c r="D30" s="21">
        <v>243900</v>
      </c>
      <c r="E30" s="21">
        <v>252574</v>
      </c>
      <c r="F30" s="21">
        <v>288789</v>
      </c>
      <c r="G30" s="21">
        <v>342238</v>
      </c>
      <c r="H30" s="1">
        <v>346247</v>
      </c>
      <c r="I30" s="1">
        <v>361787</v>
      </c>
      <c r="J30" s="1">
        <v>390771</v>
      </c>
      <c r="K30" s="1">
        <v>436717</v>
      </c>
      <c r="L30" s="1">
        <v>509599</v>
      </c>
      <c r="M30" s="1">
        <v>573277</v>
      </c>
      <c r="N30" s="1">
        <v>642273</v>
      </c>
      <c r="O30" s="1">
        <v>782784</v>
      </c>
      <c r="P30" s="6"/>
      <c r="Q30" s="7"/>
      <c r="R30" s="7"/>
      <c r="S30" s="7"/>
      <c r="T30" s="7"/>
      <c r="U30" s="6"/>
      <c r="V30" s="7"/>
      <c r="W30" s="7"/>
      <c r="X30" s="6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5"/>
      <c r="GI30" s="5"/>
      <c r="GJ30" s="5"/>
    </row>
    <row r="31" spans="1:193" ht="15.75" x14ac:dyDescent="0.25">
      <c r="A31" s="17" t="s">
        <v>40</v>
      </c>
      <c r="B31" s="16" t="s">
        <v>20</v>
      </c>
      <c r="C31" s="21">
        <v>208417</v>
      </c>
      <c r="D31" s="21">
        <v>241678</v>
      </c>
      <c r="E31" s="21">
        <v>272290</v>
      </c>
      <c r="F31" s="21">
        <v>298681</v>
      </c>
      <c r="G31" s="21">
        <v>287332</v>
      </c>
      <c r="H31" s="1">
        <v>351098</v>
      </c>
      <c r="I31" s="1">
        <v>434413</v>
      </c>
      <c r="J31" s="1">
        <v>472161</v>
      </c>
      <c r="K31" s="1">
        <v>564679</v>
      </c>
      <c r="L31" s="1">
        <v>558245</v>
      </c>
      <c r="M31" s="1">
        <v>676015</v>
      </c>
      <c r="N31" s="1">
        <v>810419</v>
      </c>
      <c r="O31" s="1">
        <v>941135</v>
      </c>
      <c r="P31" s="6"/>
      <c r="Q31" s="7"/>
      <c r="R31" s="7"/>
      <c r="S31" s="7"/>
      <c r="T31" s="7"/>
      <c r="U31" s="6"/>
      <c r="V31" s="7"/>
      <c r="W31" s="7"/>
      <c r="X31" s="6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5"/>
      <c r="GI31" s="5"/>
      <c r="GJ31" s="5"/>
    </row>
    <row r="32" spans="1:193" s="35" customFormat="1" ht="15.75" x14ac:dyDescent="0.25">
      <c r="A32" s="36"/>
      <c r="B32" s="37" t="s">
        <v>30</v>
      </c>
      <c r="C32" s="38">
        <f>C17+C20+C28+C29+C30+C31</f>
        <v>825311</v>
      </c>
      <c r="D32" s="38">
        <f t="shared" ref="D32" si="13">D17+D20+D28+D29+D30+D31</f>
        <v>883040</v>
      </c>
      <c r="E32" s="38">
        <f>E17+E20+E28+E29+E30+E31</f>
        <v>1020775</v>
      </c>
      <c r="F32" s="38">
        <f t="shared" ref="F32:H32" si="14">F17+F20+F28+F29+F30+F31</f>
        <v>1120586</v>
      </c>
      <c r="G32" s="38">
        <f t="shared" si="14"/>
        <v>1210397</v>
      </c>
      <c r="H32" s="38">
        <f t="shared" si="14"/>
        <v>1331872</v>
      </c>
      <c r="I32" s="38">
        <f t="shared" ref="I32:K32" si="15">I17+I20+I28+I29+I30+I31</f>
        <v>1497350</v>
      </c>
      <c r="J32" s="38">
        <f t="shared" si="15"/>
        <v>1645662</v>
      </c>
      <c r="K32" s="38">
        <f t="shared" si="15"/>
        <v>1840776</v>
      </c>
      <c r="L32" s="38">
        <f t="shared" ref="L32:M32" si="16">L17+L20+L28+L29+L30+L31</f>
        <v>1804293</v>
      </c>
      <c r="M32" s="38">
        <f t="shared" si="16"/>
        <v>2144699</v>
      </c>
      <c r="N32" s="38">
        <f t="shared" ref="N32:O32" si="17">N17+N20+N28+N29+N30+N31</f>
        <v>2499855</v>
      </c>
      <c r="O32" s="38">
        <f t="shared" si="17"/>
        <v>2921356</v>
      </c>
      <c r="P32" s="6"/>
      <c r="Q32" s="7"/>
      <c r="R32" s="7"/>
      <c r="S32" s="7"/>
      <c r="T32" s="7"/>
      <c r="U32" s="6"/>
      <c r="V32" s="7"/>
      <c r="W32" s="7"/>
      <c r="X32" s="6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9"/>
      <c r="GE32" s="39"/>
      <c r="GF32" s="39"/>
      <c r="GG32" s="39"/>
      <c r="GH32" s="34"/>
      <c r="GI32" s="34"/>
      <c r="GJ32" s="34"/>
    </row>
    <row r="33" spans="1:193" s="34" customFormat="1" ht="15.75" x14ac:dyDescent="0.25">
      <c r="A33" s="30" t="s">
        <v>27</v>
      </c>
      <c r="B33" s="43" t="s">
        <v>41</v>
      </c>
      <c r="C33" s="32">
        <f>C6+C11+C13+C14+C15+C17+C20+C28+C29+C30+C31</f>
        <v>1272911.58</v>
      </c>
      <c r="D33" s="32">
        <f>D6+D11+D13+D14+D15+D17+D20+D28+D29+D30+D31</f>
        <v>1372468.76</v>
      </c>
      <c r="E33" s="32">
        <f>E6+E11+E13+E14+E15+E17+E20+E28+E29+E30+E31</f>
        <v>1583947.66</v>
      </c>
      <c r="F33" s="32">
        <f>F6+F11+F13+F14+F15+F17+F20+F28+F29+F30+F31</f>
        <v>1786630</v>
      </c>
      <c r="G33" s="32">
        <f t="shared" ref="G33:H33" si="18">G6+G11+G13+G14+G15+G17+G20+G28+G29+G30+G31</f>
        <v>1903318</v>
      </c>
      <c r="H33" s="32">
        <f t="shared" si="18"/>
        <v>2043834</v>
      </c>
      <c r="I33" s="32">
        <f t="shared" ref="I33:K33" si="19">I6+I11+I13+I14+I15+I17+I20+I28+I29+I30+I31</f>
        <v>2503973</v>
      </c>
      <c r="J33" s="32">
        <f t="shared" si="19"/>
        <v>2628234</v>
      </c>
      <c r="K33" s="32">
        <f t="shared" si="19"/>
        <v>2844138</v>
      </c>
      <c r="L33" s="32">
        <f t="shared" ref="L33:M33" si="20">L6+L11+L13+L14+L15+L17+L20+L28+L29+L30+L31</f>
        <v>2844515</v>
      </c>
      <c r="M33" s="32">
        <f t="shared" si="20"/>
        <v>3347071</v>
      </c>
      <c r="N33" s="32">
        <f t="shared" ref="N33:O33" si="21">N6+N11+N13+N14+N15+N17+N20+N28+N29+N30+N31</f>
        <v>3672438</v>
      </c>
      <c r="O33" s="32">
        <f t="shared" si="21"/>
        <v>4210206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K33" s="35"/>
    </row>
    <row r="34" spans="1:193" ht="15.75" x14ac:dyDescent="0.25">
      <c r="A34" s="18" t="s">
        <v>43</v>
      </c>
      <c r="B34" s="4" t="s">
        <v>25</v>
      </c>
      <c r="C34" s="23">
        <v>48918.33</v>
      </c>
      <c r="D34" s="23">
        <v>46018.62</v>
      </c>
      <c r="E34" s="23">
        <v>77020.95</v>
      </c>
      <c r="F34" s="23">
        <v>76376</v>
      </c>
      <c r="G34" s="23">
        <v>97115</v>
      </c>
      <c r="H34" s="1">
        <v>113598</v>
      </c>
      <c r="I34" s="1">
        <v>100840</v>
      </c>
      <c r="J34" s="1">
        <v>140699</v>
      </c>
      <c r="K34" s="1">
        <v>166011</v>
      </c>
      <c r="L34" s="19">
        <v>187677</v>
      </c>
      <c r="M34" s="19">
        <v>232741</v>
      </c>
      <c r="N34" s="19">
        <v>261023</v>
      </c>
      <c r="O34" s="19">
        <v>216046</v>
      </c>
      <c r="P34" s="6"/>
      <c r="Q34" s="7"/>
      <c r="R34" s="7"/>
      <c r="S34" s="7"/>
      <c r="T34" s="7"/>
      <c r="U34" s="6"/>
      <c r="V34" s="7"/>
      <c r="W34" s="7"/>
      <c r="X34" s="6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</row>
    <row r="35" spans="1:193" ht="15.75" x14ac:dyDescent="0.25">
      <c r="A35" s="18" t="s">
        <v>44</v>
      </c>
      <c r="B35" s="4" t="s">
        <v>24</v>
      </c>
      <c r="C35" s="23">
        <v>30370</v>
      </c>
      <c r="D35" s="23">
        <v>44163</v>
      </c>
      <c r="E35" s="23">
        <v>42765</v>
      </c>
      <c r="F35" s="23">
        <v>50101</v>
      </c>
      <c r="G35" s="23">
        <v>47366</v>
      </c>
      <c r="H35" s="1">
        <v>28043</v>
      </c>
      <c r="I35" s="1">
        <v>25890</v>
      </c>
      <c r="J35" s="1">
        <v>30126</v>
      </c>
      <c r="K35" s="1">
        <v>28846</v>
      </c>
      <c r="L35" s="19">
        <v>54583</v>
      </c>
      <c r="M35" s="19">
        <v>77064</v>
      </c>
      <c r="N35" s="19">
        <v>81030</v>
      </c>
      <c r="O35" s="19">
        <v>84876</v>
      </c>
      <c r="P35" s="6"/>
      <c r="Q35" s="7"/>
      <c r="R35" s="7"/>
      <c r="S35" s="7"/>
      <c r="T35" s="7"/>
      <c r="U35" s="6"/>
      <c r="V35" s="7"/>
      <c r="W35" s="7"/>
      <c r="X35" s="6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</row>
    <row r="36" spans="1:193" s="35" customFormat="1" ht="15.75" x14ac:dyDescent="0.25">
      <c r="A36" s="44" t="s">
        <v>45</v>
      </c>
      <c r="B36" s="45" t="s">
        <v>55</v>
      </c>
      <c r="C36" s="38">
        <f>C33+C34-C35</f>
        <v>1291459.9100000001</v>
      </c>
      <c r="D36" s="38">
        <f>D33+D34-D35</f>
        <v>1374324.3800000001</v>
      </c>
      <c r="E36" s="38">
        <f>E33+E34-E35</f>
        <v>1618203.6099999999</v>
      </c>
      <c r="F36" s="38">
        <f>F33+F34-F35</f>
        <v>1812905</v>
      </c>
      <c r="G36" s="38">
        <f t="shared" ref="G36:O36" si="22">G33+G34-G35</f>
        <v>1953067</v>
      </c>
      <c r="H36" s="38">
        <f t="shared" si="22"/>
        <v>2129389</v>
      </c>
      <c r="I36" s="38">
        <f t="shared" si="22"/>
        <v>2578923</v>
      </c>
      <c r="J36" s="38">
        <f t="shared" si="22"/>
        <v>2738807</v>
      </c>
      <c r="K36" s="38">
        <f t="shared" si="22"/>
        <v>2981303</v>
      </c>
      <c r="L36" s="38">
        <f t="shared" si="22"/>
        <v>2977609</v>
      </c>
      <c r="M36" s="38">
        <f t="shared" si="22"/>
        <v>3502748</v>
      </c>
      <c r="N36" s="38">
        <f t="shared" si="22"/>
        <v>3852431</v>
      </c>
      <c r="O36" s="38">
        <f t="shared" si="22"/>
        <v>4341376</v>
      </c>
      <c r="P36" s="6"/>
      <c r="Q36" s="7"/>
      <c r="R36" s="7"/>
      <c r="S36" s="7"/>
      <c r="T36" s="7"/>
      <c r="U36" s="6"/>
      <c r="V36" s="7"/>
      <c r="W36" s="7"/>
      <c r="X36" s="6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</row>
    <row r="37" spans="1:193" ht="15.75" x14ac:dyDescent="0.25">
      <c r="A37" s="18" t="s">
        <v>46</v>
      </c>
      <c r="B37" s="4" t="s">
        <v>42</v>
      </c>
      <c r="C37" s="23">
        <v>28925</v>
      </c>
      <c r="D37" s="23">
        <v>29561</v>
      </c>
      <c r="E37" s="23">
        <v>30210</v>
      </c>
      <c r="F37" s="23">
        <v>30873</v>
      </c>
      <c r="G37" s="23">
        <v>31549</v>
      </c>
      <c r="H37" s="19">
        <v>32239</v>
      </c>
      <c r="I37" s="19">
        <v>32943</v>
      </c>
      <c r="J37" s="19">
        <v>33661</v>
      </c>
      <c r="K37" s="19">
        <v>34394</v>
      </c>
      <c r="L37" s="19">
        <v>35142</v>
      </c>
      <c r="M37" s="19">
        <v>31790</v>
      </c>
      <c r="N37" s="19">
        <v>32090</v>
      </c>
      <c r="O37" s="19">
        <v>32380</v>
      </c>
      <c r="Y37" s="5"/>
      <c r="Z37" s="5"/>
      <c r="AA37" s="5"/>
      <c r="AB37" s="5"/>
    </row>
    <row r="38" spans="1:193" s="35" customFormat="1" ht="15.75" x14ac:dyDescent="0.25">
      <c r="A38" s="44" t="s">
        <v>47</v>
      </c>
      <c r="B38" s="45" t="s">
        <v>58</v>
      </c>
      <c r="C38" s="38">
        <f>C36/C37*1000</f>
        <v>44648.570786516859</v>
      </c>
      <c r="D38" s="38">
        <f>D36/D37*1000</f>
        <v>46491.13291160651</v>
      </c>
      <c r="E38" s="38">
        <f>E36/E37*1000</f>
        <v>53565.164184045017</v>
      </c>
      <c r="F38" s="38">
        <f>F36/F37*1000</f>
        <v>58721.374663945848</v>
      </c>
      <c r="G38" s="38">
        <f t="shared" ref="G38:O38" si="23">G36/G37*1000</f>
        <v>61905.829027861422</v>
      </c>
      <c r="H38" s="38">
        <f t="shared" si="23"/>
        <v>66050.094605912091</v>
      </c>
      <c r="I38" s="38">
        <f t="shared" si="23"/>
        <v>78284.400327839001</v>
      </c>
      <c r="J38" s="38">
        <f t="shared" si="23"/>
        <v>81364.397967974815</v>
      </c>
      <c r="K38" s="38">
        <f t="shared" si="23"/>
        <v>86680.90364598477</v>
      </c>
      <c r="L38" s="38">
        <f t="shared" si="23"/>
        <v>84730.777986454952</v>
      </c>
      <c r="M38" s="38">
        <f t="shared" si="23"/>
        <v>110183.95721925134</v>
      </c>
      <c r="N38" s="38">
        <f t="shared" si="23"/>
        <v>120050.82580243067</v>
      </c>
      <c r="O38" s="38">
        <f t="shared" si="23"/>
        <v>134075.84928968499</v>
      </c>
      <c r="P38" s="6"/>
      <c r="Q38" s="2"/>
      <c r="R38" s="2"/>
      <c r="S38" s="2"/>
      <c r="T38" s="2"/>
      <c r="U38" s="5"/>
      <c r="V38" s="2"/>
      <c r="W38" s="2"/>
      <c r="X38" s="6"/>
      <c r="Y38" s="6"/>
      <c r="Z38" s="6"/>
      <c r="AA38" s="6"/>
      <c r="AB38" s="6"/>
      <c r="AC38" s="2"/>
      <c r="AD38" s="2"/>
      <c r="AE38" s="2"/>
      <c r="AF38" s="2"/>
      <c r="AG38" s="2"/>
      <c r="AH38" s="2"/>
      <c r="AI38" s="2"/>
      <c r="AJ38" s="2"/>
      <c r="CC38" s="39"/>
      <c r="CD38" s="39"/>
      <c r="CE38" s="39"/>
      <c r="CF38" s="39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</row>
    <row r="39" spans="1:193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39"/>
  <sheetViews>
    <sheetView zoomScale="77" zoomScaleNormal="77" zoomScaleSheetLayoutView="100" workbookViewId="0">
      <pane xSplit="2" ySplit="5" topLeftCell="C6" activePane="bottomRight" state="frozen"/>
      <selection activeCell="R35" sqref="R35"/>
      <selection pane="topRight" activeCell="R35" sqref="R35"/>
      <selection pane="bottomLeft" activeCell="R35" sqref="R35"/>
      <selection pane="bottomRight" activeCell="R35" sqref="R35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7" width="11.140625" style="2" customWidth="1"/>
    <col min="8" max="15" width="11.85546875" style="5" customWidth="1"/>
    <col min="16" max="16" width="11.28515625" style="2" customWidth="1"/>
    <col min="17" max="17" width="11.7109375" style="5" customWidth="1"/>
    <col min="18" max="18" width="9.140625" style="2" customWidth="1"/>
    <col min="19" max="19" width="10.85546875" style="2" customWidth="1"/>
    <col min="20" max="20" width="10.85546875" style="5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5" customWidth="1"/>
    <col min="111" max="115" width="9.140625" style="5" hidden="1" customWidth="1"/>
    <col min="116" max="116" width="9.140625" style="5" customWidth="1"/>
    <col min="117" max="121" width="9.140625" style="5" hidden="1" customWidth="1"/>
    <col min="122" max="122" width="9.140625" style="5" customWidth="1"/>
    <col min="123" max="127" width="9.140625" style="5" hidden="1" customWidth="1"/>
    <col min="128" max="128" width="9.140625" style="5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5" width="9.140625" style="2"/>
    <col min="186" max="188" width="8.85546875" style="2"/>
    <col min="189" max="189" width="12.7109375" style="2" bestFit="1" customWidth="1"/>
    <col min="190" max="16384" width="8.85546875" style="2"/>
  </cols>
  <sheetData>
    <row r="1" spans="1:189" ht="18.75" x14ac:dyDescent="0.3">
      <c r="A1" s="2" t="s">
        <v>53</v>
      </c>
      <c r="B1" s="20" t="s">
        <v>66</v>
      </c>
      <c r="S1" s="6"/>
    </row>
    <row r="2" spans="1:189" ht="15.75" x14ac:dyDescent="0.25">
      <c r="A2" s="10" t="s">
        <v>49</v>
      </c>
      <c r="I2" s="5" t="str">
        <f>[1]GSVA_cur!$I$3</f>
        <v>01.08.2025</v>
      </c>
    </row>
    <row r="3" spans="1:189" ht="15.75" x14ac:dyDescent="0.25">
      <c r="A3" s="10"/>
    </row>
    <row r="4" spans="1:189" ht="15.75" x14ac:dyDescent="0.25">
      <c r="A4" s="10"/>
      <c r="E4" s="9"/>
      <c r="F4" s="9" t="s">
        <v>57</v>
      </c>
      <c r="G4" s="9"/>
    </row>
    <row r="5" spans="1:189" ht="15.75" x14ac:dyDescent="0.25">
      <c r="A5" s="11" t="s">
        <v>0</v>
      </c>
      <c r="B5" s="12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19" t="s">
        <v>67</v>
      </c>
      <c r="I5" s="19" t="s">
        <v>68</v>
      </c>
      <c r="J5" s="19" t="s">
        <v>69</v>
      </c>
      <c r="K5" s="19" t="s">
        <v>70</v>
      </c>
      <c r="L5" s="19" t="s">
        <v>71</v>
      </c>
      <c r="M5" s="29" t="s">
        <v>72</v>
      </c>
      <c r="N5" s="29" t="s">
        <v>73</v>
      </c>
      <c r="O5" s="29" t="s">
        <v>74</v>
      </c>
    </row>
    <row r="6" spans="1:189" s="34" customFormat="1" ht="15.75" x14ac:dyDescent="0.25">
      <c r="A6" s="30" t="s">
        <v>26</v>
      </c>
      <c r="B6" s="31" t="s">
        <v>2</v>
      </c>
      <c r="C6" s="32">
        <f t="shared" ref="C6:O6" si="0">C7+C8+C9+C10</f>
        <v>251622.58</v>
      </c>
      <c r="D6" s="32">
        <f t="shared" si="0"/>
        <v>276425.26</v>
      </c>
      <c r="E6" s="32">
        <f t="shared" si="0"/>
        <v>288574.87</v>
      </c>
      <c r="F6" s="32">
        <f t="shared" si="0"/>
        <v>295331</v>
      </c>
      <c r="G6" s="32">
        <f t="shared" si="0"/>
        <v>273718</v>
      </c>
      <c r="H6" s="32">
        <f t="shared" si="0"/>
        <v>290342</v>
      </c>
      <c r="I6" s="32">
        <f t="shared" si="0"/>
        <v>427979</v>
      </c>
      <c r="J6" s="32">
        <f t="shared" si="0"/>
        <v>412810</v>
      </c>
      <c r="K6" s="32">
        <f t="shared" si="0"/>
        <v>398989</v>
      </c>
      <c r="L6" s="32">
        <f t="shared" si="0"/>
        <v>385812</v>
      </c>
      <c r="M6" s="32">
        <f t="shared" si="0"/>
        <v>410695</v>
      </c>
      <c r="N6" s="32">
        <f t="shared" si="0"/>
        <v>359107</v>
      </c>
      <c r="O6" s="32">
        <f t="shared" si="0"/>
        <v>366070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G6" s="35"/>
    </row>
    <row r="7" spans="1:189" ht="15.75" x14ac:dyDescent="0.25">
      <c r="A7" s="15">
        <v>1.1000000000000001</v>
      </c>
      <c r="B7" s="16" t="s">
        <v>59</v>
      </c>
      <c r="C7" s="23">
        <v>137771.57999999999</v>
      </c>
      <c r="D7" s="23">
        <v>159419.26</v>
      </c>
      <c r="E7" s="23">
        <v>167469.15</v>
      </c>
      <c r="F7" s="23">
        <v>177112</v>
      </c>
      <c r="G7" s="23">
        <v>152555</v>
      </c>
      <c r="H7" s="23">
        <v>141966</v>
      </c>
      <c r="I7" s="1">
        <v>267660</v>
      </c>
      <c r="J7" s="1">
        <v>267685</v>
      </c>
      <c r="K7" s="1">
        <v>254353</v>
      </c>
      <c r="L7" s="1">
        <v>259734</v>
      </c>
      <c r="M7" s="1">
        <v>281976</v>
      </c>
      <c r="N7" s="1">
        <v>233556</v>
      </c>
      <c r="O7" s="1">
        <v>231551</v>
      </c>
      <c r="P7" s="7"/>
      <c r="Q7" s="6"/>
      <c r="R7" s="7"/>
      <c r="S7" s="7"/>
      <c r="T7" s="6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5"/>
      <c r="GE7" s="5"/>
      <c r="GF7" s="5"/>
    </row>
    <row r="8" spans="1:189" ht="15.75" x14ac:dyDescent="0.25">
      <c r="A8" s="15">
        <v>1.2</v>
      </c>
      <c r="B8" s="16" t="s">
        <v>60</v>
      </c>
      <c r="C8" s="23">
        <v>52587</v>
      </c>
      <c r="D8" s="23">
        <v>54292</v>
      </c>
      <c r="E8" s="23">
        <v>55877.72</v>
      </c>
      <c r="F8" s="23">
        <v>56120</v>
      </c>
      <c r="G8" s="23">
        <v>56995</v>
      </c>
      <c r="H8" s="23">
        <v>58930</v>
      </c>
      <c r="I8" s="1">
        <v>62829</v>
      </c>
      <c r="J8" s="1">
        <v>57444</v>
      </c>
      <c r="K8" s="1">
        <v>59985</v>
      </c>
      <c r="L8" s="1">
        <v>57546</v>
      </c>
      <c r="M8" s="1">
        <v>58589</v>
      </c>
      <c r="N8" s="1">
        <v>54765</v>
      </c>
      <c r="O8" s="1">
        <v>57532</v>
      </c>
      <c r="P8" s="7"/>
      <c r="Q8" s="6"/>
      <c r="R8" s="7"/>
      <c r="S8" s="7"/>
      <c r="T8" s="6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5"/>
      <c r="GE8" s="5"/>
      <c r="GF8" s="5"/>
    </row>
    <row r="9" spans="1:189" ht="15.75" x14ac:dyDescent="0.25">
      <c r="A9" s="15">
        <v>1.3</v>
      </c>
      <c r="B9" s="16" t="s">
        <v>61</v>
      </c>
      <c r="C9" s="23">
        <v>42183</v>
      </c>
      <c r="D9" s="23">
        <v>40439</v>
      </c>
      <c r="E9" s="23">
        <v>38993</v>
      </c>
      <c r="F9" s="23">
        <v>36178</v>
      </c>
      <c r="G9" s="23">
        <v>36806</v>
      </c>
      <c r="H9" s="23">
        <v>61910</v>
      </c>
      <c r="I9" s="1">
        <v>70391</v>
      </c>
      <c r="J9" s="1">
        <v>59720</v>
      </c>
      <c r="K9" s="1">
        <v>58142</v>
      </c>
      <c r="L9" s="1">
        <v>39331</v>
      </c>
      <c r="M9" s="1">
        <v>38784</v>
      </c>
      <c r="N9" s="1">
        <v>38457</v>
      </c>
      <c r="O9" s="1">
        <v>43007</v>
      </c>
      <c r="P9" s="7"/>
      <c r="Q9" s="6"/>
      <c r="R9" s="7"/>
      <c r="S9" s="7"/>
      <c r="T9" s="6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5"/>
      <c r="GE9" s="5"/>
      <c r="GF9" s="5"/>
    </row>
    <row r="10" spans="1:189" ht="15.75" x14ac:dyDescent="0.25">
      <c r="A10" s="15">
        <v>1.4</v>
      </c>
      <c r="B10" s="16" t="s">
        <v>62</v>
      </c>
      <c r="C10" s="23">
        <v>19081</v>
      </c>
      <c r="D10" s="23">
        <v>22275</v>
      </c>
      <c r="E10" s="23">
        <v>26235</v>
      </c>
      <c r="F10" s="23">
        <v>25921</v>
      </c>
      <c r="G10" s="23">
        <v>27362</v>
      </c>
      <c r="H10" s="23">
        <v>27536</v>
      </c>
      <c r="I10" s="1">
        <v>27099</v>
      </c>
      <c r="J10" s="1">
        <v>27961</v>
      </c>
      <c r="K10" s="1">
        <v>26509</v>
      </c>
      <c r="L10" s="1">
        <v>29201</v>
      </c>
      <c r="M10" s="1">
        <v>31346</v>
      </c>
      <c r="N10" s="1">
        <v>32329</v>
      </c>
      <c r="O10" s="1">
        <v>33980</v>
      </c>
      <c r="P10" s="7"/>
      <c r="Q10" s="6"/>
      <c r="R10" s="7"/>
      <c r="S10" s="7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5"/>
      <c r="GE10" s="5"/>
      <c r="GF10" s="5"/>
    </row>
    <row r="11" spans="1:189" ht="15.75" x14ac:dyDescent="0.25">
      <c r="A11" s="17" t="s">
        <v>31</v>
      </c>
      <c r="B11" s="16" t="s">
        <v>3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/>
      <c r="O11" s="24"/>
      <c r="P11" s="7"/>
      <c r="Q11" s="6"/>
      <c r="R11" s="7"/>
      <c r="S11" s="7"/>
      <c r="T11" s="6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5"/>
      <c r="GE11" s="5"/>
      <c r="GF11" s="5"/>
    </row>
    <row r="12" spans="1:189" s="35" customFormat="1" ht="15.75" x14ac:dyDescent="0.25">
      <c r="A12" s="36"/>
      <c r="B12" s="37" t="s">
        <v>28</v>
      </c>
      <c r="C12" s="38">
        <f t="shared" ref="C12:O12" si="1">C6+C11</f>
        <v>251622.58</v>
      </c>
      <c r="D12" s="38">
        <f t="shared" si="1"/>
        <v>276425.26</v>
      </c>
      <c r="E12" s="38">
        <f t="shared" si="1"/>
        <v>288574.87</v>
      </c>
      <c r="F12" s="38">
        <f t="shared" si="1"/>
        <v>295331</v>
      </c>
      <c r="G12" s="38">
        <f t="shared" si="1"/>
        <v>273718</v>
      </c>
      <c r="H12" s="38">
        <f t="shared" si="1"/>
        <v>290342</v>
      </c>
      <c r="I12" s="38">
        <f t="shared" si="1"/>
        <v>427979</v>
      </c>
      <c r="J12" s="38">
        <f t="shared" si="1"/>
        <v>412810</v>
      </c>
      <c r="K12" s="38">
        <f t="shared" si="1"/>
        <v>398989</v>
      </c>
      <c r="L12" s="38">
        <f t="shared" si="1"/>
        <v>385812</v>
      </c>
      <c r="M12" s="38">
        <f t="shared" si="1"/>
        <v>410695</v>
      </c>
      <c r="N12" s="38">
        <f t="shared" si="1"/>
        <v>359107</v>
      </c>
      <c r="O12" s="38">
        <f t="shared" si="1"/>
        <v>366070</v>
      </c>
      <c r="P12" s="7"/>
      <c r="Q12" s="6"/>
      <c r="R12" s="7"/>
      <c r="S12" s="7"/>
      <c r="T12" s="6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4"/>
      <c r="GE12" s="34"/>
      <c r="GF12" s="34"/>
    </row>
    <row r="13" spans="1:189" s="5" customFormat="1" ht="15.75" x14ac:dyDescent="0.25">
      <c r="A13" s="13" t="s">
        <v>32</v>
      </c>
      <c r="B13" s="14" t="s">
        <v>4</v>
      </c>
      <c r="C13" s="1">
        <v>40990</v>
      </c>
      <c r="D13" s="1">
        <v>28894</v>
      </c>
      <c r="E13" s="1">
        <v>41278</v>
      </c>
      <c r="F13" s="1">
        <v>40523</v>
      </c>
      <c r="G13" s="1">
        <v>52135</v>
      </c>
      <c r="H13" s="1">
        <v>54581</v>
      </c>
      <c r="I13" s="1">
        <v>53275</v>
      </c>
      <c r="J13" s="1">
        <v>52165</v>
      </c>
      <c r="K13" s="1">
        <v>36966</v>
      </c>
      <c r="L13" s="1">
        <v>39218</v>
      </c>
      <c r="M13" s="1">
        <v>41675</v>
      </c>
      <c r="N13" s="1">
        <v>38750</v>
      </c>
      <c r="O13" s="1">
        <v>43620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G13" s="2"/>
    </row>
    <row r="14" spans="1:189" ht="30" x14ac:dyDescent="0.25">
      <c r="A14" s="17" t="s">
        <v>33</v>
      </c>
      <c r="B14" s="16" t="s">
        <v>5</v>
      </c>
      <c r="C14" s="25">
        <v>54276</v>
      </c>
      <c r="D14" s="25">
        <v>55762</v>
      </c>
      <c r="E14" s="25">
        <v>54234</v>
      </c>
      <c r="F14" s="25">
        <v>43057</v>
      </c>
      <c r="G14" s="25">
        <v>46224</v>
      </c>
      <c r="H14" s="26">
        <v>58536</v>
      </c>
      <c r="I14" s="26">
        <v>57022</v>
      </c>
      <c r="J14" s="26">
        <v>35974</v>
      </c>
      <c r="K14" s="26">
        <v>34762</v>
      </c>
      <c r="L14" s="26">
        <v>37882</v>
      </c>
      <c r="M14" s="26">
        <v>36765</v>
      </c>
      <c r="N14" s="26">
        <v>37882</v>
      </c>
      <c r="O14" s="26">
        <v>39693</v>
      </c>
      <c r="P14" s="7"/>
      <c r="Q14" s="6"/>
      <c r="R14" s="7"/>
      <c r="S14" s="7"/>
      <c r="T14" s="6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6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6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6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5"/>
      <c r="GE14" s="5"/>
      <c r="GF14" s="5"/>
    </row>
    <row r="15" spans="1:189" ht="15.75" x14ac:dyDescent="0.25">
      <c r="A15" s="17" t="s">
        <v>34</v>
      </c>
      <c r="B15" s="16" t="s">
        <v>6</v>
      </c>
      <c r="C15" s="23">
        <v>100712</v>
      </c>
      <c r="D15" s="23">
        <v>99017</v>
      </c>
      <c r="E15" s="23">
        <v>111497</v>
      </c>
      <c r="F15" s="23">
        <v>172786</v>
      </c>
      <c r="G15" s="23">
        <v>198602</v>
      </c>
      <c r="H15" s="1">
        <v>167221</v>
      </c>
      <c r="I15" s="1">
        <v>173285</v>
      </c>
      <c r="J15" s="1">
        <v>106462</v>
      </c>
      <c r="K15" s="1">
        <v>128361</v>
      </c>
      <c r="L15" s="1">
        <v>96650</v>
      </c>
      <c r="M15" s="1">
        <v>131423</v>
      </c>
      <c r="N15" s="1">
        <v>140601</v>
      </c>
      <c r="O15" s="1">
        <v>161843</v>
      </c>
      <c r="P15" s="7"/>
      <c r="Q15" s="6"/>
      <c r="R15" s="7"/>
      <c r="S15" s="7"/>
      <c r="T15" s="6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6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6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6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5"/>
      <c r="GE15" s="5"/>
      <c r="GF15" s="5"/>
    </row>
    <row r="16" spans="1:189" s="35" customFormat="1" ht="15.75" x14ac:dyDescent="0.25">
      <c r="A16" s="36"/>
      <c r="B16" s="37" t="s">
        <v>29</v>
      </c>
      <c r="C16" s="38">
        <f t="shared" ref="C16:K16" si="2">+C13+C14+C15</f>
        <v>195978</v>
      </c>
      <c r="D16" s="38">
        <f t="shared" si="2"/>
        <v>183673</v>
      </c>
      <c r="E16" s="38">
        <f t="shared" si="2"/>
        <v>207009</v>
      </c>
      <c r="F16" s="38">
        <f t="shared" si="2"/>
        <v>256366</v>
      </c>
      <c r="G16" s="38">
        <f t="shared" si="2"/>
        <v>296961</v>
      </c>
      <c r="H16" s="38">
        <f t="shared" si="2"/>
        <v>280338</v>
      </c>
      <c r="I16" s="38">
        <f t="shared" si="2"/>
        <v>283582</v>
      </c>
      <c r="J16" s="38">
        <f t="shared" si="2"/>
        <v>194601</v>
      </c>
      <c r="K16" s="38">
        <f t="shared" si="2"/>
        <v>200089</v>
      </c>
      <c r="L16" s="38">
        <f t="shared" ref="L16:M16" si="3">+L13+L14+L15</f>
        <v>173750</v>
      </c>
      <c r="M16" s="38">
        <f t="shared" si="3"/>
        <v>209863</v>
      </c>
      <c r="N16" s="38">
        <f t="shared" ref="N16:O16" si="4">+N13+N14+N15</f>
        <v>217233</v>
      </c>
      <c r="O16" s="38">
        <f t="shared" si="4"/>
        <v>245156</v>
      </c>
      <c r="P16" s="7"/>
      <c r="Q16" s="6"/>
      <c r="R16" s="7"/>
      <c r="S16" s="7"/>
      <c r="T16" s="6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3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3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3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4"/>
      <c r="GE16" s="34"/>
      <c r="GF16" s="34"/>
    </row>
    <row r="17" spans="1:189" s="34" customFormat="1" ht="15.75" x14ac:dyDescent="0.25">
      <c r="A17" s="30" t="s">
        <v>35</v>
      </c>
      <c r="B17" s="31" t="s">
        <v>7</v>
      </c>
      <c r="C17" s="40">
        <f>C18+C19</f>
        <v>156450</v>
      </c>
      <c r="D17" s="40">
        <f t="shared" ref="D17:K17" si="5">D18+D19</f>
        <v>130915</v>
      </c>
      <c r="E17" s="40">
        <f t="shared" si="5"/>
        <v>190705</v>
      </c>
      <c r="F17" s="40">
        <f t="shared" si="5"/>
        <v>203972</v>
      </c>
      <c r="G17" s="40">
        <f t="shared" si="5"/>
        <v>237194</v>
      </c>
      <c r="H17" s="40">
        <f t="shared" si="5"/>
        <v>256129</v>
      </c>
      <c r="I17" s="40">
        <f t="shared" si="5"/>
        <v>283085</v>
      </c>
      <c r="J17" s="40">
        <f t="shared" si="5"/>
        <v>307748</v>
      </c>
      <c r="K17" s="40">
        <f t="shared" si="5"/>
        <v>327129</v>
      </c>
      <c r="L17" s="40">
        <f t="shared" ref="L17:M17" si="6">L18+L19</f>
        <v>253188</v>
      </c>
      <c r="M17" s="40">
        <f t="shared" si="6"/>
        <v>282501</v>
      </c>
      <c r="N17" s="40">
        <f t="shared" ref="N17:O17" si="7">N18+N19</f>
        <v>315717</v>
      </c>
      <c r="O17" s="40">
        <f t="shared" si="7"/>
        <v>337426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G17" s="35"/>
    </row>
    <row r="18" spans="1:189" ht="15.75" x14ac:dyDescent="0.25">
      <c r="A18" s="15">
        <v>6.1</v>
      </c>
      <c r="B18" s="16" t="s">
        <v>8</v>
      </c>
      <c r="C18" s="23">
        <v>149457</v>
      </c>
      <c r="D18" s="23">
        <v>123727</v>
      </c>
      <c r="E18" s="23">
        <v>183334</v>
      </c>
      <c r="F18" s="23">
        <v>196506</v>
      </c>
      <c r="G18" s="23">
        <v>228505</v>
      </c>
      <c r="H18" s="23">
        <v>246773</v>
      </c>
      <c r="I18" s="1">
        <v>273017</v>
      </c>
      <c r="J18" s="1">
        <v>296703</v>
      </c>
      <c r="K18" s="1">
        <v>315109</v>
      </c>
      <c r="L18" s="1">
        <v>247634</v>
      </c>
      <c r="M18" s="1">
        <v>275030</v>
      </c>
      <c r="N18" s="1">
        <v>302645</v>
      </c>
      <c r="O18" s="1">
        <v>321936</v>
      </c>
      <c r="P18" s="7"/>
      <c r="Q18" s="6"/>
      <c r="R18" s="7"/>
      <c r="S18" s="7"/>
      <c r="T18" s="6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5"/>
      <c r="GE18" s="5"/>
      <c r="GF18" s="5"/>
    </row>
    <row r="19" spans="1:189" ht="15.75" x14ac:dyDescent="0.25">
      <c r="A19" s="15">
        <v>6.2</v>
      </c>
      <c r="B19" s="16" t="s">
        <v>9</v>
      </c>
      <c r="C19" s="23">
        <v>6993</v>
      </c>
      <c r="D19" s="23">
        <v>7188</v>
      </c>
      <c r="E19" s="23">
        <v>7371</v>
      </c>
      <c r="F19" s="23">
        <v>7466</v>
      </c>
      <c r="G19" s="23">
        <v>8689</v>
      </c>
      <c r="H19" s="23">
        <v>9356</v>
      </c>
      <c r="I19" s="1">
        <v>10068</v>
      </c>
      <c r="J19" s="1">
        <v>11045</v>
      </c>
      <c r="K19" s="1">
        <v>12020</v>
      </c>
      <c r="L19" s="1">
        <v>5554</v>
      </c>
      <c r="M19" s="1">
        <v>7471</v>
      </c>
      <c r="N19" s="1">
        <v>13072</v>
      </c>
      <c r="O19" s="1">
        <v>15490</v>
      </c>
      <c r="P19" s="7"/>
      <c r="Q19" s="6"/>
      <c r="R19" s="7"/>
      <c r="S19" s="7"/>
      <c r="T19" s="6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5"/>
      <c r="GE19" s="5"/>
      <c r="GF19" s="5"/>
    </row>
    <row r="20" spans="1:189" s="34" customFormat="1" ht="30" x14ac:dyDescent="0.25">
      <c r="A20" s="41" t="s">
        <v>36</v>
      </c>
      <c r="B20" s="42" t="s">
        <v>10</v>
      </c>
      <c r="C20" s="40">
        <f>C21+C22+C23+C24+C25+C26+C27</f>
        <v>70408</v>
      </c>
      <c r="D20" s="40">
        <f t="shared" ref="D20:O20" si="8">D21+D22+D23+D24+D25+D26+D27</f>
        <v>80780</v>
      </c>
      <c r="E20" s="40">
        <f t="shared" si="8"/>
        <v>86841</v>
      </c>
      <c r="F20" s="40">
        <f t="shared" si="8"/>
        <v>95468</v>
      </c>
      <c r="G20" s="40">
        <f t="shared" si="8"/>
        <v>107764</v>
      </c>
      <c r="H20" s="40">
        <f t="shared" si="8"/>
        <v>121596</v>
      </c>
      <c r="I20" s="40">
        <f t="shared" si="8"/>
        <v>126003</v>
      </c>
      <c r="J20" s="40">
        <f t="shared" si="8"/>
        <v>127395</v>
      </c>
      <c r="K20" s="40">
        <f t="shared" si="8"/>
        <v>140558</v>
      </c>
      <c r="L20" s="40">
        <f t="shared" si="8"/>
        <v>139391</v>
      </c>
      <c r="M20" s="40">
        <f t="shared" si="8"/>
        <v>144947</v>
      </c>
      <c r="N20" s="40">
        <f t="shared" si="8"/>
        <v>160526</v>
      </c>
      <c r="O20" s="40">
        <f t="shared" si="8"/>
        <v>174229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G20" s="35"/>
    </row>
    <row r="21" spans="1:189" ht="15.75" x14ac:dyDescent="0.25">
      <c r="A21" s="15">
        <v>7.1</v>
      </c>
      <c r="B21" s="16" t="s">
        <v>11</v>
      </c>
      <c r="C21" s="23">
        <v>2</v>
      </c>
      <c r="D21" s="23">
        <v>3</v>
      </c>
      <c r="E21" s="23">
        <v>5</v>
      </c>
      <c r="F21" s="23">
        <v>5</v>
      </c>
      <c r="G21" s="23">
        <v>6</v>
      </c>
      <c r="H21" s="23">
        <v>6</v>
      </c>
      <c r="I21" s="1">
        <v>5</v>
      </c>
      <c r="J21" s="1">
        <v>6</v>
      </c>
      <c r="K21" s="1">
        <v>32</v>
      </c>
      <c r="L21" s="1">
        <v>31</v>
      </c>
      <c r="M21" s="1">
        <v>39</v>
      </c>
      <c r="N21" s="1">
        <v>22</v>
      </c>
      <c r="O21" s="1">
        <v>190</v>
      </c>
      <c r="P21" s="7"/>
      <c r="Q21" s="6"/>
      <c r="R21" s="7"/>
      <c r="S21" s="7"/>
      <c r="T21" s="6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5"/>
      <c r="GE21" s="5"/>
      <c r="GF21" s="5"/>
    </row>
    <row r="22" spans="1:189" ht="15.75" x14ac:dyDescent="0.25">
      <c r="A22" s="15">
        <v>7.2</v>
      </c>
      <c r="B22" s="16" t="s">
        <v>12</v>
      </c>
      <c r="C22" s="23">
        <v>43561</v>
      </c>
      <c r="D22" s="23">
        <v>49507</v>
      </c>
      <c r="E22" s="23">
        <v>50523</v>
      </c>
      <c r="F22" s="23">
        <v>53520</v>
      </c>
      <c r="G22" s="23">
        <v>56431</v>
      </c>
      <c r="H22" s="23">
        <v>64822</v>
      </c>
      <c r="I22" s="1">
        <v>69297</v>
      </c>
      <c r="J22" s="1">
        <v>74798</v>
      </c>
      <c r="K22" s="1">
        <v>80175</v>
      </c>
      <c r="L22" s="1">
        <v>85531</v>
      </c>
      <c r="M22" s="1">
        <v>87917</v>
      </c>
      <c r="N22" s="1">
        <v>92684</v>
      </c>
      <c r="O22" s="1">
        <v>94443</v>
      </c>
      <c r="P22" s="7"/>
      <c r="Q22" s="6"/>
      <c r="R22" s="7"/>
      <c r="S22" s="7"/>
      <c r="T22" s="6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5"/>
      <c r="GE22" s="5"/>
      <c r="GF22" s="5"/>
    </row>
    <row r="23" spans="1:189" ht="15.75" x14ac:dyDescent="0.25">
      <c r="A23" s="15">
        <v>7.3</v>
      </c>
      <c r="B23" s="16" t="s">
        <v>13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/>
      <c r="O23" s="1"/>
      <c r="P23" s="7"/>
      <c r="Q23" s="6"/>
      <c r="R23" s="7"/>
      <c r="S23" s="7"/>
      <c r="T23" s="6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5"/>
      <c r="GE23" s="5"/>
      <c r="GF23" s="5"/>
    </row>
    <row r="24" spans="1:189" ht="15.75" x14ac:dyDescent="0.25">
      <c r="A24" s="15">
        <v>7.4</v>
      </c>
      <c r="B24" s="16" t="s">
        <v>14</v>
      </c>
      <c r="C24" s="23">
        <v>1999</v>
      </c>
      <c r="D24" s="23">
        <v>3230</v>
      </c>
      <c r="E24" s="23">
        <v>2169</v>
      </c>
      <c r="F24" s="23">
        <v>3128</v>
      </c>
      <c r="G24" s="23">
        <v>5806</v>
      </c>
      <c r="H24" s="23">
        <v>6082</v>
      </c>
      <c r="I24" s="1">
        <v>5767</v>
      </c>
      <c r="J24" s="1">
        <v>3551</v>
      </c>
      <c r="K24" s="1">
        <v>6153</v>
      </c>
      <c r="L24" s="1">
        <v>2995</v>
      </c>
      <c r="M24" s="1">
        <v>2863</v>
      </c>
      <c r="N24" s="1">
        <v>3926</v>
      </c>
      <c r="O24" s="1">
        <v>6363</v>
      </c>
      <c r="P24" s="7"/>
      <c r="Q24" s="6"/>
      <c r="R24" s="7"/>
      <c r="S24" s="7"/>
      <c r="T24" s="6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5"/>
      <c r="GE24" s="5"/>
      <c r="GF24" s="5"/>
    </row>
    <row r="25" spans="1:189" ht="15.75" x14ac:dyDescent="0.25">
      <c r="A25" s="15">
        <v>7.5</v>
      </c>
      <c r="B25" s="16" t="s">
        <v>15</v>
      </c>
      <c r="C25" s="23">
        <v>1816</v>
      </c>
      <c r="D25" s="23">
        <v>2064</v>
      </c>
      <c r="E25" s="23">
        <v>2106</v>
      </c>
      <c r="F25" s="23">
        <v>2231</v>
      </c>
      <c r="G25" s="23">
        <v>2352</v>
      </c>
      <c r="H25" s="23">
        <v>8284</v>
      </c>
      <c r="I25" s="1">
        <v>8507</v>
      </c>
      <c r="J25" s="1">
        <v>8649</v>
      </c>
      <c r="K25" s="1">
        <v>8817</v>
      </c>
      <c r="L25" s="1">
        <v>5364</v>
      </c>
      <c r="M25" s="1">
        <v>6279</v>
      </c>
      <c r="N25" s="1">
        <v>10135</v>
      </c>
      <c r="O25" s="1">
        <v>13670</v>
      </c>
      <c r="P25" s="7"/>
      <c r="Q25" s="6"/>
      <c r="R25" s="7"/>
      <c r="S25" s="7"/>
      <c r="T25" s="6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5"/>
      <c r="GE25" s="5"/>
      <c r="GF25" s="5"/>
    </row>
    <row r="26" spans="1:189" ht="15.75" x14ac:dyDescent="0.25">
      <c r="A26" s="15">
        <v>7.6</v>
      </c>
      <c r="B26" s="16" t="s">
        <v>16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/>
      <c r="O26" s="1"/>
      <c r="P26" s="7"/>
      <c r="Q26" s="6"/>
      <c r="R26" s="7"/>
      <c r="S26" s="7"/>
      <c r="T26" s="6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5"/>
      <c r="GE26" s="5"/>
      <c r="GF26" s="5"/>
    </row>
    <row r="27" spans="1:189" ht="30" x14ac:dyDescent="0.25">
      <c r="A27" s="15">
        <v>7.7</v>
      </c>
      <c r="B27" s="16" t="s">
        <v>17</v>
      </c>
      <c r="C27" s="25">
        <v>23030</v>
      </c>
      <c r="D27" s="25">
        <v>25976</v>
      </c>
      <c r="E27" s="25">
        <v>32038</v>
      </c>
      <c r="F27" s="25">
        <v>36584</v>
      </c>
      <c r="G27" s="25">
        <v>43169</v>
      </c>
      <c r="H27" s="25">
        <v>42402</v>
      </c>
      <c r="I27" s="26">
        <v>42427</v>
      </c>
      <c r="J27" s="26">
        <v>40391</v>
      </c>
      <c r="K27" s="26">
        <v>45381</v>
      </c>
      <c r="L27" s="26">
        <v>45470</v>
      </c>
      <c r="M27" s="26">
        <v>47849</v>
      </c>
      <c r="N27" s="26">
        <v>53759</v>
      </c>
      <c r="O27" s="26">
        <v>59563</v>
      </c>
      <c r="P27" s="7"/>
      <c r="Q27" s="6"/>
      <c r="R27" s="7"/>
      <c r="S27" s="7"/>
      <c r="T27" s="6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5"/>
      <c r="GE27" s="5"/>
      <c r="GF27" s="5"/>
    </row>
    <row r="28" spans="1:189" ht="15.75" x14ac:dyDescent="0.25">
      <c r="A28" s="17" t="s">
        <v>37</v>
      </c>
      <c r="B28" s="16" t="s">
        <v>18</v>
      </c>
      <c r="C28" s="23">
        <v>23399</v>
      </c>
      <c r="D28" s="23">
        <v>24918</v>
      </c>
      <c r="E28" s="23">
        <v>27257</v>
      </c>
      <c r="F28" s="23">
        <v>28309</v>
      </c>
      <c r="G28" s="23">
        <v>35103</v>
      </c>
      <c r="H28" s="23">
        <v>35788</v>
      </c>
      <c r="I28" s="1">
        <v>37626</v>
      </c>
      <c r="J28" s="1">
        <v>46629</v>
      </c>
      <c r="K28" s="1">
        <v>52767</v>
      </c>
      <c r="L28" s="1">
        <v>54338</v>
      </c>
      <c r="M28" s="1">
        <v>56276</v>
      </c>
      <c r="N28" s="1">
        <v>62955</v>
      </c>
      <c r="O28" s="1">
        <v>115792</v>
      </c>
      <c r="P28" s="7"/>
      <c r="Q28" s="6"/>
      <c r="R28" s="7"/>
      <c r="S28" s="7"/>
      <c r="T28" s="6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5"/>
      <c r="GE28" s="5"/>
      <c r="GF28" s="5"/>
    </row>
    <row r="29" spans="1:189" ht="30" x14ac:dyDescent="0.25">
      <c r="A29" s="17" t="s">
        <v>38</v>
      </c>
      <c r="B29" s="16" t="s">
        <v>19</v>
      </c>
      <c r="C29" s="25">
        <v>134847</v>
      </c>
      <c r="D29" s="25">
        <v>136333</v>
      </c>
      <c r="E29" s="25">
        <v>137021</v>
      </c>
      <c r="F29" s="25">
        <v>138289</v>
      </c>
      <c r="G29" s="25">
        <v>132913</v>
      </c>
      <c r="H29" s="25">
        <v>129535</v>
      </c>
      <c r="I29" s="26">
        <v>126515</v>
      </c>
      <c r="J29" s="26">
        <v>126368</v>
      </c>
      <c r="K29" s="26">
        <v>124674</v>
      </c>
      <c r="L29" s="26">
        <v>122408</v>
      </c>
      <c r="M29" s="26">
        <v>130606</v>
      </c>
      <c r="N29" s="26">
        <v>136919</v>
      </c>
      <c r="O29" s="26">
        <v>143948</v>
      </c>
      <c r="P29" s="7"/>
      <c r="Q29" s="6"/>
      <c r="R29" s="7"/>
      <c r="S29" s="7"/>
      <c r="T29" s="6"/>
      <c r="U29" s="8"/>
      <c r="V29" s="8"/>
      <c r="W29" s="8"/>
      <c r="X29" s="8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5"/>
      <c r="GE29" s="5"/>
      <c r="GF29" s="5"/>
    </row>
    <row r="30" spans="1:189" ht="15.75" x14ac:dyDescent="0.25">
      <c r="A30" s="17" t="s">
        <v>39</v>
      </c>
      <c r="B30" s="16" t="s">
        <v>54</v>
      </c>
      <c r="C30" s="23">
        <v>231790</v>
      </c>
      <c r="D30" s="23">
        <v>233668</v>
      </c>
      <c r="E30" s="23">
        <v>216539</v>
      </c>
      <c r="F30" s="23">
        <v>234826</v>
      </c>
      <c r="G30" s="23">
        <v>281035</v>
      </c>
      <c r="H30" s="23">
        <v>263348</v>
      </c>
      <c r="I30" s="1">
        <v>249069</v>
      </c>
      <c r="J30" s="1">
        <v>249541</v>
      </c>
      <c r="K30" s="1">
        <v>263263</v>
      </c>
      <c r="L30" s="1">
        <v>292619</v>
      </c>
      <c r="M30" s="1">
        <v>318647</v>
      </c>
      <c r="N30" s="1">
        <v>347940</v>
      </c>
      <c r="O30" s="1">
        <v>391815</v>
      </c>
      <c r="P30" s="7"/>
      <c r="Q30" s="6"/>
      <c r="R30" s="7"/>
      <c r="S30" s="7"/>
      <c r="T30" s="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5"/>
      <c r="GE30" s="5"/>
      <c r="GF30" s="5"/>
    </row>
    <row r="31" spans="1:189" ht="15.75" x14ac:dyDescent="0.25">
      <c r="A31" s="17" t="s">
        <v>40</v>
      </c>
      <c r="B31" s="16" t="s">
        <v>20</v>
      </c>
      <c r="C31" s="23">
        <v>208417</v>
      </c>
      <c r="D31" s="23">
        <v>230853</v>
      </c>
      <c r="E31" s="23">
        <v>227976</v>
      </c>
      <c r="F31" s="23">
        <v>249977</v>
      </c>
      <c r="G31" s="23">
        <v>233161</v>
      </c>
      <c r="H31" s="23">
        <v>257226</v>
      </c>
      <c r="I31" s="27">
        <v>281665</v>
      </c>
      <c r="J31" s="27">
        <v>279482</v>
      </c>
      <c r="K31" s="27">
        <v>312757</v>
      </c>
      <c r="L31" s="27">
        <v>289824</v>
      </c>
      <c r="M31" s="27">
        <v>345042</v>
      </c>
      <c r="N31" s="27">
        <v>408058</v>
      </c>
      <c r="O31" s="27">
        <v>430870</v>
      </c>
      <c r="P31" s="7"/>
      <c r="Q31" s="6"/>
      <c r="R31" s="7"/>
      <c r="S31" s="7"/>
      <c r="T31" s="6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5"/>
      <c r="GE31" s="5"/>
      <c r="GF31" s="5"/>
    </row>
    <row r="32" spans="1:189" s="35" customFormat="1" ht="15.75" x14ac:dyDescent="0.25">
      <c r="A32" s="36"/>
      <c r="B32" s="37" t="s">
        <v>30</v>
      </c>
      <c r="C32" s="38">
        <f>C17+C20+C28+C29+C30+C31</f>
        <v>825311</v>
      </c>
      <c r="D32" s="38">
        <f t="shared" ref="D32:I32" si="9">D17+D20+D28+D29+D30+D31</f>
        <v>837467</v>
      </c>
      <c r="E32" s="38">
        <f t="shared" si="9"/>
        <v>886339</v>
      </c>
      <c r="F32" s="38">
        <f t="shared" si="9"/>
        <v>950841</v>
      </c>
      <c r="G32" s="38">
        <f t="shared" si="9"/>
        <v>1027170</v>
      </c>
      <c r="H32" s="38">
        <f t="shared" si="9"/>
        <v>1063622</v>
      </c>
      <c r="I32" s="38">
        <f t="shared" si="9"/>
        <v>1103963</v>
      </c>
      <c r="J32" s="38">
        <f t="shared" ref="J32:K32" si="10">J17+J20+J28+J29+J30+J31</f>
        <v>1137163</v>
      </c>
      <c r="K32" s="38">
        <f t="shared" si="10"/>
        <v>1221148</v>
      </c>
      <c r="L32" s="38">
        <f t="shared" ref="L32:M32" si="11">L17+L20+L28+L29+L30+L31</f>
        <v>1151768</v>
      </c>
      <c r="M32" s="38">
        <f t="shared" si="11"/>
        <v>1278019</v>
      </c>
      <c r="N32" s="38">
        <f t="shared" ref="N32:O32" si="12">N17+N20+N28+N29+N30+N31</f>
        <v>1432115</v>
      </c>
      <c r="O32" s="38">
        <f t="shared" si="12"/>
        <v>1594080</v>
      </c>
      <c r="P32" s="7"/>
      <c r="Q32" s="6"/>
      <c r="R32" s="7"/>
      <c r="S32" s="7"/>
      <c r="T32" s="6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4"/>
      <c r="GE32" s="34"/>
      <c r="GF32" s="34"/>
    </row>
    <row r="33" spans="1:189" s="34" customFormat="1" ht="15.75" x14ac:dyDescent="0.25">
      <c r="A33" s="30" t="s">
        <v>27</v>
      </c>
      <c r="B33" s="43" t="s">
        <v>41</v>
      </c>
      <c r="C33" s="32">
        <f t="shared" ref="C33:I33" si="13">C6+C11+C13+C14+C15+C17+C20+C28+C29+C30+C31</f>
        <v>1272911.58</v>
      </c>
      <c r="D33" s="32">
        <f t="shared" si="13"/>
        <v>1297565.26</v>
      </c>
      <c r="E33" s="32">
        <f t="shared" si="13"/>
        <v>1381922.87</v>
      </c>
      <c r="F33" s="32">
        <f t="shared" si="13"/>
        <v>1502538</v>
      </c>
      <c r="G33" s="32">
        <f t="shared" si="13"/>
        <v>1597849</v>
      </c>
      <c r="H33" s="32">
        <f t="shared" si="13"/>
        <v>1634302</v>
      </c>
      <c r="I33" s="32">
        <f t="shared" si="13"/>
        <v>1815524</v>
      </c>
      <c r="J33" s="32">
        <f t="shared" ref="J33:K33" si="14">J6+J11+J13+J14+J15+J17+J20+J28+J29+J30+J31</f>
        <v>1744574</v>
      </c>
      <c r="K33" s="32">
        <f t="shared" si="14"/>
        <v>1820226</v>
      </c>
      <c r="L33" s="32">
        <f t="shared" ref="L33:M33" si="15">L6+L11+L13+L14+L15+L17+L20+L28+L29+L30+L31</f>
        <v>1711330</v>
      </c>
      <c r="M33" s="32">
        <f t="shared" si="15"/>
        <v>1898577</v>
      </c>
      <c r="N33" s="32">
        <f t="shared" ref="N33:O33" si="16">N6+N11+N13+N14+N15+N17+N20+N28+N29+N30+N31</f>
        <v>2008455</v>
      </c>
      <c r="O33" s="32">
        <f t="shared" si="16"/>
        <v>2205306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G33" s="35"/>
    </row>
    <row r="34" spans="1:189" ht="15.75" x14ac:dyDescent="0.25">
      <c r="A34" s="18" t="s">
        <v>43</v>
      </c>
      <c r="B34" s="4" t="s">
        <v>25</v>
      </c>
      <c r="C34" s="3">
        <v>48918</v>
      </c>
      <c r="D34" s="3">
        <v>42553</v>
      </c>
      <c r="E34" s="3">
        <v>66521</v>
      </c>
      <c r="F34" s="3">
        <v>63808</v>
      </c>
      <c r="G34" s="23">
        <v>86905</v>
      </c>
      <c r="H34" s="28">
        <v>98110</v>
      </c>
      <c r="I34" s="28">
        <v>80121</v>
      </c>
      <c r="J34" s="28">
        <v>103894</v>
      </c>
      <c r="K34" s="28">
        <v>119205</v>
      </c>
      <c r="L34" s="28">
        <v>135384</v>
      </c>
      <c r="M34" s="28">
        <v>148822</v>
      </c>
      <c r="N34" s="28">
        <v>158004</v>
      </c>
      <c r="O34" s="28">
        <v>131031</v>
      </c>
      <c r="P34" s="7"/>
      <c r="Q34" s="6"/>
      <c r="R34" s="7"/>
      <c r="S34" s="7"/>
      <c r="T34" s="6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</row>
    <row r="35" spans="1:189" ht="15.75" x14ac:dyDescent="0.25">
      <c r="A35" s="18" t="s">
        <v>44</v>
      </c>
      <c r="B35" s="4" t="s">
        <v>24</v>
      </c>
      <c r="C35" s="3">
        <v>30370</v>
      </c>
      <c r="D35" s="3">
        <v>40837</v>
      </c>
      <c r="E35" s="3">
        <v>36935</v>
      </c>
      <c r="F35" s="3">
        <v>41856</v>
      </c>
      <c r="G35" s="23">
        <v>42386</v>
      </c>
      <c r="H35" s="28">
        <v>24220</v>
      </c>
      <c r="I35" s="28">
        <v>20571</v>
      </c>
      <c r="J35" s="28">
        <v>22246</v>
      </c>
      <c r="K35" s="28">
        <v>20713</v>
      </c>
      <c r="L35" s="28">
        <v>39374</v>
      </c>
      <c r="M35" s="28">
        <v>49277</v>
      </c>
      <c r="N35" s="28">
        <v>49049</v>
      </c>
      <c r="O35" s="28">
        <v>51477</v>
      </c>
      <c r="P35" s="7"/>
      <c r="Q35" s="6"/>
      <c r="R35" s="7"/>
      <c r="S35" s="7"/>
      <c r="T35" s="6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</row>
    <row r="36" spans="1:189" s="35" customFormat="1" ht="15.75" x14ac:dyDescent="0.25">
      <c r="A36" s="44" t="s">
        <v>45</v>
      </c>
      <c r="B36" s="45" t="s">
        <v>55</v>
      </c>
      <c r="C36" s="38">
        <f t="shared" ref="C36:O36" si="17">C33+C34-C35</f>
        <v>1291459.58</v>
      </c>
      <c r="D36" s="38">
        <f t="shared" ref="D36:L36" si="18">D33+D34-D35</f>
        <v>1299281.26</v>
      </c>
      <c r="E36" s="38">
        <f t="shared" si="18"/>
        <v>1411508.87</v>
      </c>
      <c r="F36" s="38">
        <f t="shared" si="18"/>
        <v>1524490</v>
      </c>
      <c r="G36" s="38">
        <f t="shared" si="18"/>
        <v>1642368</v>
      </c>
      <c r="H36" s="38">
        <f t="shared" si="18"/>
        <v>1708192</v>
      </c>
      <c r="I36" s="38">
        <f t="shared" si="18"/>
        <v>1875074</v>
      </c>
      <c r="J36" s="38">
        <f t="shared" si="18"/>
        <v>1826222</v>
      </c>
      <c r="K36" s="38">
        <f t="shared" si="18"/>
        <v>1918718</v>
      </c>
      <c r="L36" s="38">
        <f t="shared" si="18"/>
        <v>1807340</v>
      </c>
      <c r="M36" s="38">
        <f t="shared" si="17"/>
        <v>1998122</v>
      </c>
      <c r="N36" s="38">
        <f t="shared" si="17"/>
        <v>2117410</v>
      </c>
      <c r="O36" s="38">
        <f t="shared" si="17"/>
        <v>2284860</v>
      </c>
      <c r="P36" s="7"/>
      <c r="Q36" s="6"/>
      <c r="R36" s="7"/>
      <c r="S36" s="7"/>
      <c r="T36" s="6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</row>
    <row r="37" spans="1:189" s="35" customFormat="1" ht="15.75" x14ac:dyDescent="0.25">
      <c r="A37" s="44" t="s">
        <v>46</v>
      </c>
      <c r="B37" s="45" t="s">
        <v>42</v>
      </c>
      <c r="C37" s="38">
        <f>GSVA_cur!C37</f>
        <v>28925</v>
      </c>
      <c r="D37" s="38">
        <f>GSVA_cur!D37</f>
        <v>29561</v>
      </c>
      <c r="E37" s="38">
        <f>GSVA_cur!E37</f>
        <v>30210</v>
      </c>
      <c r="F37" s="38">
        <f>GSVA_cur!F37</f>
        <v>30873</v>
      </c>
      <c r="G37" s="38">
        <f>GSVA_cur!G37</f>
        <v>31549</v>
      </c>
      <c r="H37" s="38">
        <f>GSVA_cur!H37</f>
        <v>32239</v>
      </c>
      <c r="I37" s="38">
        <f>GSVA_cur!I37</f>
        <v>32943</v>
      </c>
      <c r="J37" s="38">
        <f>GSVA_cur!J37</f>
        <v>33661</v>
      </c>
      <c r="K37" s="38">
        <f>GSVA_cur!K37</f>
        <v>34394</v>
      </c>
      <c r="L37" s="38">
        <f>GSVA_cur!L37</f>
        <v>35142</v>
      </c>
      <c r="M37" s="38">
        <f>GSVA_cur!M37</f>
        <v>31790</v>
      </c>
      <c r="N37" s="38">
        <f>GSVA_cur!N37</f>
        <v>32090</v>
      </c>
      <c r="O37" s="38">
        <f>GSVA_cur!O37</f>
        <v>32380</v>
      </c>
      <c r="P37" s="2"/>
      <c r="Q37" s="5"/>
      <c r="R37" s="2"/>
      <c r="S37" s="2"/>
      <c r="T37" s="5"/>
      <c r="U37" s="5"/>
      <c r="V37" s="5"/>
      <c r="W37" s="5"/>
      <c r="X37" s="5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</row>
    <row r="38" spans="1:189" s="35" customFormat="1" ht="15.75" x14ac:dyDescent="0.25">
      <c r="A38" s="44" t="s">
        <v>47</v>
      </c>
      <c r="B38" s="45" t="s">
        <v>58</v>
      </c>
      <c r="C38" s="38">
        <f t="shared" ref="C38" si="19">C36/C37*1000</f>
        <v>44648.559377700956</v>
      </c>
      <c r="D38" s="38">
        <f t="shared" ref="D38:L38" si="20">D36/D37*1000</f>
        <v>43952.547613409559</v>
      </c>
      <c r="E38" s="38">
        <f t="shared" si="20"/>
        <v>46723.233035418736</v>
      </c>
      <c r="F38" s="38">
        <f t="shared" si="20"/>
        <v>49379.392997117218</v>
      </c>
      <c r="G38" s="38">
        <f t="shared" si="20"/>
        <v>52057.688040825386</v>
      </c>
      <c r="H38" s="38">
        <f t="shared" si="20"/>
        <v>52985.266292378794</v>
      </c>
      <c r="I38" s="38">
        <f t="shared" si="20"/>
        <v>56918.738426979937</v>
      </c>
      <c r="J38" s="38">
        <f t="shared" si="20"/>
        <v>54253.349573690619</v>
      </c>
      <c r="K38" s="38">
        <f t="shared" si="20"/>
        <v>55786.416235389894</v>
      </c>
      <c r="L38" s="38">
        <f t="shared" si="20"/>
        <v>51429.628364919467</v>
      </c>
      <c r="M38" s="38">
        <f t="shared" ref="M38:O38" si="21">M36/M37*1000</f>
        <v>62853.79050015728</v>
      </c>
      <c r="N38" s="38">
        <f t="shared" si="21"/>
        <v>65983.483951386734</v>
      </c>
      <c r="O38" s="38">
        <f t="shared" si="21"/>
        <v>70563.928350833841</v>
      </c>
      <c r="P38" s="2"/>
      <c r="Q38" s="5"/>
      <c r="R38" s="2"/>
      <c r="S38" s="2"/>
      <c r="T38" s="6"/>
      <c r="U38" s="6"/>
      <c r="V38" s="6"/>
      <c r="W38" s="6"/>
      <c r="X38" s="6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BY38" s="39"/>
      <c r="BZ38" s="39"/>
      <c r="CA38" s="39"/>
      <c r="CB38" s="39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</row>
    <row r="39" spans="1:189" x14ac:dyDescent="0.25">
      <c r="A39" s="2" t="s">
        <v>75</v>
      </c>
      <c r="H39" s="6">
        <f>C39-GSVA_cur!C39</f>
        <v>0</v>
      </c>
      <c r="I39" s="6"/>
      <c r="J39" s="6"/>
      <c r="K39" s="6"/>
      <c r="L39" s="6"/>
      <c r="M39" s="6"/>
      <c r="N39" s="6"/>
      <c r="O39" s="6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W39"/>
  <sheetViews>
    <sheetView zoomScale="77" zoomScaleNormal="77" zoomScaleSheetLayoutView="100" workbookViewId="0">
      <pane xSplit="2" ySplit="5" topLeftCell="C6" activePane="bottomRight" state="frozen"/>
      <selection activeCell="R35" sqref="R35"/>
      <selection pane="topRight" activeCell="R35" sqref="R35"/>
      <selection pane="bottomLeft" activeCell="R35" sqref="R35"/>
      <selection pane="bottomRight" activeCell="R35" sqref="R35"/>
    </sheetView>
  </sheetViews>
  <sheetFormatPr defaultColWidth="8.85546875" defaultRowHeight="15" x14ac:dyDescent="0.25"/>
  <cols>
    <col min="1" max="1" width="11" style="2" customWidth="1"/>
    <col min="2" max="2" width="32.42578125" style="2" customWidth="1"/>
    <col min="3" max="7" width="11.28515625" style="2" customWidth="1"/>
    <col min="8" max="15" width="11.85546875" style="5" customWidth="1"/>
    <col min="16" max="16" width="11.5703125" style="5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5" customWidth="1"/>
    <col min="22" max="22" width="9.140625" style="2" customWidth="1"/>
    <col min="23" max="23" width="10.85546875" style="2" customWidth="1"/>
    <col min="24" max="24" width="10.85546875" style="5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5" customWidth="1"/>
    <col min="115" max="119" width="9.140625" style="5" hidden="1" customWidth="1"/>
    <col min="120" max="120" width="9.140625" style="5" customWidth="1"/>
    <col min="121" max="125" width="9.140625" style="5" hidden="1" customWidth="1"/>
    <col min="126" max="126" width="9.140625" style="5" customWidth="1"/>
    <col min="127" max="131" width="9.140625" style="5" hidden="1" customWidth="1"/>
    <col min="132" max="132" width="9.140625" style="5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53</v>
      </c>
      <c r="B1" s="20" t="s">
        <v>66</v>
      </c>
      <c r="W1" s="6"/>
    </row>
    <row r="2" spans="1:193" ht="15.75" x14ac:dyDescent="0.25">
      <c r="A2" s="10" t="s">
        <v>50</v>
      </c>
      <c r="I2" s="5" t="str">
        <f>[1]GSVA_cur!$I$3</f>
        <v>01.08.2025</v>
      </c>
    </row>
    <row r="3" spans="1:193" ht="15.75" x14ac:dyDescent="0.25">
      <c r="A3" s="10"/>
    </row>
    <row r="4" spans="1:193" ht="15.75" x14ac:dyDescent="0.25">
      <c r="A4" s="10"/>
      <c r="E4" s="9"/>
      <c r="F4" s="9" t="s">
        <v>57</v>
      </c>
      <c r="G4" s="9"/>
    </row>
    <row r="5" spans="1:193" ht="15.75" x14ac:dyDescent="0.25">
      <c r="A5" s="11" t="s">
        <v>0</v>
      </c>
      <c r="B5" s="12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19" t="s">
        <v>67</v>
      </c>
      <c r="I5" s="19" t="s">
        <v>68</v>
      </c>
      <c r="J5" s="19" t="s">
        <v>69</v>
      </c>
      <c r="K5" s="19" t="s">
        <v>70</v>
      </c>
      <c r="L5" s="19" t="s">
        <v>71</v>
      </c>
      <c r="M5" s="29" t="s">
        <v>72</v>
      </c>
      <c r="N5" s="29" t="s">
        <v>73</v>
      </c>
      <c r="O5" s="29" t="s">
        <v>74</v>
      </c>
    </row>
    <row r="6" spans="1:193" s="34" customFormat="1" ht="15.75" x14ac:dyDescent="0.25">
      <c r="A6" s="30" t="s">
        <v>26</v>
      </c>
      <c r="B6" s="31" t="s">
        <v>2</v>
      </c>
      <c r="C6" s="32">
        <f>C7+C8+C9+C10</f>
        <v>230736.58000000002</v>
      </c>
      <c r="D6" s="32">
        <f t="shared" ref="D6:O6" si="0">D7+D8+D9+D10</f>
        <v>271875.76</v>
      </c>
      <c r="E6" s="32">
        <f t="shared" si="0"/>
        <v>319883.65999999997</v>
      </c>
      <c r="F6" s="32">
        <f t="shared" si="0"/>
        <v>369191</v>
      </c>
      <c r="G6" s="32">
        <f t="shared" si="0"/>
        <v>364506</v>
      </c>
      <c r="H6" s="32">
        <f t="shared" si="0"/>
        <v>384484</v>
      </c>
      <c r="I6" s="32">
        <f t="shared" si="0"/>
        <v>636738</v>
      </c>
      <c r="J6" s="32">
        <f t="shared" si="0"/>
        <v>685892</v>
      </c>
      <c r="K6" s="32">
        <f t="shared" si="0"/>
        <v>715128</v>
      </c>
      <c r="L6" s="32">
        <f t="shared" si="0"/>
        <v>755314</v>
      </c>
      <c r="M6" s="32">
        <f t="shared" si="0"/>
        <v>827265</v>
      </c>
      <c r="N6" s="32">
        <f t="shared" si="0"/>
        <v>753866</v>
      </c>
      <c r="O6" s="32">
        <f t="shared" si="0"/>
        <v>817154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K6" s="35"/>
    </row>
    <row r="7" spans="1:193" ht="15.75" x14ac:dyDescent="0.25">
      <c r="A7" s="15">
        <v>1.1000000000000001</v>
      </c>
      <c r="B7" s="16" t="s">
        <v>59</v>
      </c>
      <c r="C7" s="21">
        <v>120336.58</v>
      </c>
      <c r="D7" s="21">
        <v>147587.76</v>
      </c>
      <c r="E7" s="21">
        <v>181713.48</v>
      </c>
      <c r="F7" s="21">
        <v>221580</v>
      </c>
      <c r="G7" s="21">
        <v>207816</v>
      </c>
      <c r="H7" s="1">
        <v>194498</v>
      </c>
      <c r="I7" s="1">
        <v>418727</v>
      </c>
      <c r="J7" s="1">
        <v>475386</v>
      </c>
      <c r="K7" s="1">
        <v>508327</v>
      </c>
      <c r="L7" s="1">
        <v>554631</v>
      </c>
      <c r="M7" s="1">
        <v>610685</v>
      </c>
      <c r="N7" s="1">
        <v>538206</v>
      </c>
      <c r="O7" s="1">
        <v>559240</v>
      </c>
      <c r="P7" s="6"/>
      <c r="Q7" s="7"/>
      <c r="R7" s="7"/>
      <c r="S7" s="7"/>
      <c r="T7" s="7"/>
      <c r="U7" s="6"/>
      <c r="V7" s="7"/>
      <c r="W7" s="7"/>
      <c r="X7" s="6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5"/>
      <c r="GI7" s="5"/>
      <c r="GJ7" s="5"/>
    </row>
    <row r="8" spans="1:193" ht="15.75" x14ac:dyDescent="0.25">
      <c r="A8" s="15">
        <v>1.2</v>
      </c>
      <c r="B8" s="16" t="s">
        <v>60</v>
      </c>
      <c r="C8" s="21">
        <v>51840</v>
      </c>
      <c r="D8" s="21">
        <v>57428</v>
      </c>
      <c r="E8" s="21">
        <v>66389.08</v>
      </c>
      <c r="F8" s="21">
        <v>72743</v>
      </c>
      <c r="G8" s="21">
        <v>79944</v>
      </c>
      <c r="H8" s="1">
        <v>83533</v>
      </c>
      <c r="I8" s="1">
        <v>95784</v>
      </c>
      <c r="J8" s="1">
        <v>93980</v>
      </c>
      <c r="K8" s="1">
        <v>102105</v>
      </c>
      <c r="L8" s="1">
        <v>108494</v>
      </c>
      <c r="M8" s="1">
        <v>118701</v>
      </c>
      <c r="N8" s="1">
        <v>114734</v>
      </c>
      <c r="O8" s="1">
        <v>137910</v>
      </c>
      <c r="P8" s="6"/>
      <c r="Q8" s="7"/>
      <c r="R8" s="7"/>
      <c r="S8" s="7"/>
      <c r="T8" s="7"/>
      <c r="U8" s="6"/>
      <c r="V8" s="7"/>
      <c r="W8" s="7"/>
      <c r="X8" s="6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5"/>
      <c r="GI8" s="5"/>
      <c r="GJ8" s="5"/>
    </row>
    <row r="9" spans="1:193" ht="15.75" x14ac:dyDescent="0.25">
      <c r="A9" s="15">
        <v>1.3</v>
      </c>
      <c r="B9" s="16" t="s">
        <v>61</v>
      </c>
      <c r="C9" s="21">
        <v>41722</v>
      </c>
      <c r="D9" s="21">
        <v>43397</v>
      </c>
      <c r="E9" s="21">
        <v>41511</v>
      </c>
      <c r="F9" s="21">
        <v>42661</v>
      </c>
      <c r="G9" s="21">
        <v>40433</v>
      </c>
      <c r="H9" s="1">
        <v>67443</v>
      </c>
      <c r="I9" s="1">
        <v>76187</v>
      </c>
      <c r="J9" s="1">
        <v>64661</v>
      </c>
      <c r="K9" s="1">
        <v>55539</v>
      </c>
      <c r="L9" s="1">
        <v>38200</v>
      </c>
      <c r="M9" s="1">
        <v>39938</v>
      </c>
      <c r="N9" s="1">
        <v>41131</v>
      </c>
      <c r="O9" s="1">
        <v>48638</v>
      </c>
      <c r="P9" s="6"/>
      <c r="Q9" s="7"/>
      <c r="R9" s="7"/>
      <c r="S9" s="7"/>
      <c r="T9" s="7"/>
      <c r="U9" s="6"/>
      <c r="V9" s="7"/>
      <c r="W9" s="7"/>
      <c r="X9" s="6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5"/>
      <c r="GI9" s="5"/>
      <c r="GJ9" s="5"/>
    </row>
    <row r="10" spans="1:193" ht="15.75" x14ac:dyDescent="0.25">
      <c r="A10" s="15">
        <v>1.4</v>
      </c>
      <c r="B10" s="16" t="s">
        <v>62</v>
      </c>
      <c r="C10" s="21">
        <v>16838</v>
      </c>
      <c r="D10" s="21">
        <v>23463</v>
      </c>
      <c r="E10" s="21">
        <v>30270.1</v>
      </c>
      <c r="F10" s="21">
        <v>32207</v>
      </c>
      <c r="G10" s="21">
        <v>36313</v>
      </c>
      <c r="H10" s="1">
        <v>39010</v>
      </c>
      <c r="I10" s="1">
        <v>46040</v>
      </c>
      <c r="J10" s="1">
        <v>51865</v>
      </c>
      <c r="K10" s="1">
        <v>49157</v>
      </c>
      <c r="L10" s="1">
        <v>53989</v>
      </c>
      <c r="M10" s="1">
        <v>57941</v>
      </c>
      <c r="N10" s="1">
        <v>59795</v>
      </c>
      <c r="O10" s="1">
        <v>71366</v>
      </c>
      <c r="P10" s="6"/>
      <c r="Q10" s="7"/>
      <c r="R10" s="7"/>
      <c r="S10" s="7"/>
      <c r="T10" s="7"/>
      <c r="U10" s="6"/>
      <c r="V10" s="7"/>
      <c r="W10" s="7"/>
      <c r="X10" s="6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5"/>
      <c r="GI10" s="5"/>
      <c r="GJ10" s="5"/>
    </row>
    <row r="11" spans="1:193" ht="15.75" x14ac:dyDescent="0.25">
      <c r="A11" s="17" t="s">
        <v>31</v>
      </c>
      <c r="B11" s="16" t="s">
        <v>3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/>
      <c r="O11" s="1"/>
      <c r="P11" s="6"/>
      <c r="Q11" s="7"/>
      <c r="R11" s="7"/>
      <c r="S11" s="7"/>
      <c r="T11" s="7"/>
      <c r="U11" s="6"/>
      <c r="V11" s="7"/>
      <c r="W11" s="7"/>
      <c r="X11" s="6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5"/>
      <c r="GI11" s="5"/>
      <c r="GJ11" s="5"/>
    </row>
    <row r="12" spans="1:193" s="35" customFormat="1" ht="15.75" x14ac:dyDescent="0.25">
      <c r="A12" s="36"/>
      <c r="B12" s="37" t="s">
        <v>28</v>
      </c>
      <c r="C12" s="38">
        <f>C6+C11</f>
        <v>230736.58000000002</v>
      </c>
      <c r="D12" s="38">
        <f t="shared" ref="D12:O12" si="1">D6+D11</f>
        <v>271875.76</v>
      </c>
      <c r="E12" s="38">
        <f t="shared" si="1"/>
        <v>319883.65999999997</v>
      </c>
      <c r="F12" s="38">
        <f t="shared" si="1"/>
        <v>369191</v>
      </c>
      <c r="G12" s="38">
        <f t="shared" si="1"/>
        <v>364506</v>
      </c>
      <c r="H12" s="38">
        <f t="shared" si="1"/>
        <v>384484</v>
      </c>
      <c r="I12" s="38">
        <f t="shared" si="1"/>
        <v>636738</v>
      </c>
      <c r="J12" s="38">
        <f t="shared" si="1"/>
        <v>685892</v>
      </c>
      <c r="K12" s="38">
        <f t="shared" si="1"/>
        <v>715128</v>
      </c>
      <c r="L12" s="38">
        <f t="shared" si="1"/>
        <v>755314</v>
      </c>
      <c r="M12" s="38">
        <f t="shared" si="1"/>
        <v>827265</v>
      </c>
      <c r="N12" s="38">
        <f t="shared" si="1"/>
        <v>753866</v>
      </c>
      <c r="O12" s="38">
        <f t="shared" si="1"/>
        <v>817154</v>
      </c>
      <c r="P12" s="6"/>
      <c r="Q12" s="7"/>
      <c r="R12" s="7"/>
      <c r="S12" s="7"/>
      <c r="T12" s="7"/>
      <c r="U12" s="6"/>
      <c r="V12" s="7"/>
      <c r="W12" s="7"/>
      <c r="X12" s="6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4"/>
      <c r="GI12" s="34"/>
      <c r="GJ12" s="34"/>
    </row>
    <row r="13" spans="1:193" s="5" customFormat="1" ht="15.75" x14ac:dyDescent="0.25">
      <c r="A13" s="13" t="s">
        <v>32</v>
      </c>
      <c r="B13" s="14" t="s">
        <v>4</v>
      </c>
      <c r="C13" s="22">
        <v>32858</v>
      </c>
      <c r="D13" s="22">
        <v>21852</v>
      </c>
      <c r="E13" s="22">
        <v>36447</v>
      </c>
      <c r="F13" s="22">
        <v>37037</v>
      </c>
      <c r="G13" s="22">
        <v>49376</v>
      </c>
      <c r="H13" s="1">
        <v>50135</v>
      </c>
      <c r="I13" s="1">
        <v>50250</v>
      </c>
      <c r="J13" s="1">
        <v>50670</v>
      </c>
      <c r="K13" s="1">
        <v>30847</v>
      </c>
      <c r="L13" s="1">
        <v>30690</v>
      </c>
      <c r="M13" s="1">
        <v>38406</v>
      </c>
      <c r="N13" s="1">
        <v>34821</v>
      </c>
      <c r="O13" s="1">
        <v>40748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K13" s="2"/>
    </row>
    <row r="14" spans="1:193" ht="30" x14ac:dyDescent="0.25">
      <c r="A14" s="17" t="s">
        <v>33</v>
      </c>
      <c r="B14" s="16" t="s">
        <v>5</v>
      </c>
      <c r="C14" s="21">
        <v>39708</v>
      </c>
      <c r="D14" s="21">
        <v>40541</v>
      </c>
      <c r="E14" s="21">
        <v>32022</v>
      </c>
      <c r="F14" s="21">
        <v>17752</v>
      </c>
      <c r="G14" s="21">
        <v>22394</v>
      </c>
      <c r="H14" s="1">
        <v>26421</v>
      </c>
      <c r="I14" s="1">
        <v>46222</v>
      </c>
      <c r="J14" s="1">
        <v>37365</v>
      </c>
      <c r="K14" s="1">
        <v>38441</v>
      </c>
      <c r="L14" s="1">
        <v>42468</v>
      </c>
      <c r="M14" s="1">
        <v>45610</v>
      </c>
      <c r="N14" s="1">
        <v>50775</v>
      </c>
      <c r="O14" s="1">
        <v>59573</v>
      </c>
      <c r="P14" s="6"/>
      <c r="Q14" s="7"/>
      <c r="R14" s="7"/>
      <c r="S14" s="7"/>
      <c r="T14" s="7"/>
      <c r="U14" s="6"/>
      <c r="V14" s="7"/>
      <c r="W14" s="7"/>
      <c r="X14" s="6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6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6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6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5"/>
      <c r="GI14" s="5"/>
      <c r="GJ14" s="5"/>
    </row>
    <row r="15" spans="1:193" ht="15.75" x14ac:dyDescent="0.25">
      <c r="A15" s="17" t="s">
        <v>34</v>
      </c>
      <c r="B15" s="16" t="s">
        <v>6</v>
      </c>
      <c r="C15" s="21">
        <v>95958</v>
      </c>
      <c r="D15" s="21">
        <v>100561</v>
      </c>
      <c r="E15" s="21">
        <v>112734</v>
      </c>
      <c r="F15" s="21">
        <v>179771</v>
      </c>
      <c r="G15" s="21">
        <v>190638</v>
      </c>
      <c r="H15" s="1">
        <v>179757</v>
      </c>
      <c r="I15" s="1">
        <v>202468</v>
      </c>
      <c r="J15" s="1">
        <v>129171</v>
      </c>
      <c r="K15" s="1">
        <v>136078</v>
      </c>
      <c r="L15" s="1">
        <v>118178</v>
      </c>
      <c r="M15" s="1">
        <v>185539</v>
      </c>
      <c r="N15" s="1">
        <v>211933</v>
      </c>
      <c r="O15" s="1">
        <v>243703</v>
      </c>
      <c r="P15" s="6"/>
      <c r="Q15" s="7"/>
      <c r="R15" s="7"/>
      <c r="S15" s="7"/>
      <c r="T15" s="7"/>
      <c r="U15" s="6"/>
      <c r="V15" s="7"/>
      <c r="W15" s="7"/>
      <c r="X15" s="6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6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6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6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5"/>
      <c r="GI15" s="5"/>
      <c r="GJ15" s="5"/>
    </row>
    <row r="16" spans="1:193" s="35" customFormat="1" ht="15.75" x14ac:dyDescent="0.25">
      <c r="A16" s="36"/>
      <c r="B16" s="37" t="s">
        <v>29</v>
      </c>
      <c r="C16" s="38">
        <f>+C13+C14+C15</f>
        <v>168524</v>
      </c>
      <c r="D16" s="38">
        <f t="shared" ref="D16:K16" si="2">+D13+D14+D15</f>
        <v>162954</v>
      </c>
      <c r="E16" s="38">
        <f t="shared" si="2"/>
        <v>181203</v>
      </c>
      <c r="F16" s="38">
        <f t="shared" si="2"/>
        <v>234560</v>
      </c>
      <c r="G16" s="38">
        <f t="shared" si="2"/>
        <v>262408</v>
      </c>
      <c r="H16" s="38">
        <f t="shared" si="2"/>
        <v>256313</v>
      </c>
      <c r="I16" s="38">
        <f t="shared" si="2"/>
        <v>298940</v>
      </c>
      <c r="J16" s="38">
        <f t="shared" si="2"/>
        <v>217206</v>
      </c>
      <c r="K16" s="38">
        <f t="shared" si="2"/>
        <v>205366</v>
      </c>
      <c r="L16" s="38">
        <f t="shared" ref="L16:M16" si="3">+L13+L14+L15</f>
        <v>191336</v>
      </c>
      <c r="M16" s="38">
        <f t="shared" si="3"/>
        <v>269555</v>
      </c>
      <c r="N16" s="38">
        <f t="shared" ref="N16:O16" si="4">+N13+N14+N15</f>
        <v>297529</v>
      </c>
      <c r="O16" s="38">
        <f t="shared" si="4"/>
        <v>344024</v>
      </c>
      <c r="P16" s="6"/>
      <c r="Q16" s="7"/>
      <c r="R16" s="7"/>
      <c r="S16" s="7"/>
      <c r="T16" s="7"/>
      <c r="U16" s="6"/>
      <c r="V16" s="7"/>
      <c r="W16" s="7"/>
      <c r="X16" s="6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3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3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3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4"/>
      <c r="GI16" s="34"/>
      <c r="GJ16" s="34"/>
    </row>
    <row r="17" spans="1:193" s="34" customFormat="1" ht="30" x14ac:dyDescent="0.25">
      <c r="A17" s="30" t="s">
        <v>35</v>
      </c>
      <c r="B17" s="31" t="s">
        <v>7</v>
      </c>
      <c r="C17" s="32">
        <f>C18+C19</f>
        <v>153265</v>
      </c>
      <c r="D17" s="32">
        <f>D18+D19</f>
        <v>136691</v>
      </c>
      <c r="E17" s="32">
        <f>E18+E19</f>
        <v>212327</v>
      </c>
      <c r="F17" s="32">
        <f t="shared" ref="F17:H17" si="5">F18+F19</f>
        <v>231888</v>
      </c>
      <c r="G17" s="32">
        <f t="shared" si="5"/>
        <v>251028</v>
      </c>
      <c r="H17" s="32">
        <f t="shared" si="5"/>
        <v>275476</v>
      </c>
      <c r="I17" s="32">
        <f t="shared" ref="I17:K17" si="6">I18+I19</f>
        <v>316197</v>
      </c>
      <c r="J17" s="32">
        <f t="shared" si="6"/>
        <v>353153</v>
      </c>
      <c r="K17" s="32">
        <f t="shared" si="6"/>
        <v>380658</v>
      </c>
      <c r="L17" s="32">
        <f t="shared" ref="L17:M17" si="7">L18+L19</f>
        <v>292904</v>
      </c>
      <c r="M17" s="32">
        <f t="shared" si="7"/>
        <v>371148</v>
      </c>
      <c r="N17" s="32">
        <f t="shared" ref="N17:O17" si="8">N18+N19</f>
        <v>453161</v>
      </c>
      <c r="O17" s="32">
        <f t="shared" si="8"/>
        <v>479825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K17" s="35"/>
    </row>
    <row r="18" spans="1:193" ht="15.75" x14ac:dyDescent="0.25">
      <c r="A18" s="15">
        <v>6.1</v>
      </c>
      <c r="B18" s="16" t="s">
        <v>8</v>
      </c>
      <c r="C18" s="21">
        <v>146414</v>
      </c>
      <c r="D18" s="21">
        <v>129185</v>
      </c>
      <c r="E18" s="21">
        <v>204284</v>
      </c>
      <c r="F18" s="21">
        <v>223556</v>
      </c>
      <c r="G18" s="21">
        <v>242310</v>
      </c>
      <c r="H18" s="1">
        <v>265934</v>
      </c>
      <c r="I18" s="1">
        <v>305208</v>
      </c>
      <c r="J18" s="1">
        <v>341146</v>
      </c>
      <c r="K18" s="1">
        <v>367464</v>
      </c>
      <c r="L18" s="1">
        <v>287671</v>
      </c>
      <c r="M18" s="1">
        <v>362780</v>
      </c>
      <c r="N18" s="1">
        <v>436084</v>
      </c>
      <c r="O18" s="1">
        <v>459796</v>
      </c>
      <c r="P18" s="6"/>
      <c r="Q18" s="7"/>
      <c r="R18" s="7"/>
      <c r="S18" s="7"/>
      <c r="T18" s="7"/>
      <c r="U18" s="6"/>
      <c r="V18" s="7"/>
      <c r="W18" s="7"/>
      <c r="X18" s="6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5"/>
      <c r="GI18" s="5"/>
      <c r="GJ18" s="5"/>
    </row>
    <row r="19" spans="1:193" ht="15.75" x14ac:dyDescent="0.25">
      <c r="A19" s="15">
        <v>6.2</v>
      </c>
      <c r="B19" s="16" t="s">
        <v>9</v>
      </c>
      <c r="C19" s="21">
        <v>6851</v>
      </c>
      <c r="D19" s="21">
        <v>7506</v>
      </c>
      <c r="E19" s="21">
        <v>8043</v>
      </c>
      <c r="F19" s="21">
        <v>8332</v>
      </c>
      <c r="G19" s="21">
        <v>8718</v>
      </c>
      <c r="H19" s="1">
        <v>9542</v>
      </c>
      <c r="I19" s="1">
        <v>10989</v>
      </c>
      <c r="J19" s="1">
        <v>12007</v>
      </c>
      <c r="K19" s="1">
        <v>13194</v>
      </c>
      <c r="L19" s="1">
        <v>5233</v>
      </c>
      <c r="M19" s="1">
        <v>8368</v>
      </c>
      <c r="N19" s="1">
        <v>17077</v>
      </c>
      <c r="O19" s="1">
        <v>20029</v>
      </c>
      <c r="P19" s="6"/>
      <c r="Q19" s="7"/>
      <c r="R19" s="7"/>
      <c r="S19" s="7"/>
      <c r="T19" s="7"/>
      <c r="U19" s="6"/>
      <c r="V19" s="7"/>
      <c r="W19" s="7"/>
      <c r="X19" s="6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5"/>
      <c r="GI19" s="5"/>
      <c r="GJ19" s="5"/>
    </row>
    <row r="20" spans="1:193" s="34" customFormat="1" ht="30" x14ac:dyDescent="0.25">
      <c r="A20" s="41" t="s">
        <v>36</v>
      </c>
      <c r="B20" s="42" t="s">
        <v>10</v>
      </c>
      <c r="C20" s="32">
        <f>SUM(C21:C27)</f>
        <v>59876</v>
      </c>
      <c r="D20" s="32">
        <f t="shared" ref="D20:O20" si="9">SUM(D21:D27)</f>
        <v>75298</v>
      </c>
      <c r="E20" s="32">
        <f t="shared" si="9"/>
        <v>81176</v>
      </c>
      <c r="F20" s="32">
        <f t="shared" si="9"/>
        <v>89899</v>
      </c>
      <c r="G20" s="32">
        <f t="shared" si="9"/>
        <v>103649</v>
      </c>
      <c r="H20" s="32">
        <f t="shared" si="9"/>
        <v>115922</v>
      </c>
      <c r="I20" s="32">
        <f t="shared" si="9"/>
        <v>119135</v>
      </c>
      <c r="J20" s="32">
        <f t="shared" si="9"/>
        <v>121654</v>
      </c>
      <c r="K20" s="32">
        <f t="shared" si="9"/>
        <v>131420</v>
      </c>
      <c r="L20" s="32">
        <f t="shared" si="9"/>
        <v>110093</v>
      </c>
      <c r="M20" s="32">
        <f t="shared" si="9"/>
        <v>157245</v>
      </c>
      <c r="N20" s="32">
        <f t="shared" si="9"/>
        <v>178749</v>
      </c>
      <c r="O20" s="32">
        <f t="shared" si="9"/>
        <v>190724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K20" s="35"/>
    </row>
    <row r="21" spans="1:193" ht="15.75" x14ac:dyDescent="0.25">
      <c r="A21" s="15">
        <v>7.1</v>
      </c>
      <c r="B21" s="16" t="s">
        <v>11</v>
      </c>
      <c r="C21" s="21">
        <v>1</v>
      </c>
      <c r="D21" s="21">
        <v>2</v>
      </c>
      <c r="E21" s="21">
        <v>3</v>
      </c>
      <c r="F21" s="21">
        <v>3</v>
      </c>
      <c r="G21" s="21">
        <v>3</v>
      </c>
      <c r="H21" s="1">
        <v>2</v>
      </c>
      <c r="I21" s="1">
        <v>2</v>
      </c>
      <c r="J21" s="1">
        <v>2</v>
      </c>
      <c r="K21" s="1">
        <v>31</v>
      </c>
      <c r="L21" s="1">
        <v>62</v>
      </c>
      <c r="M21" s="1">
        <v>28</v>
      </c>
      <c r="N21" s="1">
        <v>15</v>
      </c>
      <c r="O21" s="1">
        <v>143</v>
      </c>
      <c r="P21" s="6"/>
      <c r="Q21" s="7"/>
      <c r="R21" s="7"/>
      <c r="S21" s="7"/>
      <c r="T21" s="7"/>
      <c r="U21" s="6"/>
      <c r="V21" s="7"/>
      <c r="W21" s="7"/>
      <c r="X21" s="6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5"/>
      <c r="GI21" s="5"/>
      <c r="GJ21" s="5"/>
    </row>
    <row r="22" spans="1:193" ht="15.75" x14ac:dyDescent="0.25">
      <c r="A22" s="15">
        <v>7.2</v>
      </c>
      <c r="B22" s="16" t="s">
        <v>12</v>
      </c>
      <c r="C22" s="21">
        <v>37865</v>
      </c>
      <c r="D22" s="21">
        <v>47178</v>
      </c>
      <c r="E22" s="21">
        <v>50141</v>
      </c>
      <c r="F22" s="21">
        <v>52482</v>
      </c>
      <c r="G22" s="21">
        <v>55634</v>
      </c>
      <c r="H22" s="1">
        <v>63645</v>
      </c>
      <c r="I22" s="1">
        <v>68866</v>
      </c>
      <c r="J22" s="1">
        <v>75597</v>
      </c>
      <c r="K22" s="1">
        <v>77647</v>
      </c>
      <c r="L22" s="1">
        <v>60010</v>
      </c>
      <c r="M22" s="1">
        <v>97441</v>
      </c>
      <c r="N22" s="1">
        <v>103059</v>
      </c>
      <c r="O22" s="1">
        <v>100341</v>
      </c>
      <c r="P22" s="6"/>
      <c r="Q22" s="7"/>
      <c r="R22" s="7"/>
      <c r="S22" s="7"/>
      <c r="T22" s="7"/>
      <c r="U22" s="6"/>
      <c r="V22" s="7"/>
      <c r="W22" s="7"/>
      <c r="X22" s="6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5"/>
      <c r="GI22" s="5"/>
      <c r="GJ22" s="5"/>
    </row>
    <row r="23" spans="1:193" ht="15.75" x14ac:dyDescent="0.25">
      <c r="A23" s="15">
        <v>7.3</v>
      </c>
      <c r="B23" s="16" t="s">
        <v>13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/>
      <c r="O23" s="1"/>
      <c r="P23" s="6"/>
      <c r="Q23" s="7"/>
      <c r="R23" s="7"/>
      <c r="S23" s="7"/>
      <c r="T23" s="7"/>
      <c r="U23" s="6"/>
      <c r="V23" s="7"/>
      <c r="W23" s="7"/>
      <c r="X23" s="6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5"/>
      <c r="GI23" s="5"/>
      <c r="GJ23" s="5"/>
    </row>
    <row r="24" spans="1:193" ht="15.75" x14ac:dyDescent="0.25">
      <c r="A24" s="15">
        <v>7.4</v>
      </c>
      <c r="B24" s="16" t="s">
        <v>14</v>
      </c>
      <c r="C24" s="21">
        <v>1738</v>
      </c>
      <c r="D24" s="21">
        <v>3094</v>
      </c>
      <c r="E24" s="21">
        <v>1221</v>
      </c>
      <c r="F24" s="21">
        <v>2450</v>
      </c>
      <c r="G24" s="21">
        <v>5743</v>
      </c>
      <c r="H24" s="1">
        <v>6266</v>
      </c>
      <c r="I24" s="1">
        <v>6073</v>
      </c>
      <c r="J24" s="1">
        <v>3330</v>
      </c>
      <c r="K24" s="1">
        <v>5174</v>
      </c>
      <c r="L24" s="1">
        <v>603</v>
      </c>
      <c r="M24" s="1">
        <v>342</v>
      </c>
      <c r="N24" s="1">
        <v>2642</v>
      </c>
      <c r="O24" s="1">
        <v>6847</v>
      </c>
      <c r="P24" s="6"/>
      <c r="Q24" s="7"/>
      <c r="R24" s="7"/>
      <c r="S24" s="7"/>
      <c r="T24" s="7"/>
      <c r="U24" s="6"/>
      <c r="V24" s="7"/>
      <c r="W24" s="7"/>
      <c r="X24" s="6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5"/>
      <c r="GI24" s="5"/>
      <c r="GJ24" s="5"/>
    </row>
    <row r="25" spans="1:193" ht="15.75" x14ac:dyDescent="0.25">
      <c r="A25" s="15">
        <v>7.5</v>
      </c>
      <c r="B25" s="16" t="s">
        <v>15</v>
      </c>
      <c r="C25" s="21">
        <v>1578</v>
      </c>
      <c r="D25" s="21">
        <v>1967</v>
      </c>
      <c r="E25" s="21">
        <v>2016</v>
      </c>
      <c r="F25" s="21">
        <v>2153</v>
      </c>
      <c r="G25" s="21">
        <v>2291</v>
      </c>
      <c r="H25" s="1">
        <v>7157</v>
      </c>
      <c r="I25" s="1">
        <v>7323</v>
      </c>
      <c r="J25" s="1">
        <v>8050</v>
      </c>
      <c r="K25" s="1">
        <v>7997</v>
      </c>
      <c r="L25" s="1">
        <v>3943</v>
      </c>
      <c r="M25" s="1">
        <v>6179</v>
      </c>
      <c r="N25" s="1">
        <v>9627</v>
      </c>
      <c r="O25" s="1">
        <v>12581</v>
      </c>
      <c r="P25" s="6"/>
      <c r="Q25" s="7"/>
      <c r="R25" s="7"/>
      <c r="S25" s="7"/>
      <c r="T25" s="7"/>
      <c r="U25" s="6"/>
      <c r="V25" s="7"/>
      <c r="W25" s="7"/>
      <c r="X25" s="6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5"/>
      <c r="GI25" s="5"/>
      <c r="GJ25" s="5"/>
    </row>
    <row r="26" spans="1:193" ht="15.75" x14ac:dyDescent="0.25">
      <c r="A26" s="15">
        <v>7.6</v>
      </c>
      <c r="B26" s="16" t="s">
        <v>16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/>
      <c r="O26" s="1"/>
      <c r="P26" s="6"/>
      <c r="Q26" s="7"/>
      <c r="R26" s="7"/>
      <c r="S26" s="7"/>
      <c r="T26" s="7"/>
      <c r="U26" s="6"/>
      <c r="V26" s="7"/>
      <c r="W26" s="7"/>
      <c r="X26" s="6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5"/>
      <c r="GI26" s="5"/>
      <c r="GJ26" s="5"/>
    </row>
    <row r="27" spans="1:193" ht="30" x14ac:dyDescent="0.25">
      <c r="A27" s="15">
        <v>7.7</v>
      </c>
      <c r="B27" s="16" t="s">
        <v>17</v>
      </c>
      <c r="C27" s="21">
        <v>18694</v>
      </c>
      <c r="D27" s="21">
        <v>23057</v>
      </c>
      <c r="E27" s="21">
        <v>27795</v>
      </c>
      <c r="F27" s="21">
        <v>32811</v>
      </c>
      <c r="G27" s="21">
        <v>39978</v>
      </c>
      <c r="H27" s="1">
        <v>38852</v>
      </c>
      <c r="I27" s="1">
        <v>36871</v>
      </c>
      <c r="J27" s="1">
        <v>34675</v>
      </c>
      <c r="K27" s="1">
        <v>40571</v>
      </c>
      <c r="L27" s="1">
        <v>45475</v>
      </c>
      <c r="M27" s="1">
        <v>53255</v>
      </c>
      <c r="N27" s="1">
        <v>63406</v>
      </c>
      <c r="O27" s="1">
        <v>70812</v>
      </c>
      <c r="P27" s="6"/>
      <c r="Q27" s="7"/>
      <c r="R27" s="7"/>
      <c r="S27" s="7"/>
      <c r="T27" s="7"/>
      <c r="U27" s="6"/>
      <c r="V27" s="7"/>
      <c r="W27" s="7"/>
      <c r="X27" s="6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5"/>
      <c r="GI27" s="5"/>
      <c r="GJ27" s="5"/>
    </row>
    <row r="28" spans="1:193" ht="15.75" x14ac:dyDescent="0.25">
      <c r="A28" s="17" t="s">
        <v>37</v>
      </c>
      <c r="B28" s="16" t="s">
        <v>18</v>
      </c>
      <c r="C28" s="21">
        <v>23030</v>
      </c>
      <c r="D28" s="21">
        <v>24803</v>
      </c>
      <c r="E28" s="21">
        <v>27751</v>
      </c>
      <c r="F28" s="21">
        <v>29063</v>
      </c>
      <c r="G28" s="21">
        <v>37101</v>
      </c>
      <c r="H28" s="1">
        <v>37665</v>
      </c>
      <c r="I28" s="1">
        <v>42602</v>
      </c>
      <c r="J28" s="1">
        <v>57042</v>
      </c>
      <c r="K28" s="1">
        <v>67513</v>
      </c>
      <c r="L28" s="1">
        <v>69703</v>
      </c>
      <c r="M28" s="1">
        <v>77333</v>
      </c>
      <c r="N28" s="1">
        <v>98864</v>
      </c>
      <c r="O28" s="1">
        <v>185804</v>
      </c>
      <c r="P28" s="6"/>
      <c r="Q28" s="7"/>
      <c r="R28" s="7"/>
      <c r="S28" s="7"/>
      <c r="T28" s="7"/>
      <c r="U28" s="6"/>
      <c r="V28" s="7"/>
      <c r="W28" s="7"/>
      <c r="X28" s="6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5"/>
      <c r="GI28" s="5"/>
      <c r="GJ28" s="5"/>
    </row>
    <row r="29" spans="1:193" ht="30" x14ac:dyDescent="0.25">
      <c r="A29" s="17" t="s">
        <v>38</v>
      </c>
      <c r="B29" s="16" t="s">
        <v>19</v>
      </c>
      <c r="C29" s="21">
        <v>117031</v>
      </c>
      <c r="D29" s="21">
        <v>123175</v>
      </c>
      <c r="E29" s="21">
        <v>127423</v>
      </c>
      <c r="F29" s="21">
        <v>130344</v>
      </c>
      <c r="G29" s="21">
        <v>129982</v>
      </c>
      <c r="H29" s="1">
        <v>138935</v>
      </c>
      <c r="I29" s="1">
        <v>150184</v>
      </c>
      <c r="J29" s="1">
        <v>159964</v>
      </c>
      <c r="K29" s="1">
        <v>156207</v>
      </c>
      <c r="L29" s="1">
        <v>150812</v>
      </c>
      <c r="M29" s="1">
        <v>160058</v>
      </c>
      <c r="N29" s="1">
        <v>167080</v>
      </c>
      <c r="O29" s="1">
        <v>177017</v>
      </c>
      <c r="P29" s="6"/>
      <c r="Q29" s="7"/>
      <c r="R29" s="7"/>
      <c r="S29" s="7"/>
      <c r="T29" s="7"/>
      <c r="U29" s="6"/>
      <c r="V29" s="7"/>
      <c r="W29" s="7"/>
      <c r="X29" s="6"/>
      <c r="Y29" s="8"/>
      <c r="Z29" s="8"/>
      <c r="AA29" s="8"/>
      <c r="AB29" s="8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5"/>
      <c r="GI29" s="5"/>
      <c r="GJ29" s="5"/>
    </row>
    <row r="30" spans="1:193" ht="15.75" x14ac:dyDescent="0.25">
      <c r="A30" s="17" t="s">
        <v>39</v>
      </c>
      <c r="B30" s="16" t="s">
        <v>54</v>
      </c>
      <c r="C30" s="21">
        <v>178868</v>
      </c>
      <c r="D30" s="21">
        <v>189647</v>
      </c>
      <c r="E30" s="21">
        <v>197636</v>
      </c>
      <c r="F30" s="21">
        <v>228275</v>
      </c>
      <c r="G30" s="21">
        <v>274211</v>
      </c>
      <c r="H30" s="1">
        <v>280156</v>
      </c>
      <c r="I30" s="1">
        <v>296652</v>
      </c>
      <c r="J30" s="1">
        <v>322647</v>
      </c>
      <c r="K30" s="1">
        <v>363173</v>
      </c>
      <c r="L30" s="1">
        <v>422447</v>
      </c>
      <c r="M30" s="1">
        <v>473105</v>
      </c>
      <c r="N30" s="1">
        <v>529197</v>
      </c>
      <c r="O30" s="1">
        <v>650907</v>
      </c>
      <c r="P30" s="6"/>
      <c r="Q30" s="7"/>
      <c r="R30" s="7"/>
      <c r="S30" s="7"/>
      <c r="T30" s="7"/>
      <c r="U30" s="6"/>
      <c r="V30" s="7"/>
      <c r="W30" s="7"/>
      <c r="X30" s="6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5"/>
      <c r="GI30" s="5"/>
      <c r="GJ30" s="5"/>
    </row>
    <row r="31" spans="1:193" ht="15.75" x14ac:dyDescent="0.25">
      <c r="A31" s="17" t="s">
        <v>40</v>
      </c>
      <c r="B31" s="16" t="s">
        <v>20</v>
      </c>
      <c r="C31" s="21">
        <v>200228</v>
      </c>
      <c r="D31" s="21">
        <v>232510</v>
      </c>
      <c r="E31" s="21">
        <v>262307</v>
      </c>
      <c r="F31" s="21">
        <v>288040</v>
      </c>
      <c r="G31" s="21">
        <v>276676</v>
      </c>
      <c r="H31" s="1">
        <v>338721</v>
      </c>
      <c r="I31" s="1">
        <v>420267</v>
      </c>
      <c r="J31" s="1">
        <v>455866</v>
      </c>
      <c r="K31" s="1">
        <v>545846</v>
      </c>
      <c r="L31" s="1">
        <v>537484</v>
      </c>
      <c r="M31" s="1">
        <v>650278</v>
      </c>
      <c r="N31" s="1">
        <v>779464</v>
      </c>
      <c r="O31" s="1">
        <v>906958</v>
      </c>
      <c r="P31" s="6"/>
      <c r="Q31" s="7"/>
      <c r="R31" s="7"/>
      <c r="S31" s="7"/>
      <c r="T31" s="7"/>
      <c r="U31" s="6"/>
      <c r="V31" s="7"/>
      <c r="W31" s="7"/>
      <c r="X31" s="6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5"/>
      <c r="GI31" s="5"/>
      <c r="GJ31" s="5"/>
    </row>
    <row r="32" spans="1:193" s="35" customFormat="1" ht="15.75" x14ac:dyDescent="0.25">
      <c r="A32" s="36"/>
      <c r="B32" s="37" t="s">
        <v>30</v>
      </c>
      <c r="C32" s="38">
        <f>C17+C20+C28+C29+C30+C31</f>
        <v>732298</v>
      </c>
      <c r="D32" s="38">
        <f t="shared" ref="D32:L32" si="10">D17+D20+D28+D29+D30+D31</f>
        <v>782124</v>
      </c>
      <c r="E32" s="38">
        <f t="shared" si="10"/>
        <v>908620</v>
      </c>
      <c r="F32" s="38">
        <f t="shared" si="10"/>
        <v>997509</v>
      </c>
      <c r="G32" s="38">
        <f t="shared" si="10"/>
        <v>1072647</v>
      </c>
      <c r="H32" s="38">
        <f t="shared" si="10"/>
        <v>1186875</v>
      </c>
      <c r="I32" s="38">
        <f t="shared" si="10"/>
        <v>1345037</v>
      </c>
      <c r="J32" s="38">
        <f t="shared" si="10"/>
        <v>1470326</v>
      </c>
      <c r="K32" s="38">
        <f t="shared" si="10"/>
        <v>1644817</v>
      </c>
      <c r="L32" s="38">
        <f t="shared" si="10"/>
        <v>1583443</v>
      </c>
      <c r="M32" s="38">
        <f t="shared" ref="M32:O32" si="11">M17+M20+M28+M29+M30+M31</f>
        <v>1889167</v>
      </c>
      <c r="N32" s="38">
        <f t="shared" si="11"/>
        <v>2206515</v>
      </c>
      <c r="O32" s="38">
        <f t="shared" si="11"/>
        <v>2591235</v>
      </c>
      <c r="P32" s="6"/>
      <c r="Q32" s="7"/>
      <c r="R32" s="7"/>
      <c r="S32" s="7"/>
      <c r="T32" s="7"/>
      <c r="U32" s="6"/>
      <c r="V32" s="7"/>
      <c r="W32" s="7"/>
      <c r="X32" s="6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9"/>
      <c r="GE32" s="39"/>
      <c r="GF32" s="39"/>
      <c r="GG32" s="39"/>
      <c r="GH32" s="34"/>
      <c r="GI32" s="34"/>
      <c r="GJ32" s="34"/>
    </row>
    <row r="33" spans="1:193" s="34" customFormat="1" ht="15.75" x14ac:dyDescent="0.25">
      <c r="A33" s="30" t="s">
        <v>27</v>
      </c>
      <c r="B33" s="43" t="s">
        <v>51</v>
      </c>
      <c r="C33" s="32">
        <f>C6+C11+C13+C14+C15+C17+C20+C28+C29+C30+C31</f>
        <v>1131558.58</v>
      </c>
      <c r="D33" s="32">
        <f t="shared" ref="D33:L33" si="12">D6+D11+D13+D14+D15+D17+D20+D28+D29+D30+D31</f>
        <v>1216953.76</v>
      </c>
      <c r="E33" s="32">
        <f t="shared" si="12"/>
        <v>1409706.66</v>
      </c>
      <c r="F33" s="32">
        <f t="shared" si="12"/>
        <v>1601260</v>
      </c>
      <c r="G33" s="32">
        <f t="shared" si="12"/>
        <v>1699561</v>
      </c>
      <c r="H33" s="32">
        <f t="shared" si="12"/>
        <v>1827672</v>
      </c>
      <c r="I33" s="32">
        <f t="shared" si="12"/>
        <v>2280715</v>
      </c>
      <c r="J33" s="32">
        <f t="shared" si="12"/>
        <v>2373424</v>
      </c>
      <c r="K33" s="32">
        <f t="shared" si="12"/>
        <v>2565311</v>
      </c>
      <c r="L33" s="32">
        <f t="shared" si="12"/>
        <v>2530093</v>
      </c>
      <c r="M33" s="32">
        <f t="shared" ref="M33:O33" si="13">M6+M11+M13+M14+M15+M17+M20+M28+M29+M30+M31</f>
        <v>2985987</v>
      </c>
      <c r="N33" s="32">
        <f t="shared" si="13"/>
        <v>3257910</v>
      </c>
      <c r="O33" s="32">
        <f t="shared" si="13"/>
        <v>3752413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K33" s="35"/>
    </row>
    <row r="34" spans="1:193" s="35" customFormat="1" ht="15.75" x14ac:dyDescent="0.25">
      <c r="A34" s="44" t="s">
        <v>43</v>
      </c>
      <c r="B34" s="45" t="s">
        <v>25</v>
      </c>
      <c r="C34" s="38">
        <f>GSVA_cur!C34</f>
        <v>48918.33</v>
      </c>
      <c r="D34" s="38">
        <f>GSVA_cur!D34</f>
        <v>46018.62</v>
      </c>
      <c r="E34" s="38">
        <f>GSVA_cur!E34</f>
        <v>77020.95</v>
      </c>
      <c r="F34" s="38">
        <f>GSVA_cur!F34</f>
        <v>76376</v>
      </c>
      <c r="G34" s="38">
        <f>GSVA_cur!G34</f>
        <v>97115</v>
      </c>
      <c r="H34" s="38">
        <f>GSVA_cur!H34</f>
        <v>113598</v>
      </c>
      <c r="I34" s="38">
        <f>GSVA_cur!I34</f>
        <v>100840</v>
      </c>
      <c r="J34" s="38">
        <f>GSVA_cur!J34</f>
        <v>140699</v>
      </c>
      <c r="K34" s="38">
        <f>GSVA_cur!K34</f>
        <v>166011</v>
      </c>
      <c r="L34" s="38">
        <f>GSVA_cur!L34</f>
        <v>187677</v>
      </c>
      <c r="M34" s="38">
        <f>GSVA_cur!M34</f>
        <v>232741</v>
      </c>
      <c r="N34" s="38">
        <f>GSVA_cur!N34</f>
        <v>261023</v>
      </c>
      <c r="O34" s="38">
        <f>GSVA_cur!O34</f>
        <v>216046</v>
      </c>
      <c r="P34" s="6"/>
      <c r="Q34" s="7"/>
      <c r="R34" s="7"/>
      <c r="S34" s="7"/>
      <c r="T34" s="7"/>
      <c r="U34" s="6"/>
      <c r="V34" s="7"/>
      <c r="W34" s="7"/>
      <c r="X34" s="6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  <c r="FU34" s="39"/>
      <c r="FV34" s="39"/>
      <c r="FW34" s="39"/>
      <c r="FX34" s="39"/>
      <c r="FY34" s="39"/>
      <c r="FZ34" s="39"/>
      <c r="GA34" s="39"/>
      <c r="GB34" s="39"/>
      <c r="GC34" s="39"/>
      <c r="GD34" s="39"/>
      <c r="GE34" s="39"/>
      <c r="GF34" s="39"/>
    </row>
    <row r="35" spans="1:193" s="35" customFormat="1" ht="15.75" x14ac:dyDescent="0.25">
      <c r="A35" s="44" t="s">
        <v>44</v>
      </c>
      <c r="B35" s="45" t="s">
        <v>24</v>
      </c>
      <c r="C35" s="38">
        <f>GSVA_cur!C35</f>
        <v>30370</v>
      </c>
      <c r="D35" s="38">
        <f>GSVA_cur!D35</f>
        <v>44163</v>
      </c>
      <c r="E35" s="38">
        <f>GSVA_cur!E35</f>
        <v>42765</v>
      </c>
      <c r="F35" s="38">
        <f>GSVA_cur!F35</f>
        <v>50101</v>
      </c>
      <c r="G35" s="38">
        <f>GSVA_cur!G35</f>
        <v>47366</v>
      </c>
      <c r="H35" s="38">
        <f>GSVA_cur!H35</f>
        <v>28043</v>
      </c>
      <c r="I35" s="38">
        <f>GSVA_cur!I35</f>
        <v>25890</v>
      </c>
      <c r="J35" s="38">
        <f>GSVA_cur!J35</f>
        <v>30126</v>
      </c>
      <c r="K35" s="38">
        <f>GSVA_cur!K35</f>
        <v>28846</v>
      </c>
      <c r="L35" s="38">
        <f>GSVA_cur!L35</f>
        <v>54583</v>
      </c>
      <c r="M35" s="38">
        <f>GSVA_cur!M35</f>
        <v>77064</v>
      </c>
      <c r="N35" s="38">
        <f>GSVA_cur!N35</f>
        <v>81030</v>
      </c>
      <c r="O35" s="38">
        <f>GSVA_cur!O35</f>
        <v>84876</v>
      </c>
      <c r="P35" s="6"/>
      <c r="Q35" s="7"/>
      <c r="R35" s="7"/>
      <c r="S35" s="7"/>
      <c r="T35" s="7"/>
      <c r="U35" s="6"/>
      <c r="V35" s="7"/>
      <c r="W35" s="7"/>
      <c r="X35" s="6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  <c r="FU35" s="39"/>
      <c r="FV35" s="39"/>
      <c r="FW35" s="39"/>
      <c r="FX35" s="39"/>
      <c r="FY35" s="39"/>
      <c r="FZ35" s="39"/>
      <c r="GA35" s="39"/>
      <c r="GB35" s="39"/>
      <c r="GC35" s="39"/>
      <c r="GD35" s="39"/>
      <c r="GE35" s="39"/>
      <c r="GF35" s="39"/>
    </row>
    <row r="36" spans="1:193" s="35" customFormat="1" ht="15.75" x14ac:dyDescent="0.25">
      <c r="A36" s="44" t="s">
        <v>45</v>
      </c>
      <c r="B36" s="45" t="s">
        <v>63</v>
      </c>
      <c r="C36" s="38">
        <f>C33+C34-C35</f>
        <v>1150106.9100000001</v>
      </c>
      <c r="D36" s="38">
        <f t="shared" ref="D36:O36" si="14">D33+D34-D35</f>
        <v>1218809.3800000001</v>
      </c>
      <c r="E36" s="38">
        <f t="shared" si="14"/>
        <v>1443962.6099999999</v>
      </c>
      <c r="F36" s="38">
        <f t="shared" si="14"/>
        <v>1627535</v>
      </c>
      <c r="G36" s="38">
        <f t="shared" si="14"/>
        <v>1749310</v>
      </c>
      <c r="H36" s="38">
        <f t="shared" si="14"/>
        <v>1913227</v>
      </c>
      <c r="I36" s="38">
        <f t="shared" si="14"/>
        <v>2355665</v>
      </c>
      <c r="J36" s="38">
        <f t="shared" si="14"/>
        <v>2483997</v>
      </c>
      <c r="K36" s="38">
        <f t="shared" si="14"/>
        <v>2702476</v>
      </c>
      <c r="L36" s="38">
        <f t="shared" si="14"/>
        <v>2663187</v>
      </c>
      <c r="M36" s="38">
        <f t="shared" si="14"/>
        <v>3141664</v>
      </c>
      <c r="N36" s="38">
        <f t="shared" si="14"/>
        <v>3437903</v>
      </c>
      <c r="O36" s="38">
        <f t="shared" si="14"/>
        <v>3883583</v>
      </c>
      <c r="P36" s="6"/>
      <c r="Q36" s="7"/>
      <c r="R36" s="7"/>
      <c r="S36" s="7"/>
      <c r="T36" s="7"/>
      <c r="U36" s="6"/>
      <c r="V36" s="7"/>
      <c r="W36" s="7"/>
      <c r="X36" s="6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</row>
    <row r="37" spans="1:193" s="35" customFormat="1" ht="15.75" x14ac:dyDescent="0.25">
      <c r="A37" s="44" t="s">
        <v>46</v>
      </c>
      <c r="B37" s="45" t="s">
        <v>42</v>
      </c>
      <c r="C37" s="38">
        <f>GSVA_cur!C37</f>
        <v>28925</v>
      </c>
      <c r="D37" s="38">
        <f>GSVA_cur!D37</f>
        <v>29561</v>
      </c>
      <c r="E37" s="38">
        <f>GSVA_cur!E37</f>
        <v>30210</v>
      </c>
      <c r="F37" s="38">
        <f>GSVA_cur!F37</f>
        <v>30873</v>
      </c>
      <c r="G37" s="38">
        <f>GSVA_cur!G37</f>
        <v>31549</v>
      </c>
      <c r="H37" s="38">
        <f>GSVA_cur!H37</f>
        <v>32239</v>
      </c>
      <c r="I37" s="38">
        <f>GSVA_cur!I37</f>
        <v>32943</v>
      </c>
      <c r="J37" s="38">
        <f>GSVA_cur!J37</f>
        <v>33661</v>
      </c>
      <c r="K37" s="38">
        <f>GSVA_cur!K37</f>
        <v>34394</v>
      </c>
      <c r="L37" s="38">
        <f>GSVA_cur!L37</f>
        <v>35142</v>
      </c>
      <c r="M37" s="38">
        <f>GSVA_cur!M37</f>
        <v>31790</v>
      </c>
      <c r="N37" s="38">
        <f>GSVA_cur!N37</f>
        <v>32090</v>
      </c>
      <c r="O37" s="38">
        <f>GSVA_cur!O37</f>
        <v>32380</v>
      </c>
      <c r="P37" s="5"/>
      <c r="Q37" s="2"/>
      <c r="R37" s="2"/>
      <c r="S37" s="2"/>
      <c r="T37" s="2"/>
      <c r="U37" s="5"/>
      <c r="V37" s="2"/>
      <c r="W37" s="2"/>
      <c r="X37" s="5"/>
      <c r="Y37" s="5"/>
      <c r="Z37" s="5"/>
      <c r="AA37" s="5"/>
      <c r="AB37" s="5"/>
      <c r="AC37" s="2"/>
      <c r="AD37" s="2"/>
      <c r="AE37" s="2"/>
      <c r="AF37" s="2"/>
      <c r="AG37" s="2"/>
      <c r="AH37" s="2"/>
      <c r="AI37" s="2"/>
      <c r="AJ37" s="2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</row>
    <row r="38" spans="1:193" s="35" customFormat="1" ht="15.75" x14ac:dyDescent="0.25">
      <c r="A38" s="44" t="s">
        <v>47</v>
      </c>
      <c r="B38" s="45" t="s">
        <v>64</v>
      </c>
      <c r="C38" s="38">
        <f>C36/C37*1000</f>
        <v>39761.690924805538</v>
      </c>
      <c r="D38" s="38">
        <f t="shared" ref="D38:O38" si="15">D36/D37*1000</f>
        <v>41230.316295118573</v>
      </c>
      <c r="E38" s="38">
        <f t="shared" si="15"/>
        <v>47797.504468718966</v>
      </c>
      <c r="F38" s="38">
        <f t="shared" si="15"/>
        <v>52717.099083341433</v>
      </c>
      <c r="G38" s="38">
        <f t="shared" si="15"/>
        <v>55447.399283653998</v>
      </c>
      <c r="H38" s="38">
        <f t="shared" si="15"/>
        <v>59345.109959986352</v>
      </c>
      <c r="I38" s="38">
        <f t="shared" si="15"/>
        <v>71507.300488722947</v>
      </c>
      <c r="J38" s="38">
        <f t="shared" si="15"/>
        <v>73794.509967024162</v>
      </c>
      <c r="K38" s="38">
        <f t="shared" si="15"/>
        <v>78574.053614002434</v>
      </c>
      <c r="L38" s="38">
        <f t="shared" si="15"/>
        <v>75783.592282738609</v>
      </c>
      <c r="M38" s="38">
        <f t="shared" si="15"/>
        <v>98825.542623466506</v>
      </c>
      <c r="N38" s="38">
        <f t="shared" si="15"/>
        <v>107133.15674665004</v>
      </c>
      <c r="O38" s="38">
        <f t="shared" si="15"/>
        <v>119937.70846201359</v>
      </c>
      <c r="P38" s="6"/>
      <c r="Q38" s="2"/>
      <c r="R38" s="2"/>
      <c r="S38" s="2"/>
      <c r="T38" s="2"/>
      <c r="U38" s="5"/>
      <c r="V38" s="2"/>
      <c r="W38" s="2"/>
      <c r="X38" s="6"/>
      <c r="Y38" s="6"/>
      <c r="Z38" s="6"/>
      <c r="AA38" s="6"/>
      <c r="AB38" s="6"/>
      <c r="AC38" s="2"/>
      <c r="AD38" s="2"/>
      <c r="AE38" s="2"/>
      <c r="AF38" s="2"/>
      <c r="AG38" s="2"/>
      <c r="AH38" s="2"/>
      <c r="AI38" s="2"/>
      <c r="AJ38" s="2"/>
      <c r="CC38" s="39"/>
      <c r="CD38" s="39"/>
      <c r="CE38" s="39"/>
      <c r="CF38" s="39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</row>
    <row r="39" spans="1:193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S39"/>
  <sheetViews>
    <sheetView tabSelected="1" zoomScale="77" zoomScaleNormal="77" zoomScaleSheetLayoutView="100" workbookViewId="0">
      <pane xSplit="2" ySplit="5" topLeftCell="C6" activePane="bottomRight" state="frozen"/>
      <selection activeCell="R35" sqref="R35"/>
      <selection pane="topRight" activeCell="R35" sqref="R35"/>
      <selection pane="bottomLeft" activeCell="R35" sqref="R35"/>
      <selection pane="bottomRight" activeCell="R35" sqref="R35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7" width="10.85546875" style="2" customWidth="1"/>
    <col min="8" max="15" width="11.85546875" style="5" customWidth="1"/>
    <col min="16" max="16" width="11.28515625" style="2" customWidth="1"/>
    <col min="17" max="17" width="11.7109375" style="5" customWidth="1"/>
    <col min="18" max="18" width="9.140625" style="2" customWidth="1"/>
    <col min="19" max="19" width="10.85546875" style="2" customWidth="1"/>
    <col min="20" max="20" width="10.85546875" style="5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5" customWidth="1"/>
    <col min="111" max="115" width="9.140625" style="5" hidden="1" customWidth="1"/>
    <col min="116" max="116" width="9.140625" style="5" customWidth="1"/>
    <col min="117" max="121" width="9.140625" style="5" hidden="1" customWidth="1"/>
    <col min="122" max="122" width="9.140625" style="5" customWidth="1"/>
    <col min="123" max="127" width="9.140625" style="5" hidden="1" customWidth="1"/>
    <col min="128" max="128" width="9.140625" style="5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8" width="8.85546875" style="2"/>
    <col min="189" max="189" width="12.7109375" style="2" bestFit="1" customWidth="1"/>
    <col min="190" max="16384" width="8.85546875" style="2"/>
  </cols>
  <sheetData>
    <row r="1" spans="1:189" ht="18.75" x14ac:dyDescent="0.3">
      <c r="A1" s="2" t="s">
        <v>53</v>
      </c>
      <c r="B1" s="20" t="s">
        <v>66</v>
      </c>
      <c r="S1" s="6"/>
    </row>
    <row r="2" spans="1:189" ht="15.75" x14ac:dyDescent="0.25">
      <c r="A2" s="10" t="s">
        <v>52</v>
      </c>
      <c r="I2" s="5" t="str">
        <f>[1]GSVA_cur!$I$3</f>
        <v>01.08.2025</v>
      </c>
    </row>
    <row r="3" spans="1:189" ht="15.75" x14ac:dyDescent="0.25">
      <c r="A3" s="10"/>
    </row>
    <row r="4" spans="1:189" ht="15.75" x14ac:dyDescent="0.25">
      <c r="A4" s="10"/>
      <c r="E4" s="9"/>
      <c r="F4" s="9" t="s">
        <v>57</v>
      </c>
      <c r="G4" s="9"/>
    </row>
    <row r="5" spans="1:189" ht="15.75" x14ac:dyDescent="0.25">
      <c r="A5" s="11" t="s">
        <v>0</v>
      </c>
      <c r="B5" s="12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19" t="s">
        <v>67</v>
      </c>
      <c r="I5" s="19" t="s">
        <v>68</v>
      </c>
      <c r="J5" s="19" t="s">
        <v>69</v>
      </c>
      <c r="K5" s="19" t="s">
        <v>70</v>
      </c>
      <c r="L5" s="19" t="s">
        <v>71</v>
      </c>
      <c r="M5" s="29" t="s">
        <v>72</v>
      </c>
      <c r="N5" s="29" t="s">
        <v>73</v>
      </c>
      <c r="O5" s="29" t="s">
        <v>74</v>
      </c>
    </row>
    <row r="6" spans="1:189" s="34" customFormat="1" ht="15.75" x14ac:dyDescent="0.25">
      <c r="A6" s="30" t="s">
        <v>26</v>
      </c>
      <c r="B6" s="31" t="s">
        <v>2</v>
      </c>
      <c r="C6" s="32">
        <f>C7+C8+C9+C10</f>
        <v>230736.58000000002</v>
      </c>
      <c r="D6" s="32">
        <f t="shared" ref="D6:O6" si="0">D7+D8+D9+D10</f>
        <v>253024.26</v>
      </c>
      <c r="E6" s="32">
        <f t="shared" si="0"/>
        <v>263921.23</v>
      </c>
      <c r="F6" s="32">
        <f t="shared" si="0"/>
        <v>269800</v>
      </c>
      <c r="G6" s="32">
        <f t="shared" si="0"/>
        <v>247713</v>
      </c>
      <c r="H6" s="32">
        <f t="shared" si="0"/>
        <v>263369</v>
      </c>
      <c r="I6" s="32">
        <f t="shared" si="0"/>
        <v>400663</v>
      </c>
      <c r="J6" s="32">
        <f t="shared" si="0"/>
        <v>384119</v>
      </c>
      <c r="K6" s="32">
        <f t="shared" si="0"/>
        <v>369893</v>
      </c>
      <c r="L6" s="32">
        <f t="shared" si="0"/>
        <v>354994</v>
      </c>
      <c r="M6" s="32">
        <f t="shared" si="0"/>
        <v>378593</v>
      </c>
      <c r="N6" s="32">
        <f t="shared" si="0"/>
        <v>325572</v>
      </c>
      <c r="O6" s="32">
        <f t="shared" si="0"/>
        <v>329987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G6" s="35"/>
    </row>
    <row r="7" spans="1:189" ht="15.75" x14ac:dyDescent="0.25">
      <c r="A7" s="15">
        <v>1.1000000000000001</v>
      </c>
      <c r="B7" s="16" t="s">
        <v>59</v>
      </c>
      <c r="C7" s="21">
        <v>120336.58</v>
      </c>
      <c r="D7" s="21">
        <v>140047.26</v>
      </c>
      <c r="E7" s="21">
        <v>147174.15</v>
      </c>
      <c r="F7" s="21">
        <v>155764</v>
      </c>
      <c r="G7" s="21">
        <v>130841</v>
      </c>
      <c r="H7" s="1">
        <v>119341</v>
      </c>
      <c r="I7" s="1">
        <v>244531</v>
      </c>
      <c r="J7" s="1">
        <v>243709</v>
      </c>
      <c r="K7" s="1">
        <v>229677</v>
      </c>
      <c r="L7" s="1">
        <v>233738</v>
      </c>
      <c r="M7" s="1">
        <v>254792</v>
      </c>
      <c r="N7" s="1">
        <v>204867</v>
      </c>
      <c r="O7" s="1">
        <v>201133</v>
      </c>
      <c r="P7" s="7"/>
      <c r="Q7" s="6"/>
      <c r="R7" s="7"/>
      <c r="S7" s="7"/>
      <c r="T7" s="6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5"/>
      <c r="GE7" s="5"/>
      <c r="GF7" s="5"/>
    </row>
    <row r="8" spans="1:189" ht="15.75" x14ac:dyDescent="0.25">
      <c r="A8" s="15">
        <v>1.2</v>
      </c>
      <c r="B8" s="16" t="s">
        <v>60</v>
      </c>
      <c r="C8" s="21">
        <v>51840</v>
      </c>
      <c r="D8" s="21">
        <v>53514</v>
      </c>
      <c r="E8" s="21">
        <v>55075.72</v>
      </c>
      <c r="F8" s="21">
        <v>55259</v>
      </c>
      <c r="G8" s="21">
        <v>56157</v>
      </c>
      <c r="H8" s="1">
        <v>58122</v>
      </c>
      <c r="I8" s="1">
        <v>62004</v>
      </c>
      <c r="J8" s="1">
        <v>56632</v>
      </c>
      <c r="K8" s="1">
        <v>59122</v>
      </c>
      <c r="L8" s="1">
        <v>56655</v>
      </c>
      <c r="M8" s="1">
        <v>57639</v>
      </c>
      <c r="N8" s="1">
        <v>53783</v>
      </c>
      <c r="O8" s="1">
        <v>56383</v>
      </c>
      <c r="P8" s="7"/>
      <c r="Q8" s="6"/>
      <c r="R8" s="7"/>
      <c r="S8" s="7"/>
      <c r="T8" s="6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5"/>
      <c r="GE8" s="5"/>
      <c r="GF8" s="5"/>
    </row>
    <row r="9" spans="1:189" ht="15.75" x14ac:dyDescent="0.25">
      <c r="A9" s="15">
        <v>1.3</v>
      </c>
      <c r="B9" s="16" t="s">
        <v>61</v>
      </c>
      <c r="C9" s="21">
        <v>41722</v>
      </c>
      <c r="D9" s="21">
        <v>39986</v>
      </c>
      <c r="E9" s="21">
        <v>38565</v>
      </c>
      <c r="F9" s="21">
        <v>35815</v>
      </c>
      <c r="G9" s="21">
        <v>36472</v>
      </c>
      <c r="H9" s="1">
        <v>61452</v>
      </c>
      <c r="I9" s="1">
        <v>69795</v>
      </c>
      <c r="J9" s="1">
        <v>59260</v>
      </c>
      <c r="K9" s="1">
        <v>57765</v>
      </c>
      <c r="L9" s="1">
        <v>39062</v>
      </c>
      <c r="M9" s="1">
        <v>38497</v>
      </c>
      <c r="N9" s="1">
        <v>38188</v>
      </c>
      <c r="O9" s="1">
        <v>42684</v>
      </c>
      <c r="P9" s="7"/>
      <c r="Q9" s="6"/>
      <c r="R9" s="7"/>
      <c r="S9" s="7"/>
      <c r="T9" s="6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5"/>
      <c r="GE9" s="5"/>
      <c r="GF9" s="5"/>
    </row>
    <row r="10" spans="1:189" ht="15.75" x14ac:dyDescent="0.25">
      <c r="A10" s="15">
        <v>1.4</v>
      </c>
      <c r="B10" s="16" t="s">
        <v>62</v>
      </c>
      <c r="C10" s="21">
        <v>16838</v>
      </c>
      <c r="D10" s="21">
        <v>19477</v>
      </c>
      <c r="E10" s="21">
        <v>23106.36</v>
      </c>
      <c r="F10" s="21">
        <v>22962</v>
      </c>
      <c r="G10" s="21">
        <v>24243</v>
      </c>
      <c r="H10" s="1">
        <v>24454</v>
      </c>
      <c r="I10" s="1">
        <v>24333</v>
      </c>
      <c r="J10" s="1">
        <v>24518</v>
      </c>
      <c r="K10" s="1">
        <v>23329</v>
      </c>
      <c r="L10" s="1">
        <v>25539</v>
      </c>
      <c r="M10" s="1">
        <v>27665</v>
      </c>
      <c r="N10" s="1">
        <v>28734</v>
      </c>
      <c r="O10" s="1">
        <v>29787</v>
      </c>
      <c r="P10" s="7"/>
      <c r="Q10" s="6"/>
      <c r="R10" s="7"/>
      <c r="S10" s="7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5"/>
      <c r="GE10" s="5"/>
      <c r="GF10" s="5"/>
    </row>
    <row r="11" spans="1:189" ht="15.75" x14ac:dyDescent="0.25">
      <c r="A11" s="17" t="s">
        <v>31</v>
      </c>
      <c r="B11" s="16" t="s">
        <v>3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/>
      <c r="O11" s="1"/>
      <c r="P11" s="7"/>
      <c r="Q11" s="6"/>
      <c r="R11" s="7"/>
      <c r="S11" s="7"/>
      <c r="T11" s="6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5"/>
      <c r="GE11" s="5"/>
      <c r="GF11" s="5"/>
    </row>
    <row r="12" spans="1:189" s="35" customFormat="1" ht="15.75" x14ac:dyDescent="0.25">
      <c r="A12" s="36"/>
      <c r="B12" s="37" t="s">
        <v>28</v>
      </c>
      <c r="C12" s="38">
        <f>C6+C11</f>
        <v>230736.58000000002</v>
      </c>
      <c r="D12" s="38">
        <f t="shared" ref="D12:O12" si="1">D6+D11</f>
        <v>253024.26</v>
      </c>
      <c r="E12" s="38">
        <f t="shared" si="1"/>
        <v>263921.23</v>
      </c>
      <c r="F12" s="38">
        <f t="shared" si="1"/>
        <v>269800</v>
      </c>
      <c r="G12" s="38">
        <f t="shared" si="1"/>
        <v>247713</v>
      </c>
      <c r="H12" s="38">
        <f t="shared" si="1"/>
        <v>263369</v>
      </c>
      <c r="I12" s="38">
        <f t="shared" si="1"/>
        <v>400663</v>
      </c>
      <c r="J12" s="38">
        <f t="shared" si="1"/>
        <v>384119</v>
      </c>
      <c r="K12" s="38">
        <f t="shared" si="1"/>
        <v>369893</v>
      </c>
      <c r="L12" s="38">
        <f t="shared" si="1"/>
        <v>354994</v>
      </c>
      <c r="M12" s="38">
        <f t="shared" si="1"/>
        <v>378593</v>
      </c>
      <c r="N12" s="38">
        <f t="shared" si="1"/>
        <v>325572</v>
      </c>
      <c r="O12" s="38">
        <f t="shared" si="1"/>
        <v>329987</v>
      </c>
      <c r="P12" s="7"/>
      <c r="Q12" s="6"/>
      <c r="R12" s="7"/>
      <c r="S12" s="7"/>
      <c r="T12" s="6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4"/>
      <c r="GE12" s="34"/>
      <c r="GF12" s="34"/>
    </row>
    <row r="13" spans="1:189" s="5" customFormat="1" ht="15.75" x14ac:dyDescent="0.25">
      <c r="A13" s="13" t="s">
        <v>32</v>
      </c>
      <c r="B13" s="14" t="s">
        <v>4</v>
      </c>
      <c r="C13" s="22">
        <v>32858</v>
      </c>
      <c r="D13" s="22">
        <v>20586</v>
      </c>
      <c r="E13" s="22">
        <v>32505</v>
      </c>
      <c r="F13" s="22">
        <v>31471</v>
      </c>
      <c r="G13" s="22">
        <v>43071</v>
      </c>
      <c r="H13" s="1">
        <v>44922</v>
      </c>
      <c r="I13" s="1">
        <v>43107</v>
      </c>
      <c r="J13" s="1">
        <v>41394</v>
      </c>
      <c r="K13" s="1">
        <v>25489</v>
      </c>
      <c r="L13" s="1">
        <v>26763</v>
      </c>
      <c r="M13" s="1">
        <v>28293</v>
      </c>
      <c r="N13" s="1">
        <v>24679</v>
      </c>
      <c r="O13" s="1">
        <v>28771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G13" s="2"/>
    </row>
    <row r="14" spans="1:189" ht="30" x14ac:dyDescent="0.25">
      <c r="A14" s="17" t="s">
        <v>33</v>
      </c>
      <c r="B14" s="16" t="s">
        <v>5</v>
      </c>
      <c r="C14" s="21">
        <v>39708</v>
      </c>
      <c r="D14" s="21">
        <v>41338</v>
      </c>
      <c r="E14" s="21">
        <v>38880</v>
      </c>
      <c r="F14" s="21">
        <v>34424</v>
      </c>
      <c r="G14" s="21">
        <v>36493</v>
      </c>
      <c r="H14" s="1">
        <v>46667</v>
      </c>
      <c r="I14" s="1">
        <v>45193</v>
      </c>
      <c r="J14" s="1">
        <v>21068</v>
      </c>
      <c r="K14" s="1">
        <v>20514</v>
      </c>
      <c r="L14" s="1">
        <v>20853</v>
      </c>
      <c r="M14" s="1">
        <v>20182</v>
      </c>
      <c r="N14" s="1">
        <v>19282</v>
      </c>
      <c r="O14" s="1">
        <v>22646</v>
      </c>
      <c r="P14" s="7"/>
      <c r="Q14" s="6"/>
      <c r="R14" s="7"/>
      <c r="S14" s="7"/>
      <c r="T14" s="6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6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6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6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5"/>
      <c r="GE14" s="5"/>
      <c r="GF14" s="5"/>
    </row>
    <row r="15" spans="1:189" ht="15.75" x14ac:dyDescent="0.25">
      <c r="A15" s="17" t="s">
        <v>34</v>
      </c>
      <c r="B15" s="16" t="s">
        <v>6</v>
      </c>
      <c r="C15" s="21">
        <v>95958</v>
      </c>
      <c r="D15" s="21">
        <v>93671</v>
      </c>
      <c r="E15" s="21">
        <v>104639</v>
      </c>
      <c r="F15" s="21">
        <v>162372</v>
      </c>
      <c r="G15" s="21">
        <v>187366</v>
      </c>
      <c r="H15" s="1">
        <v>156016</v>
      </c>
      <c r="I15" s="1">
        <v>164880</v>
      </c>
      <c r="J15" s="1">
        <v>98007</v>
      </c>
      <c r="K15" s="1">
        <v>117319</v>
      </c>
      <c r="L15" s="1">
        <v>86208</v>
      </c>
      <c r="M15" s="1">
        <v>118227</v>
      </c>
      <c r="N15" s="1">
        <v>126179</v>
      </c>
      <c r="O15" s="1">
        <v>145399</v>
      </c>
      <c r="P15" s="7"/>
      <c r="Q15" s="6"/>
      <c r="R15" s="7"/>
      <c r="S15" s="7"/>
      <c r="T15" s="6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6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6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6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5"/>
      <c r="GE15" s="5"/>
      <c r="GF15" s="5"/>
    </row>
    <row r="16" spans="1:189" s="35" customFormat="1" ht="15.75" x14ac:dyDescent="0.25">
      <c r="A16" s="36"/>
      <c r="B16" s="37" t="s">
        <v>29</v>
      </c>
      <c r="C16" s="38">
        <f>+C13+C14+C15</f>
        <v>168524</v>
      </c>
      <c r="D16" s="38">
        <f t="shared" ref="D16:K16" si="2">+D13+D14+D15</f>
        <v>155595</v>
      </c>
      <c r="E16" s="38">
        <f t="shared" si="2"/>
        <v>176024</v>
      </c>
      <c r="F16" s="38">
        <f t="shared" si="2"/>
        <v>228267</v>
      </c>
      <c r="G16" s="38">
        <f t="shared" si="2"/>
        <v>266930</v>
      </c>
      <c r="H16" s="38">
        <f t="shared" si="2"/>
        <v>247605</v>
      </c>
      <c r="I16" s="38">
        <f t="shared" si="2"/>
        <v>253180</v>
      </c>
      <c r="J16" s="38">
        <f t="shared" si="2"/>
        <v>160469</v>
      </c>
      <c r="K16" s="38">
        <f t="shared" si="2"/>
        <v>163322</v>
      </c>
      <c r="L16" s="38">
        <f t="shared" ref="L16:M16" si="3">+L13+L14+L15</f>
        <v>133824</v>
      </c>
      <c r="M16" s="38">
        <f t="shared" si="3"/>
        <v>166702</v>
      </c>
      <c r="N16" s="38">
        <f t="shared" ref="N16:O16" si="4">+N13+N14+N15</f>
        <v>170140</v>
      </c>
      <c r="O16" s="38">
        <f t="shared" si="4"/>
        <v>196816</v>
      </c>
      <c r="P16" s="7"/>
      <c r="Q16" s="6"/>
      <c r="R16" s="7"/>
      <c r="S16" s="7"/>
      <c r="T16" s="6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3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3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3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4"/>
      <c r="GE16" s="34"/>
      <c r="GF16" s="34"/>
    </row>
    <row r="17" spans="1:189" s="34" customFormat="1" ht="15.75" x14ac:dyDescent="0.25">
      <c r="A17" s="30" t="s">
        <v>35</v>
      </c>
      <c r="B17" s="31" t="s">
        <v>7</v>
      </c>
      <c r="C17" s="32">
        <f>C18+C19</f>
        <v>153265</v>
      </c>
      <c r="D17" s="32">
        <f t="shared" ref="D17:H17" si="5">D18+D19</f>
        <v>127182</v>
      </c>
      <c r="E17" s="32">
        <f t="shared" si="5"/>
        <v>186190</v>
      </c>
      <c r="F17" s="32">
        <f t="shared" si="5"/>
        <v>198985</v>
      </c>
      <c r="G17" s="32">
        <f t="shared" si="5"/>
        <v>228714</v>
      </c>
      <c r="H17" s="32">
        <f t="shared" si="5"/>
        <v>246562</v>
      </c>
      <c r="I17" s="32">
        <f t="shared" ref="I17:K17" si="6">I18+I19</f>
        <v>275209</v>
      </c>
      <c r="J17" s="32">
        <f t="shared" si="6"/>
        <v>295389</v>
      </c>
      <c r="K17" s="32">
        <f t="shared" si="6"/>
        <v>313418</v>
      </c>
      <c r="L17" s="32">
        <f t="shared" ref="L17:M17" si="7">L18+L19</f>
        <v>238491</v>
      </c>
      <c r="M17" s="32">
        <f t="shared" si="7"/>
        <v>266464</v>
      </c>
      <c r="N17" s="32">
        <f t="shared" ref="N17:O17" si="8">N18+N19</f>
        <v>297540</v>
      </c>
      <c r="O17" s="32">
        <f t="shared" si="8"/>
        <v>317989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G17" s="35"/>
    </row>
    <row r="18" spans="1:189" ht="15.75" x14ac:dyDescent="0.25">
      <c r="A18" s="15">
        <v>6.1</v>
      </c>
      <c r="B18" s="16" t="s">
        <v>8</v>
      </c>
      <c r="C18" s="21">
        <v>146414</v>
      </c>
      <c r="D18" s="21">
        <v>120199</v>
      </c>
      <c r="E18" s="21">
        <v>179150</v>
      </c>
      <c r="F18" s="21">
        <v>191851</v>
      </c>
      <c r="G18" s="21">
        <v>220767</v>
      </c>
      <c r="H18" s="1">
        <v>238022</v>
      </c>
      <c r="I18" s="1">
        <v>265640</v>
      </c>
      <c r="J18" s="1">
        <v>285317</v>
      </c>
      <c r="K18" s="1">
        <v>302521</v>
      </c>
      <c r="L18" s="1">
        <v>234177</v>
      </c>
      <c r="M18" s="1">
        <v>260436</v>
      </c>
      <c r="N18" s="1">
        <v>286305</v>
      </c>
      <c r="O18" s="1">
        <v>304663</v>
      </c>
      <c r="P18" s="7"/>
      <c r="Q18" s="6"/>
      <c r="R18" s="7"/>
      <c r="S18" s="7"/>
      <c r="T18" s="6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5"/>
      <c r="GE18" s="5"/>
      <c r="GF18" s="5"/>
    </row>
    <row r="19" spans="1:189" ht="15.75" x14ac:dyDescent="0.25">
      <c r="A19" s="15">
        <v>6.2</v>
      </c>
      <c r="B19" s="16" t="s">
        <v>9</v>
      </c>
      <c r="C19" s="21">
        <v>6851</v>
      </c>
      <c r="D19" s="21">
        <v>6983</v>
      </c>
      <c r="E19" s="21">
        <v>7040</v>
      </c>
      <c r="F19" s="21">
        <v>7134</v>
      </c>
      <c r="G19" s="21">
        <v>7947</v>
      </c>
      <c r="H19" s="1">
        <v>8540</v>
      </c>
      <c r="I19" s="1">
        <v>9569</v>
      </c>
      <c r="J19" s="1">
        <v>10072</v>
      </c>
      <c r="K19" s="1">
        <v>10897</v>
      </c>
      <c r="L19" s="1">
        <v>4314</v>
      </c>
      <c r="M19" s="1">
        <v>6028</v>
      </c>
      <c r="N19" s="1">
        <v>11235</v>
      </c>
      <c r="O19" s="1">
        <v>13326</v>
      </c>
      <c r="P19" s="7"/>
      <c r="Q19" s="6"/>
      <c r="R19" s="7"/>
      <c r="S19" s="7"/>
      <c r="T19" s="6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5"/>
      <c r="GE19" s="5"/>
      <c r="GF19" s="5"/>
    </row>
    <row r="20" spans="1:189" s="34" customFormat="1" ht="30" x14ac:dyDescent="0.25">
      <c r="A20" s="41" t="s">
        <v>36</v>
      </c>
      <c r="B20" s="42" t="s">
        <v>10</v>
      </c>
      <c r="C20" s="32">
        <f>SUM(C21:C27)</f>
        <v>59876</v>
      </c>
      <c r="D20" s="32">
        <f t="shared" ref="D20" si="9">SUM(D21:D27)</f>
        <v>69228</v>
      </c>
      <c r="E20" s="32">
        <f>SUM(E21:E27)</f>
        <v>70691</v>
      </c>
      <c r="F20" s="32">
        <f>SUM(F21:F27)</f>
        <v>79275</v>
      </c>
      <c r="G20" s="32">
        <f t="shared" ref="G20:O20" si="10">SUM(G21:G27)</f>
        <v>89735</v>
      </c>
      <c r="H20" s="32">
        <f t="shared" si="10"/>
        <v>100557</v>
      </c>
      <c r="I20" s="32">
        <f t="shared" si="10"/>
        <v>101429</v>
      </c>
      <c r="J20" s="32">
        <f t="shared" si="10"/>
        <v>98150</v>
      </c>
      <c r="K20" s="32">
        <f t="shared" si="10"/>
        <v>106411</v>
      </c>
      <c r="L20" s="32">
        <f t="shared" si="10"/>
        <v>103852</v>
      </c>
      <c r="M20" s="32">
        <f t="shared" si="10"/>
        <v>107423</v>
      </c>
      <c r="N20" s="32">
        <f t="shared" si="10"/>
        <v>121705</v>
      </c>
      <c r="O20" s="32">
        <f t="shared" si="10"/>
        <v>131644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G20" s="35"/>
    </row>
    <row r="21" spans="1:189" ht="15.75" x14ac:dyDescent="0.25">
      <c r="A21" s="15">
        <v>7.1</v>
      </c>
      <c r="B21" s="16" t="s">
        <v>11</v>
      </c>
      <c r="C21" s="21">
        <v>1</v>
      </c>
      <c r="D21" s="21">
        <v>2</v>
      </c>
      <c r="E21" s="21">
        <v>3</v>
      </c>
      <c r="F21" s="21">
        <v>2</v>
      </c>
      <c r="G21" s="21">
        <v>3</v>
      </c>
      <c r="H21" s="1">
        <v>2</v>
      </c>
      <c r="I21" s="1">
        <v>1</v>
      </c>
      <c r="J21" s="1">
        <v>2</v>
      </c>
      <c r="K21" s="1">
        <v>15</v>
      </c>
      <c r="L21" s="1">
        <v>31</v>
      </c>
      <c r="M21" s="1">
        <v>7</v>
      </c>
      <c r="N21" s="1">
        <v>6</v>
      </c>
      <c r="O21" s="1">
        <v>60</v>
      </c>
      <c r="P21" s="7"/>
      <c r="Q21" s="6"/>
      <c r="R21" s="7"/>
      <c r="S21" s="7"/>
      <c r="T21" s="6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5"/>
      <c r="GE21" s="5"/>
      <c r="GF21" s="5"/>
    </row>
    <row r="22" spans="1:189" ht="15.75" x14ac:dyDescent="0.25">
      <c r="A22" s="15">
        <v>7.2</v>
      </c>
      <c r="B22" s="16" t="s">
        <v>12</v>
      </c>
      <c r="C22" s="21">
        <v>37865</v>
      </c>
      <c r="D22" s="21">
        <v>43543</v>
      </c>
      <c r="E22" s="21">
        <v>44698</v>
      </c>
      <c r="F22" s="21">
        <v>47510</v>
      </c>
      <c r="G22" s="21">
        <v>49774</v>
      </c>
      <c r="H22" s="1">
        <v>56785</v>
      </c>
      <c r="I22" s="1">
        <v>60460</v>
      </c>
      <c r="J22" s="1">
        <v>63438</v>
      </c>
      <c r="K22" s="1">
        <v>67669</v>
      </c>
      <c r="L22" s="1">
        <v>73424</v>
      </c>
      <c r="M22" s="1">
        <v>75270</v>
      </c>
      <c r="N22" s="1">
        <v>80674</v>
      </c>
      <c r="O22" s="1">
        <v>81522</v>
      </c>
      <c r="P22" s="7"/>
      <c r="Q22" s="6"/>
      <c r="R22" s="7"/>
      <c r="S22" s="7"/>
      <c r="T22" s="6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5"/>
      <c r="GE22" s="5"/>
      <c r="GF22" s="5"/>
    </row>
    <row r="23" spans="1:189" ht="15.75" x14ac:dyDescent="0.25">
      <c r="A23" s="15">
        <v>7.3</v>
      </c>
      <c r="B23" s="16" t="s">
        <v>13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7"/>
      <c r="Q23" s="6"/>
      <c r="R23" s="7"/>
      <c r="S23" s="7"/>
      <c r="T23" s="6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5"/>
      <c r="GE23" s="5"/>
      <c r="GF23" s="5"/>
    </row>
    <row r="24" spans="1:189" ht="15.75" x14ac:dyDescent="0.25">
      <c r="A24" s="15">
        <v>7.4</v>
      </c>
      <c r="B24" s="16" t="s">
        <v>14</v>
      </c>
      <c r="C24" s="21">
        <v>1738</v>
      </c>
      <c r="D24" s="21">
        <v>2841</v>
      </c>
      <c r="E24" s="21">
        <v>981</v>
      </c>
      <c r="F24" s="21">
        <v>1991</v>
      </c>
      <c r="G24" s="21">
        <v>4673</v>
      </c>
      <c r="H24" s="1">
        <v>5017</v>
      </c>
      <c r="I24" s="1">
        <v>4742</v>
      </c>
      <c r="J24" s="1">
        <v>2351</v>
      </c>
      <c r="K24" s="1">
        <v>3384</v>
      </c>
      <c r="L24" s="1">
        <v>-175</v>
      </c>
      <c r="M24" s="1">
        <v>-486</v>
      </c>
      <c r="N24" s="1">
        <v>906</v>
      </c>
      <c r="O24" s="1">
        <v>3343</v>
      </c>
      <c r="P24" s="7"/>
      <c r="Q24" s="6"/>
      <c r="R24" s="7"/>
      <c r="S24" s="7"/>
      <c r="T24" s="6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5"/>
      <c r="GE24" s="5"/>
      <c r="GF24" s="5"/>
    </row>
    <row r="25" spans="1:189" ht="15.75" x14ac:dyDescent="0.25">
      <c r="A25" s="15">
        <v>7.5</v>
      </c>
      <c r="B25" s="16" t="s">
        <v>15</v>
      </c>
      <c r="C25" s="21">
        <v>1578</v>
      </c>
      <c r="D25" s="21">
        <v>1815</v>
      </c>
      <c r="E25" s="21">
        <v>1810</v>
      </c>
      <c r="F25" s="21">
        <v>1975</v>
      </c>
      <c r="G25" s="21">
        <v>2065</v>
      </c>
      <c r="H25" s="1">
        <v>7346</v>
      </c>
      <c r="I25" s="1">
        <v>7511</v>
      </c>
      <c r="J25" s="1">
        <v>7432</v>
      </c>
      <c r="K25" s="1">
        <v>7509</v>
      </c>
      <c r="L25" s="1">
        <v>4582</v>
      </c>
      <c r="M25" s="1">
        <v>5331</v>
      </c>
      <c r="N25" s="1">
        <v>8815</v>
      </c>
      <c r="O25" s="1">
        <v>12159</v>
      </c>
      <c r="P25" s="7"/>
      <c r="Q25" s="6"/>
      <c r="R25" s="7"/>
      <c r="S25" s="7"/>
      <c r="T25" s="6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5"/>
      <c r="GE25" s="5"/>
      <c r="GF25" s="5"/>
    </row>
    <row r="26" spans="1:189" ht="15.75" x14ac:dyDescent="0.25">
      <c r="A26" s="15">
        <v>7.6</v>
      </c>
      <c r="B26" s="16" t="s">
        <v>16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7"/>
      <c r="Q26" s="6"/>
      <c r="R26" s="7"/>
      <c r="S26" s="7"/>
      <c r="T26" s="6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5"/>
      <c r="GE26" s="5"/>
      <c r="GF26" s="5"/>
    </row>
    <row r="27" spans="1:189" ht="30" x14ac:dyDescent="0.25">
      <c r="A27" s="15">
        <v>7.7</v>
      </c>
      <c r="B27" s="16" t="s">
        <v>17</v>
      </c>
      <c r="C27" s="21">
        <v>18694</v>
      </c>
      <c r="D27" s="21">
        <v>21027</v>
      </c>
      <c r="E27" s="21">
        <v>23199</v>
      </c>
      <c r="F27" s="21">
        <v>27797</v>
      </c>
      <c r="G27" s="21">
        <v>33220</v>
      </c>
      <c r="H27" s="1">
        <v>31407</v>
      </c>
      <c r="I27" s="1">
        <v>28715</v>
      </c>
      <c r="J27" s="1">
        <v>24927</v>
      </c>
      <c r="K27" s="1">
        <v>27834</v>
      </c>
      <c r="L27" s="1">
        <v>25990</v>
      </c>
      <c r="M27" s="1">
        <v>27301</v>
      </c>
      <c r="N27" s="1">
        <v>31304</v>
      </c>
      <c r="O27" s="1">
        <v>34560</v>
      </c>
      <c r="P27" s="7"/>
      <c r="Q27" s="6"/>
      <c r="R27" s="7"/>
      <c r="S27" s="7"/>
      <c r="T27" s="6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5"/>
      <c r="GE27" s="5"/>
      <c r="GF27" s="5"/>
    </row>
    <row r="28" spans="1:189" ht="15.75" x14ac:dyDescent="0.25">
      <c r="A28" s="17" t="s">
        <v>37</v>
      </c>
      <c r="B28" s="16" t="s">
        <v>18</v>
      </c>
      <c r="C28" s="21">
        <v>23030</v>
      </c>
      <c r="D28" s="21">
        <v>24484</v>
      </c>
      <c r="E28" s="21">
        <v>26801</v>
      </c>
      <c r="F28" s="21">
        <v>27825</v>
      </c>
      <c r="G28" s="21">
        <v>34431</v>
      </c>
      <c r="H28" s="1">
        <v>35045</v>
      </c>
      <c r="I28" s="1">
        <v>36825</v>
      </c>
      <c r="J28" s="1">
        <v>45539</v>
      </c>
      <c r="K28" s="1">
        <v>51499</v>
      </c>
      <c r="L28" s="1">
        <v>52852</v>
      </c>
      <c r="M28" s="1">
        <v>54688</v>
      </c>
      <c r="N28" s="1">
        <v>61227</v>
      </c>
      <c r="O28" s="1">
        <v>112618</v>
      </c>
      <c r="P28" s="7"/>
      <c r="Q28" s="6"/>
      <c r="R28" s="7"/>
      <c r="S28" s="7"/>
      <c r="T28" s="6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5"/>
      <c r="GE28" s="5"/>
      <c r="GF28" s="5"/>
    </row>
    <row r="29" spans="1:189" ht="30" x14ac:dyDescent="0.25">
      <c r="A29" s="17" t="s">
        <v>38</v>
      </c>
      <c r="B29" s="16" t="s">
        <v>19</v>
      </c>
      <c r="C29" s="21">
        <v>117031</v>
      </c>
      <c r="D29" s="21">
        <v>116631</v>
      </c>
      <c r="E29" s="21">
        <v>114708</v>
      </c>
      <c r="F29" s="21">
        <v>114707</v>
      </c>
      <c r="G29" s="21">
        <v>108656</v>
      </c>
      <c r="H29" s="1">
        <v>103464</v>
      </c>
      <c r="I29" s="1">
        <v>98940</v>
      </c>
      <c r="J29" s="1">
        <v>96099</v>
      </c>
      <c r="K29" s="1">
        <v>91985</v>
      </c>
      <c r="L29" s="1">
        <v>87212</v>
      </c>
      <c r="M29" s="1">
        <v>92282</v>
      </c>
      <c r="N29" s="1">
        <v>96144</v>
      </c>
      <c r="O29" s="1">
        <v>100465</v>
      </c>
      <c r="P29" s="7"/>
      <c r="Q29" s="6"/>
      <c r="R29" s="7"/>
      <c r="S29" s="7"/>
      <c r="T29" s="6"/>
      <c r="U29" s="8"/>
      <c r="V29" s="8"/>
      <c r="W29" s="8"/>
      <c r="X29" s="8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5"/>
      <c r="GE29" s="5"/>
      <c r="GF29" s="5"/>
    </row>
    <row r="30" spans="1:189" ht="15.75" x14ac:dyDescent="0.25">
      <c r="A30" s="17" t="s">
        <v>39</v>
      </c>
      <c r="B30" s="16" t="s">
        <v>54</v>
      </c>
      <c r="C30" s="21">
        <v>178868</v>
      </c>
      <c r="D30" s="21">
        <v>181533</v>
      </c>
      <c r="E30" s="21">
        <v>165299</v>
      </c>
      <c r="F30" s="21">
        <v>180095</v>
      </c>
      <c r="G30" s="21">
        <v>219093</v>
      </c>
      <c r="H30" s="1">
        <v>203309</v>
      </c>
      <c r="I30" s="1">
        <v>191597</v>
      </c>
      <c r="J30" s="1">
        <v>191596</v>
      </c>
      <c r="K30" s="1">
        <v>201777</v>
      </c>
      <c r="L30" s="1">
        <v>221258</v>
      </c>
      <c r="M30" s="1">
        <v>243061</v>
      </c>
      <c r="N30" s="1">
        <v>268026</v>
      </c>
      <c r="O30" s="1">
        <v>299841</v>
      </c>
      <c r="P30" s="7"/>
      <c r="Q30" s="6"/>
      <c r="R30" s="7"/>
      <c r="S30" s="7"/>
      <c r="T30" s="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5"/>
      <c r="GE30" s="5"/>
      <c r="GF30" s="5"/>
    </row>
    <row r="31" spans="1:189" ht="15.75" x14ac:dyDescent="0.25">
      <c r="A31" s="17" t="s">
        <v>40</v>
      </c>
      <c r="B31" s="16" t="s">
        <v>20</v>
      </c>
      <c r="C31" s="21">
        <v>200228</v>
      </c>
      <c r="D31" s="21">
        <v>222114</v>
      </c>
      <c r="E31" s="21">
        <v>218726</v>
      </c>
      <c r="F31" s="21">
        <v>240611</v>
      </c>
      <c r="G31" s="21">
        <v>223725</v>
      </c>
      <c r="H31" s="1">
        <v>246294</v>
      </c>
      <c r="I31" s="1">
        <v>269643</v>
      </c>
      <c r="J31" s="1">
        <v>266287</v>
      </c>
      <c r="K31" s="1">
        <v>297683</v>
      </c>
      <c r="L31" s="1">
        <v>273528</v>
      </c>
      <c r="M31" s="1">
        <v>326564</v>
      </c>
      <c r="N31" s="1">
        <v>387272</v>
      </c>
      <c r="O31" s="1">
        <v>408162</v>
      </c>
      <c r="P31" s="7"/>
      <c r="Q31" s="6"/>
      <c r="R31" s="7"/>
      <c r="S31" s="7"/>
      <c r="T31" s="6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5"/>
      <c r="GE31" s="5"/>
      <c r="GF31" s="5"/>
    </row>
    <row r="32" spans="1:189" s="35" customFormat="1" ht="15.75" x14ac:dyDescent="0.25">
      <c r="A32" s="36"/>
      <c r="B32" s="37" t="s">
        <v>30</v>
      </c>
      <c r="C32" s="38">
        <f>C17+C20+C28+C29+C30+C31</f>
        <v>732298</v>
      </c>
      <c r="D32" s="38">
        <f t="shared" ref="D32:L32" si="11">D17+D20+D28+D29+D30+D31</f>
        <v>741172</v>
      </c>
      <c r="E32" s="38">
        <f t="shared" si="11"/>
        <v>782415</v>
      </c>
      <c r="F32" s="38">
        <f t="shared" si="11"/>
        <v>841498</v>
      </c>
      <c r="G32" s="38">
        <f t="shared" si="11"/>
        <v>904354</v>
      </c>
      <c r="H32" s="38">
        <f t="shared" si="11"/>
        <v>935231</v>
      </c>
      <c r="I32" s="38">
        <f t="shared" si="11"/>
        <v>973643</v>
      </c>
      <c r="J32" s="38">
        <f t="shared" si="11"/>
        <v>993060</v>
      </c>
      <c r="K32" s="38">
        <f t="shared" si="11"/>
        <v>1062773</v>
      </c>
      <c r="L32" s="38">
        <f t="shared" si="11"/>
        <v>977193</v>
      </c>
      <c r="M32" s="38">
        <f t="shared" ref="M32:O32" si="12">M17+M20+M28+M29+M30+M31</f>
        <v>1090482</v>
      </c>
      <c r="N32" s="38">
        <f t="shared" si="12"/>
        <v>1231914</v>
      </c>
      <c r="O32" s="38">
        <f t="shared" si="12"/>
        <v>1370719</v>
      </c>
      <c r="P32" s="7"/>
      <c r="Q32" s="6"/>
      <c r="R32" s="7"/>
      <c r="S32" s="7"/>
      <c r="T32" s="6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4"/>
      <c r="GE32" s="34"/>
      <c r="GF32" s="34"/>
    </row>
    <row r="33" spans="1:189" s="34" customFormat="1" ht="15.75" x14ac:dyDescent="0.25">
      <c r="A33" s="30" t="s">
        <v>27</v>
      </c>
      <c r="B33" s="43" t="s">
        <v>51</v>
      </c>
      <c r="C33" s="32">
        <f>C6+C11+C13+C14+C15+C17+C20+C28+C29+C30+C31</f>
        <v>1131558.58</v>
      </c>
      <c r="D33" s="32">
        <f t="shared" ref="D33:L33" si="13">D6+D11+D13+D14+D15+D17+D20+D28+D29+D30+D31</f>
        <v>1149791.26</v>
      </c>
      <c r="E33" s="32">
        <f t="shared" si="13"/>
        <v>1222360.23</v>
      </c>
      <c r="F33" s="32">
        <f t="shared" si="13"/>
        <v>1339565</v>
      </c>
      <c r="G33" s="32">
        <f t="shared" si="13"/>
        <v>1418997</v>
      </c>
      <c r="H33" s="32">
        <f t="shared" si="13"/>
        <v>1446205</v>
      </c>
      <c r="I33" s="32">
        <f t="shared" si="13"/>
        <v>1627486</v>
      </c>
      <c r="J33" s="32">
        <f t="shared" si="13"/>
        <v>1537648</v>
      </c>
      <c r="K33" s="32">
        <f t="shared" si="13"/>
        <v>1595988</v>
      </c>
      <c r="L33" s="32">
        <f t="shared" si="13"/>
        <v>1466011</v>
      </c>
      <c r="M33" s="32">
        <f t="shared" ref="M33:O33" si="14">M6+M11+M13+M14+M15+M17+M20+M28+M29+M30+M31</f>
        <v>1635777</v>
      </c>
      <c r="N33" s="32">
        <f t="shared" si="14"/>
        <v>1727626</v>
      </c>
      <c r="O33" s="32">
        <f t="shared" si="14"/>
        <v>1897522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G33" s="35"/>
    </row>
    <row r="34" spans="1:189" s="35" customFormat="1" ht="15.75" x14ac:dyDescent="0.25">
      <c r="A34" s="44" t="s">
        <v>43</v>
      </c>
      <c r="B34" s="45" t="s">
        <v>25</v>
      </c>
      <c r="C34" s="38">
        <f>GSVA_const!C34</f>
        <v>48918</v>
      </c>
      <c r="D34" s="38">
        <f>GSVA_const!D34</f>
        <v>42553</v>
      </c>
      <c r="E34" s="38">
        <f>GSVA_const!E34</f>
        <v>66521</v>
      </c>
      <c r="F34" s="38">
        <f>GSVA_const!F34</f>
        <v>63808</v>
      </c>
      <c r="G34" s="38">
        <f>GSVA_const!G34</f>
        <v>86905</v>
      </c>
      <c r="H34" s="38">
        <f>GSVA_const!H34</f>
        <v>98110</v>
      </c>
      <c r="I34" s="38">
        <f>GSVA_const!I34</f>
        <v>80121</v>
      </c>
      <c r="J34" s="38">
        <f>GSVA_const!J34</f>
        <v>103894</v>
      </c>
      <c r="K34" s="38">
        <f>GSVA_const!K34</f>
        <v>119205</v>
      </c>
      <c r="L34" s="38">
        <f>GSVA_const!L34</f>
        <v>135384</v>
      </c>
      <c r="M34" s="38">
        <f>GSVA_const!M34</f>
        <v>148822</v>
      </c>
      <c r="N34" s="38">
        <f>GSVA_const!N34</f>
        <v>158004</v>
      </c>
      <c r="O34" s="38">
        <f>GSVA_const!O34</f>
        <v>131031</v>
      </c>
      <c r="P34" s="7"/>
      <c r="Q34" s="6"/>
      <c r="R34" s="7"/>
      <c r="S34" s="7"/>
      <c r="T34" s="6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  <c r="FU34" s="39"/>
      <c r="FV34" s="39"/>
      <c r="FW34" s="39"/>
      <c r="FX34" s="39"/>
      <c r="FY34" s="39"/>
      <c r="FZ34" s="39"/>
      <c r="GA34" s="39"/>
      <c r="GB34" s="39"/>
    </row>
    <row r="35" spans="1:189" s="35" customFormat="1" ht="15.75" x14ac:dyDescent="0.25">
      <c r="A35" s="44" t="s">
        <v>44</v>
      </c>
      <c r="B35" s="45" t="s">
        <v>24</v>
      </c>
      <c r="C35" s="38">
        <f>GSVA_const!C35</f>
        <v>30370</v>
      </c>
      <c r="D35" s="38">
        <f>GSVA_const!D35</f>
        <v>40837</v>
      </c>
      <c r="E35" s="38">
        <f>GSVA_const!E35</f>
        <v>36935</v>
      </c>
      <c r="F35" s="38">
        <f>GSVA_const!F35</f>
        <v>41856</v>
      </c>
      <c r="G35" s="38">
        <f>GSVA_const!G35</f>
        <v>42386</v>
      </c>
      <c r="H35" s="38">
        <f>GSVA_const!H35</f>
        <v>24220</v>
      </c>
      <c r="I35" s="38">
        <f>GSVA_const!I35</f>
        <v>20571</v>
      </c>
      <c r="J35" s="38">
        <f>GSVA_const!J35</f>
        <v>22246</v>
      </c>
      <c r="K35" s="38">
        <f>GSVA_const!K35</f>
        <v>20713</v>
      </c>
      <c r="L35" s="38">
        <f>GSVA_const!L35</f>
        <v>39374</v>
      </c>
      <c r="M35" s="38">
        <f>GSVA_const!M35</f>
        <v>49277</v>
      </c>
      <c r="N35" s="38">
        <f>GSVA_const!N35</f>
        <v>49049</v>
      </c>
      <c r="O35" s="38">
        <f>GSVA_const!O35</f>
        <v>51477</v>
      </c>
      <c r="P35" s="7"/>
      <c r="Q35" s="6"/>
      <c r="R35" s="7"/>
      <c r="S35" s="7"/>
      <c r="T35" s="6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  <c r="FU35" s="39"/>
      <c r="FV35" s="39"/>
      <c r="FW35" s="39"/>
      <c r="FX35" s="39"/>
      <c r="FY35" s="39"/>
      <c r="FZ35" s="39"/>
      <c r="GA35" s="39"/>
      <c r="GB35" s="39"/>
    </row>
    <row r="36" spans="1:189" s="35" customFormat="1" ht="15.75" x14ac:dyDescent="0.25">
      <c r="A36" s="44" t="s">
        <v>45</v>
      </c>
      <c r="B36" s="45" t="s">
        <v>63</v>
      </c>
      <c r="C36" s="38">
        <f>C33+C34-C35</f>
        <v>1150106.58</v>
      </c>
      <c r="D36" s="38">
        <f t="shared" ref="D36:L36" si="15">D33+D34-D35</f>
        <v>1151507.26</v>
      </c>
      <c r="E36" s="38">
        <f t="shared" si="15"/>
        <v>1251946.23</v>
      </c>
      <c r="F36" s="38">
        <f t="shared" si="15"/>
        <v>1361517</v>
      </c>
      <c r="G36" s="38">
        <f t="shared" si="15"/>
        <v>1463516</v>
      </c>
      <c r="H36" s="38">
        <f t="shared" si="15"/>
        <v>1520095</v>
      </c>
      <c r="I36" s="38">
        <f t="shared" si="15"/>
        <v>1687036</v>
      </c>
      <c r="J36" s="38">
        <f t="shared" si="15"/>
        <v>1619296</v>
      </c>
      <c r="K36" s="38">
        <f t="shared" si="15"/>
        <v>1694480</v>
      </c>
      <c r="L36" s="38">
        <f t="shared" si="15"/>
        <v>1562021</v>
      </c>
      <c r="M36" s="38">
        <f t="shared" ref="M36:O36" si="16">M33+M34-M35</f>
        <v>1735322</v>
      </c>
      <c r="N36" s="38">
        <f t="shared" si="16"/>
        <v>1836581</v>
      </c>
      <c r="O36" s="38">
        <f t="shared" si="16"/>
        <v>1977076</v>
      </c>
      <c r="P36" s="7"/>
      <c r="Q36" s="6"/>
      <c r="R36" s="7"/>
      <c r="S36" s="7"/>
      <c r="T36" s="6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</row>
    <row r="37" spans="1:189" s="35" customFormat="1" ht="15.75" x14ac:dyDescent="0.25">
      <c r="A37" s="44" t="s">
        <v>46</v>
      </c>
      <c r="B37" s="45" t="s">
        <v>42</v>
      </c>
      <c r="C37" s="38">
        <f>GSVA_cur!C37</f>
        <v>28925</v>
      </c>
      <c r="D37" s="38">
        <f>GSVA_cur!D37</f>
        <v>29561</v>
      </c>
      <c r="E37" s="38">
        <f>GSVA_cur!E37</f>
        <v>30210</v>
      </c>
      <c r="F37" s="38">
        <f>GSVA_cur!F37</f>
        <v>30873</v>
      </c>
      <c r="G37" s="38">
        <f>GSVA_cur!G37</f>
        <v>31549</v>
      </c>
      <c r="H37" s="38">
        <f>GSVA_cur!H37</f>
        <v>32239</v>
      </c>
      <c r="I37" s="38">
        <f>GSVA_cur!I37</f>
        <v>32943</v>
      </c>
      <c r="J37" s="38">
        <f>GSVA_cur!J37</f>
        <v>33661</v>
      </c>
      <c r="K37" s="38">
        <f>GSVA_cur!K37</f>
        <v>34394</v>
      </c>
      <c r="L37" s="38">
        <f>GSVA_cur!L37</f>
        <v>35142</v>
      </c>
      <c r="M37" s="38">
        <f>GSVA_cur!M37</f>
        <v>31790</v>
      </c>
      <c r="N37" s="38">
        <f>GSVA_cur!N37</f>
        <v>32090</v>
      </c>
      <c r="O37" s="38">
        <f>GSVA_cur!O37</f>
        <v>32380</v>
      </c>
      <c r="P37" s="2"/>
      <c r="Q37" s="5"/>
      <c r="R37" s="2"/>
      <c r="S37" s="2"/>
      <c r="T37" s="5"/>
      <c r="U37" s="5"/>
      <c r="V37" s="5"/>
      <c r="W37" s="5"/>
      <c r="X37" s="5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</row>
    <row r="38" spans="1:189" s="35" customFormat="1" ht="15.75" x14ac:dyDescent="0.25">
      <c r="A38" s="44" t="s">
        <v>47</v>
      </c>
      <c r="B38" s="45" t="s">
        <v>64</v>
      </c>
      <c r="C38" s="38">
        <f>C36/C37*1000</f>
        <v>39761.679515989636</v>
      </c>
      <c r="D38" s="38">
        <f t="shared" ref="D38:L38" si="17">D36/D37*1000</f>
        <v>38953.596292412301</v>
      </c>
      <c r="E38" s="38">
        <f t="shared" si="17"/>
        <v>41441.450844091356</v>
      </c>
      <c r="F38" s="38">
        <f t="shared" si="17"/>
        <v>44100.573316490132</v>
      </c>
      <c r="G38" s="38">
        <f t="shared" si="17"/>
        <v>46388.665250879581</v>
      </c>
      <c r="H38" s="38">
        <f t="shared" si="17"/>
        <v>47150.811129377456</v>
      </c>
      <c r="I38" s="38">
        <f t="shared" si="17"/>
        <v>51210.757975897766</v>
      </c>
      <c r="J38" s="38">
        <f t="shared" si="17"/>
        <v>48105.998039273938</v>
      </c>
      <c r="K38" s="38">
        <f t="shared" si="17"/>
        <v>49266.732569634238</v>
      </c>
      <c r="L38" s="38">
        <f t="shared" si="17"/>
        <v>44448.836150475217</v>
      </c>
      <c r="M38" s="38">
        <f t="shared" ref="M38:O38" si="18">M36/M37*1000</f>
        <v>54587.039949669706</v>
      </c>
      <c r="N38" s="38">
        <f t="shared" si="18"/>
        <v>57232.190713617943</v>
      </c>
      <c r="O38" s="38">
        <f t="shared" si="18"/>
        <v>61058.554663372452</v>
      </c>
      <c r="P38" s="2"/>
      <c r="Q38" s="5"/>
      <c r="R38" s="2"/>
      <c r="S38" s="2"/>
      <c r="T38" s="6"/>
      <c r="U38" s="6"/>
      <c r="V38" s="6"/>
      <c r="W38" s="6"/>
      <c r="X38" s="6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BY38" s="39"/>
      <c r="BZ38" s="39"/>
      <c r="CA38" s="39"/>
      <c r="CB38" s="39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</row>
    <row r="39" spans="1:189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2025-08-04T07:00:42Z</dcterms:modified>
</cp:coreProperties>
</file>