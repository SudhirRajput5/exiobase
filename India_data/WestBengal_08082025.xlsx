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938467CA-1E16-47FB-A6F9-BCBEE2417BB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6" i="11"/>
  <c r="P12" i="11" s="1"/>
  <c r="P6" i="12"/>
  <c r="P12" i="12" s="1"/>
  <c r="P6" i="10"/>
  <c r="P12" i="10" s="1"/>
  <c r="P12" i="1" l="1"/>
  <c r="P32" i="12"/>
  <c r="P33" i="12"/>
  <c r="P32" i="11"/>
  <c r="P33" i="11"/>
  <c r="P32" i="1"/>
  <c r="P33" i="1"/>
  <c r="P32" i="10"/>
  <c r="P33" i="10"/>
  <c r="O16" i="12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O6" i="1"/>
  <c r="O16" i="1"/>
  <c r="O17" i="1"/>
  <c r="O20" i="1"/>
  <c r="O37" i="1"/>
  <c r="O6" i="11"/>
  <c r="O16" i="11"/>
  <c r="O17" i="11"/>
  <c r="O20" i="11"/>
  <c r="O34" i="11"/>
  <c r="O35" i="11"/>
  <c r="O37" i="11"/>
  <c r="O6" i="12"/>
  <c r="O12" i="12" s="1"/>
  <c r="O17" i="12"/>
  <c r="O20" i="12"/>
  <c r="O34" i="12"/>
  <c r="O35" i="12"/>
  <c r="O37" i="12"/>
  <c r="O6" i="10"/>
  <c r="O16" i="10"/>
  <c r="O17" i="10"/>
  <c r="P36" i="1" l="1"/>
  <c r="P36" i="12"/>
  <c r="P36" i="11"/>
  <c r="P38" i="12"/>
  <c r="P36" i="10"/>
  <c r="O32" i="10"/>
  <c r="O32" i="12"/>
  <c r="O32" i="11"/>
  <c r="O33" i="11"/>
  <c r="O36" i="11" s="1"/>
  <c r="O12" i="11"/>
  <c r="O32" i="1"/>
  <c r="O33" i="1"/>
  <c r="O12" i="1"/>
  <c r="O33" i="10"/>
  <c r="O36" i="10" s="1"/>
  <c r="O12" i="10"/>
  <c r="O33" i="12"/>
  <c r="P38" i="1" l="1"/>
  <c r="P38" i="11"/>
  <c r="O36" i="1"/>
  <c r="P38" i="10"/>
  <c r="O38" i="11"/>
  <c r="O36" i="12"/>
  <c r="O38" i="10"/>
  <c r="I2" i="1"/>
  <c r="I2" i="11"/>
  <c r="I2" i="12"/>
  <c r="I2" i="10"/>
  <c r="O38" i="1" l="1"/>
  <c r="O38" i="12"/>
  <c r="M34" i="12" l="1"/>
  <c r="N34" i="12"/>
  <c r="M35" i="12"/>
  <c r="N35" i="12"/>
  <c r="M37" i="12"/>
  <c r="N37" i="12"/>
  <c r="M34" i="11"/>
  <c r="N34" i="11"/>
  <c r="M35" i="11"/>
  <c r="N35" i="11"/>
  <c r="M37" i="11"/>
  <c r="N37" i="11"/>
  <c r="M37" i="1"/>
  <c r="N37" i="1"/>
  <c r="M20" i="1"/>
  <c r="N20" i="1"/>
  <c r="M20" i="11"/>
  <c r="N20" i="11"/>
  <c r="M20" i="12"/>
  <c r="N20" i="12"/>
  <c r="M17" i="1"/>
  <c r="N17" i="1"/>
  <c r="M17" i="11"/>
  <c r="N17" i="11"/>
  <c r="M17" i="12"/>
  <c r="N17" i="12"/>
  <c r="M17" i="10"/>
  <c r="N17" i="10"/>
  <c r="M16" i="1"/>
  <c r="N16" i="1"/>
  <c r="M16" i="11"/>
  <c r="N16" i="11"/>
  <c r="M16" i="12"/>
  <c r="N16" i="12"/>
  <c r="M16" i="10"/>
  <c r="N16" i="10"/>
  <c r="M6" i="1"/>
  <c r="N6" i="1"/>
  <c r="M6" i="11"/>
  <c r="N6" i="11"/>
  <c r="M6" i="12"/>
  <c r="N6" i="12"/>
  <c r="M6" i="10"/>
  <c r="N6" i="10"/>
  <c r="M32" i="12" l="1"/>
  <c r="M32" i="11"/>
  <c r="N12" i="11"/>
  <c r="M12" i="11"/>
  <c r="N12" i="1"/>
  <c r="M12" i="1"/>
  <c r="N12" i="10"/>
  <c r="M12" i="10"/>
  <c r="N32" i="12"/>
  <c r="N33" i="12"/>
  <c r="N36" i="12" s="1"/>
  <c r="M33" i="12"/>
  <c r="M12" i="12"/>
  <c r="N12" i="12"/>
  <c r="N32" i="11"/>
  <c r="N33" i="11"/>
  <c r="M33" i="11"/>
  <c r="N32" i="1"/>
  <c r="M32" i="1"/>
  <c r="M33" i="1"/>
  <c r="N33" i="1"/>
  <c r="N32" i="10"/>
  <c r="M32" i="10"/>
  <c r="N33" i="10"/>
  <c r="M33" i="10"/>
  <c r="L6" i="1"/>
  <c r="L12" i="1" s="1"/>
  <c r="L6" i="11"/>
  <c r="L6" i="12"/>
  <c r="L12" i="12" s="1"/>
  <c r="L6" i="10"/>
  <c r="M36" i="12" l="1"/>
  <c r="L12" i="11"/>
  <c r="N36" i="11"/>
  <c r="M36" i="11"/>
  <c r="N36" i="1"/>
  <c r="M36" i="1"/>
  <c r="M36" i="10"/>
  <c r="N36" i="10"/>
  <c r="L12" i="10"/>
  <c r="N38" i="12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D34" i="11"/>
  <c r="E34" i="11"/>
  <c r="F34" i="11"/>
  <c r="G34" i="11"/>
  <c r="H34" i="11"/>
  <c r="I34" i="11"/>
  <c r="J34" i="11"/>
  <c r="K34" i="11"/>
  <c r="L34" i="11"/>
  <c r="D35" i="11"/>
  <c r="E35" i="11"/>
  <c r="F35" i="11"/>
  <c r="G35" i="11"/>
  <c r="H35" i="11"/>
  <c r="I35" i="11"/>
  <c r="J35" i="11"/>
  <c r="K35" i="11"/>
  <c r="L35" i="11"/>
  <c r="D37" i="11"/>
  <c r="E37" i="11"/>
  <c r="F37" i="11"/>
  <c r="G37" i="11"/>
  <c r="H37" i="11"/>
  <c r="I37" i="11"/>
  <c r="J37" i="11"/>
  <c r="K37" i="11"/>
  <c r="L37" i="11"/>
  <c r="D37" i="1"/>
  <c r="E37" i="1"/>
  <c r="F37" i="1"/>
  <c r="G37" i="1"/>
  <c r="H37" i="1"/>
  <c r="I37" i="1"/>
  <c r="J37" i="1"/>
  <c r="K37" i="1"/>
  <c r="L37" i="1"/>
  <c r="M38" i="12" l="1"/>
  <c r="M38" i="11"/>
  <c r="N38" i="11"/>
  <c r="M38" i="1"/>
  <c r="N38" i="1"/>
  <c r="N38" i="10"/>
  <c r="M38" i="10"/>
  <c r="L20" i="1"/>
  <c r="L20" i="11"/>
  <c r="L20" i="12"/>
  <c r="L16" i="1"/>
  <c r="L17" i="1"/>
  <c r="L16" i="11"/>
  <c r="L17" i="11"/>
  <c r="L16" i="12"/>
  <c r="L17" i="12"/>
  <c r="L16" i="10"/>
  <c r="L17" i="10"/>
  <c r="L33" i="12" l="1"/>
  <c r="L32" i="12"/>
  <c r="L33" i="11"/>
  <c r="L32" i="11"/>
  <c r="L33" i="1"/>
  <c r="L32" i="1"/>
  <c r="L33" i="10"/>
  <c r="L32" i="10"/>
  <c r="L36" i="12" l="1"/>
  <c r="L36" i="11"/>
  <c r="L36" i="1"/>
  <c r="L36" i="10"/>
  <c r="J20" i="1"/>
  <c r="K20" i="1"/>
  <c r="J20" i="11"/>
  <c r="K20" i="11"/>
  <c r="J20" i="12"/>
  <c r="K20" i="12"/>
  <c r="J17" i="1"/>
  <c r="K17" i="1"/>
  <c r="J17" i="11"/>
  <c r="K17" i="11"/>
  <c r="J17" i="12"/>
  <c r="K17" i="12"/>
  <c r="J17" i="10"/>
  <c r="K17" i="10"/>
  <c r="J16" i="1"/>
  <c r="K16" i="1"/>
  <c r="J16" i="11"/>
  <c r="K16" i="11"/>
  <c r="J16" i="12"/>
  <c r="K16" i="12"/>
  <c r="J16" i="10"/>
  <c r="K16" i="10"/>
  <c r="J6" i="1"/>
  <c r="K6" i="1"/>
  <c r="J6" i="11"/>
  <c r="K6" i="11"/>
  <c r="J6" i="12"/>
  <c r="K6" i="12"/>
  <c r="J6" i="10"/>
  <c r="K6" i="10"/>
  <c r="K32" i="12" l="1"/>
  <c r="L38" i="12"/>
  <c r="J32" i="12"/>
  <c r="K33" i="12"/>
  <c r="J33" i="12"/>
  <c r="J33" i="11"/>
  <c r="L38" i="11"/>
  <c r="K32" i="11"/>
  <c r="J32" i="11"/>
  <c r="L38" i="10"/>
  <c r="K12" i="11"/>
  <c r="K33" i="11"/>
  <c r="L38" i="1"/>
  <c r="K12" i="12"/>
  <c r="K32" i="1"/>
  <c r="K33" i="1"/>
  <c r="K36" i="1" s="1"/>
  <c r="J32" i="1"/>
  <c r="J12" i="1"/>
  <c r="K12" i="1"/>
  <c r="K32" i="10"/>
  <c r="J12" i="10"/>
  <c r="K12" i="10"/>
  <c r="K33" i="10"/>
  <c r="J12" i="12"/>
  <c r="J12" i="11"/>
  <c r="J33" i="1"/>
  <c r="J32" i="10"/>
  <c r="J33" i="10"/>
  <c r="K36" i="11" l="1"/>
  <c r="K38" i="11" s="1"/>
  <c r="J36" i="11"/>
  <c r="K36" i="12"/>
  <c r="J36" i="12"/>
  <c r="K38" i="1"/>
  <c r="J36" i="1"/>
  <c r="J36" i="10"/>
  <c r="K36" i="10"/>
  <c r="J38" i="11" l="1"/>
  <c r="J38" i="12"/>
  <c r="K38" i="12"/>
  <c r="J38" i="1"/>
  <c r="K38" i="10"/>
  <c r="J38" i="10"/>
  <c r="C37" i="12"/>
  <c r="C35" i="12"/>
  <c r="C34" i="12"/>
  <c r="C37" i="11"/>
  <c r="C35" i="11"/>
  <c r="C34" i="11"/>
  <c r="C37" i="1"/>
  <c r="G6" i="1" l="1"/>
  <c r="H6" i="1"/>
  <c r="I6" i="1"/>
  <c r="G16" i="1"/>
  <c r="H16" i="1"/>
  <c r="I16" i="1"/>
  <c r="G17" i="1"/>
  <c r="H17" i="1"/>
  <c r="I17" i="1"/>
  <c r="G20" i="1"/>
  <c r="H20" i="1"/>
  <c r="I20" i="1"/>
  <c r="G6" i="11"/>
  <c r="H6" i="11"/>
  <c r="I6" i="11"/>
  <c r="G16" i="11"/>
  <c r="H16" i="11"/>
  <c r="I16" i="11"/>
  <c r="G17" i="11"/>
  <c r="H17" i="11"/>
  <c r="I17" i="11"/>
  <c r="G20" i="11"/>
  <c r="H20" i="11"/>
  <c r="I20" i="11"/>
  <c r="G6" i="12"/>
  <c r="H6" i="12"/>
  <c r="I6" i="12"/>
  <c r="G16" i="12"/>
  <c r="H16" i="12"/>
  <c r="I16" i="12"/>
  <c r="G17" i="12"/>
  <c r="H17" i="12"/>
  <c r="I17" i="12"/>
  <c r="G20" i="12"/>
  <c r="H20" i="12"/>
  <c r="I20" i="12"/>
  <c r="G6" i="10"/>
  <c r="H6" i="10"/>
  <c r="I6" i="10"/>
  <c r="G16" i="10"/>
  <c r="H16" i="10"/>
  <c r="I16" i="10"/>
  <c r="G17" i="10"/>
  <c r="H17" i="10"/>
  <c r="I17" i="10"/>
  <c r="G33" i="12" l="1"/>
  <c r="H33" i="11"/>
  <c r="G12" i="11"/>
  <c r="I32" i="12"/>
  <c r="H32" i="12"/>
  <c r="G32" i="12"/>
  <c r="I33" i="12"/>
  <c r="G36" i="12"/>
  <c r="H33" i="12"/>
  <c r="I33" i="11"/>
  <c r="H32" i="11"/>
  <c r="I32" i="11"/>
  <c r="H12" i="12"/>
  <c r="G32" i="11"/>
  <c r="G33" i="11"/>
  <c r="I12" i="10"/>
  <c r="I12" i="12"/>
  <c r="H12" i="11"/>
  <c r="G12" i="1"/>
  <c r="H33" i="1"/>
  <c r="G32" i="10"/>
  <c r="G33" i="10"/>
  <c r="H32" i="1"/>
  <c r="G32" i="1"/>
  <c r="I32" i="1"/>
  <c r="I33" i="1"/>
  <c r="G33" i="1"/>
  <c r="I32" i="10"/>
  <c r="H32" i="10"/>
  <c r="I33" i="10"/>
  <c r="H33" i="10"/>
  <c r="G12" i="12"/>
  <c r="I12" i="11"/>
  <c r="H12" i="10"/>
  <c r="I12" i="1"/>
  <c r="G12" i="10"/>
  <c r="H12" i="1"/>
  <c r="G36" i="11" l="1"/>
  <c r="I36" i="11"/>
  <c r="I38" i="11" s="1"/>
  <c r="H36" i="11"/>
  <c r="H38" i="11" s="1"/>
  <c r="H36" i="12"/>
  <c r="G38" i="12"/>
  <c r="I36" i="12"/>
  <c r="I36" i="1"/>
  <c r="G36" i="1"/>
  <c r="H36" i="1"/>
  <c r="H36" i="10"/>
  <c r="I36" i="10"/>
  <c r="G36" i="10"/>
  <c r="G38" i="11" l="1"/>
  <c r="I38" i="12"/>
  <c r="H38" i="12"/>
  <c r="G38" i="1"/>
  <c r="I38" i="1"/>
  <c r="H38" i="1"/>
  <c r="G38" i="10"/>
  <c r="I38" i="10"/>
  <c r="H38" i="10"/>
  <c r="F20" i="12" l="1"/>
  <c r="E20" i="12"/>
  <c r="D20" i="12"/>
  <c r="C20" i="12"/>
  <c r="F17" i="12"/>
  <c r="E17" i="12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D32" i="11" s="1"/>
  <c r="C17" i="11"/>
  <c r="F16" i="11"/>
  <c r="E16" i="11"/>
  <c r="D16" i="11"/>
  <c r="C16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17" i="10"/>
  <c r="F16" i="10"/>
  <c r="F6" i="10"/>
  <c r="E17" i="10"/>
  <c r="D17" i="10"/>
  <c r="C17" i="10"/>
  <c r="E16" i="10"/>
  <c r="D16" i="10"/>
  <c r="C16" i="10"/>
  <c r="E6" i="10"/>
  <c r="D6" i="10"/>
  <c r="C6" i="10"/>
  <c r="E32" i="11" l="1"/>
  <c r="F32" i="11"/>
  <c r="D32" i="12"/>
  <c r="E32" i="12"/>
  <c r="F32" i="12"/>
  <c r="D33" i="12"/>
  <c r="D36" i="12" s="1"/>
  <c r="F33" i="12"/>
  <c r="F36" i="12" s="1"/>
  <c r="E33" i="12"/>
  <c r="D33" i="11"/>
  <c r="D36" i="11" s="1"/>
  <c r="D38" i="11" s="1"/>
  <c r="E33" i="11"/>
  <c r="F33" i="11"/>
  <c r="C32" i="12"/>
  <c r="C32" i="1"/>
  <c r="C33" i="1"/>
  <c r="C33" i="11"/>
  <c r="C32" i="11"/>
  <c r="C33" i="12"/>
  <c r="D33" i="10"/>
  <c r="D33" i="1"/>
  <c r="D32" i="1"/>
  <c r="E32" i="1"/>
  <c r="F33" i="1"/>
  <c r="F32" i="1"/>
  <c r="C12" i="10"/>
  <c r="E33" i="1"/>
  <c r="E12" i="12"/>
  <c r="F33" i="10"/>
  <c r="E12" i="11"/>
  <c r="F32" i="10"/>
  <c r="F12" i="10"/>
  <c r="C12" i="12"/>
  <c r="D12" i="12"/>
  <c r="F12" i="12"/>
  <c r="C12" i="11"/>
  <c r="D12" i="11"/>
  <c r="F12" i="11"/>
  <c r="D12" i="1"/>
  <c r="C12" i="1"/>
  <c r="E12" i="1"/>
  <c r="F12" i="1"/>
  <c r="D12" i="10"/>
  <c r="C33" i="10"/>
  <c r="D32" i="10"/>
  <c r="E32" i="10"/>
  <c r="E33" i="10"/>
  <c r="C32" i="10"/>
  <c r="E12" i="10"/>
  <c r="F36" i="11" l="1"/>
  <c r="E36" i="11"/>
  <c r="E38" i="11" s="1"/>
  <c r="D38" i="12"/>
  <c r="F38" i="12"/>
  <c r="E36" i="12"/>
  <c r="C36" i="12"/>
  <c r="C36" i="1"/>
  <c r="D36" i="10"/>
  <c r="F36" i="1"/>
  <c r="C36" i="10"/>
  <c r="D36" i="1"/>
  <c r="F36" i="10"/>
  <c r="E36" i="1"/>
  <c r="E36" i="10"/>
  <c r="C36" i="11"/>
  <c r="F38" i="11" l="1"/>
  <c r="E38" i="12"/>
  <c r="C38" i="11"/>
  <c r="C38" i="12"/>
  <c r="E38" i="1"/>
  <c r="F38" i="1"/>
  <c r="D38" i="1"/>
  <c r="C38" i="1"/>
  <c r="D38" i="10"/>
  <c r="C38" i="10"/>
  <c r="E38" i="10"/>
  <c r="F38" i="10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<sst xmlns="http://schemas.openxmlformats.org/spreadsheetml/2006/main" count="284" uniqueCount="77">
  <si>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</si>
  <si>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</si>
  <si>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</si>
  <si>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</si>
  <si>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</si>
  <si>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</si>
  <si>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</si>
  <si>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</si>
  <si>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</si>
  <si>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</si>
  <si>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</si>
  <si>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</si>
  <si>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</si>
  <si>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</si>
  <si>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</si>
  <si>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</si>
  <si>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</si>
  <si>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</si>
  <si>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</si>
  <si>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</si>
  <si>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</si>
  <si>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</si>
  <si>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</si>
  <si>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</si>
  <si>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</si>
  <si>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</si>
  <si>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</si>
  <si>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</si>
  <si>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</si>
  <si>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</si>
  <si>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</si>
  <si>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</si>
  <si>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</si>
  <si>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</si>
  <si>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</si>
  <si>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</si>
  <si>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</si>
  <si>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</si>
  <si>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</si>
  <si>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</si>
  <si>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</si>
  <si>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</si>
  <si>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</si>
  <si>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</si>
  <si>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</si>
  <si>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</si>
  <si>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</si>
  <si>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</si>
  <si>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</si>
  <si>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</si>
  <si>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</si>
  <si>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</si>
  <si>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</si>
  <si>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</si>
  <si>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</si>
  <si>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</si>
  <si>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West Bengal</t>
  </si>
  <si>
    <t>2016-17</t>
  </si>
  <si>
    <t>2017-18</t>
  </si>
  <si>
    <t>2.       </t>
  </si>
  <si>
    <t>3.       </t>
  </si>
  <si>
    <t>4.       </t>
  </si>
  <si>
    <t>5.       </t>
  </si>
  <si>
    <t>6.       </t>
  </si>
  <si>
    <t>7.       </t>
  </si>
  <si>
    <t>8.       </t>
  </si>
  <si>
    <t>9.       </t>
  </si>
  <si>
    <t>10.   </t>
  </si>
  <si>
    <t>11.   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</si>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</sst>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  <xf numFmtId="0" fontId="4" fillId="0" borderId="0"/>
    <xf numFmtId="0" fontId="5" fillId="0" borderId="0"/>
    <xf numFmtId="0" fontId="4" fillId="2" borderId="1" applyNumberFormat="0" applyFon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7" fillId="2" borderId="1" applyNumberFormat="0" applyFont="0" applyAlignment="0" applyProtection="0"/>
    <xf numFmtId="0" fontId="8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0" fontId="6" fillId="0" borderId="0" xfId="0" applyFont="1"/>
    <xf numFmtId="0" fontId="6" fillId="0" borderId="0" xfId="0" applyFont="1" applyProtection="1">
      <protection locked="0"/>
    </xf>
    <xf numFmtId="1" fontId="6" fillId="0" borderId="0" xfId="0" applyNumberFormat="1" applyFont="1"/>
    <xf numFmtId="1" fontId="6" fillId="0" borderId="0" xfId="0" applyNumberFormat="1" applyFont="1" applyProtection="1">
      <protection locked="0"/>
    </xf>
    <xf numFmtId="1" fontId="9" fillId="0" borderId="0" xfId="0" applyNumberFormat="1" applyFont="1" applyProtection="1">
      <protection locked="0"/>
    </xf>
    <xf numFmtId="0" fontId="10" fillId="0" borderId="0" xfId="0" applyFont="1" applyProtection="1">
      <protection locked="0"/>
    </xf>
    <xf numFmtId="0" fontId="10" fillId="0" borderId="0" xfId="0" applyFont="1"/>
    <xf numFmtId="1" fontId="10" fillId="0" borderId="0" xfId="0" applyNumberFormat="1" applyFont="1"/>
    <xf numFmtId="1" fontId="10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/>
    <xf numFmtId="0" fontId="13" fillId="0" borderId="0" xfId="0" applyFont="1" applyProtection="1">
      <protection locked="0"/>
    </xf>
    <xf numFmtId="0" fontId="14" fillId="0" borderId="0" xfId="0" applyFont="1" applyAlignment="1">
      <alignment horizontal="left" vertical="center"/>
    </xf>
    <xf numFmtId="0" fontId="12" fillId="0" borderId="0" xfId="0" quotePrefix="1" applyFont="1" applyProtection="1">
      <protection locked="0"/>
    </xf>
    <xf numFmtId="0" fontId="10" fillId="3" borderId="0" xfId="0" applyFont="1" applyFill="1"/>
    <xf numFmtId="1" fontId="10" fillId="3" borderId="0" xfId="0" applyNumberFormat="1" applyFont="1" applyFill="1"/>
    <xf numFmtId="0" fontId="10" fillId="3" borderId="0" xfId="0" applyFont="1" applyFill="1" applyProtection="1">
      <protection locked="0"/>
    </xf>
    <xf numFmtId="1" fontId="10" fillId="3" borderId="0" xfId="0" applyNumberFormat="1" applyFont="1" applyFill="1" applyProtection="1">
      <protection locked="0"/>
    </xf>
    <xf numFmtId="0" fontId="6" fillId="3" borderId="0" xfId="0" applyFont="1" applyFill="1" applyProtection="1">
      <protection locked="0"/>
    </xf>
    <xf numFmtId="1" fontId="6" fillId="3" borderId="0" xfId="0" applyNumberFormat="1" applyFont="1" applyFill="1" applyProtection="1">
      <protection locked="0"/>
    </xf>
    <xf numFmtId="0" fontId="6" fillId="3" borderId="0" xfId="0" applyFont="1" applyFill="1"/>
    <xf numFmtId="1" fontId="6" fillId="3" borderId="0" xfId="0" applyNumberFormat="1" applyFont="1" applyFill="1"/>
    <xf numFmtId="49" fontId="13" fillId="0" borderId="2" xfId="0" applyNumberFormat="1" applyFont="1" applyBorder="1" applyAlignment="1" applyProtection="1">
      <alignment vertical="center" wrapText="1"/>
      <protection locked="0"/>
    </xf>
    <xf numFmtId="0" fontId="13" fillId="0" borderId="2" xfId="0" applyFont="1" applyBorder="1" applyAlignment="1" applyProtection="1">
      <alignment vertical="center" wrapText="1"/>
      <protection locked="0"/>
    </xf>
    <xf numFmtId="0" fontId="12" fillId="0" borderId="2" xfId="0" applyFont="1" applyBorder="1" applyProtection="1">
      <protection locked="0"/>
    </xf>
    <xf numFmtId="0" fontId="12" fillId="0" borderId="2" xfId="0" applyFont="1" applyBorder="1"/>
    <xf numFmtId="49" fontId="12" fillId="3" borderId="2" xfId="0" applyNumberFormat="1" applyFont="1" applyFill="1" applyBorder="1" applyAlignment="1">
      <alignment vertical="center" wrapText="1"/>
    </xf>
    <xf numFmtId="0" fontId="12" fillId="3" borderId="2" xfId="0" applyFont="1" applyFill="1" applyBorder="1" applyAlignment="1">
      <alignment horizontal="left" vertical="center" wrapText="1"/>
    </xf>
    <xf numFmtId="1" fontId="12" fillId="3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12" fillId="0" borderId="2" xfId="0" applyFont="1" applyBorder="1" applyAlignment="1" applyProtection="1">
      <alignment horizontal="left" vertical="center" wrapText="1"/>
      <protection locked="0"/>
    </xf>
    <xf numFmtId="1" fontId="16" fillId="0" borderId="2" xfId="0" applyNumberFormat="1" applyFont="1" applyBorder="1" applyProtection="1">
      <protection locked="0"/>
    </xf>
    <xf numFmtId="1" fontId="16" fillId="0" borderId="2" xfId="0" applyNumberFormat="1" applyFont="1" applyBorder="1"/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12" fillId="3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12" fillId="0" borderId="2" xfId="0" applyFont="1" applyBorder="1" applyAlignment="1" applyProtection="1">
      <alignment vertical="center" wrapText="1"/>
      <protection locked="0"/>
    </xf>
    <xf numFmtId="49" fontId="12" fillId="3" borderId="2" xfId="0" quotePrefix="1" applyNumberFormat="1" applyFont="1" applyFill="1" applyBorder="1" applyAlignment="1">
      <alignment vertical="center" wrapText="1"/>
    </xf>
    <xf numFmtId="0" fontId="12" fillId="3" borderId="2" xfId="0" applyFont="1" applyFill="1" applyBorder="1" applyAlignment="1" applyProtection="1">
      <alignment vertical="center" wrapText="1"/>
      <protection locked="0"/>
    </xf>
    <xf numFmtId="0" fontId="18" fillId="0" borderId="2" xfId="0" applyFont="1" applyBorder="1" applyProtection="1">
      <protection locked="0"/>
    </xf>
    <xf numFmtId="0" fontId="18" fillId="0" borderId="2" xfId="0" applyFont="1" applyBorder="1"/>
    <xf numFmtId="1" fontId="17" fillId="0" borderId="2" xfId="0" applyNumberFormat="1" applyFont="1" applyBorder="1" applyProtection="1">
      <protection locked="0"/>
    </xf>
    <xf numFmtId="1" fontId="17" fillId="0" borderId="2" xfId="0" applyNumberFormat="1" applyFont="1" applyBorder="1"/>
    <xf numFmtId="0" fontId="17" fillId="0" borderId="2" xfId="0" applyFont="1" applyBorder="1"/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39"/>
  <sheetViews>
    <sheetView zoomScale="53" zoomScaleNormal="53" zoomScaleSheetLayoutView="100" workbookViewId="0">
      <pane xSplit="2" ySplit="5" topLeftCell="C6" activePane="bottomRight" state="frozen"/>
      <selection activeCell="A40" sqref="A40"/>
      <selection pane="topRight" activeCell="A40" sqref="A40"/>
      <selection pane="bottomLeft" activeCell="A40" sqref="A40"/>
      <selection pane="bottomRight" activeCell="W21" sqref="W21"/>
    </sheetView>
  </sheetViews>
  <sheetFormatPr defaultColWidth="8.85546875" defaultRowHeight="14.25" x14ac:dyDescent="0.2"/>
  <cols>
    <col min="1" max="1" width="11" style="6" customWidth="1"/>
    <col min="2" max="2" width="44" style="6" customWidth="1"/>
    <col min="3" max="9" width="18.5703125" style="6" customWidth="1"/>
    <col min="10" max="16" width="18.5703125" style="7" customWidth="1"/>
    <col min="17" max="18" width="9.140625" style="6" customWidth="1"/>
    <col min="19" max="19" width="11.85546875" style="6" customWidth="1"/>
    <col min="20" max="20" width="11.28515625" style="6" customWidth="1"/>
    <col min="21" max="21" width="11.7109375" style="7" customWidth="1"/>
    <col min="22" max="22" width="9.140625" style="6" customWidth="1"/>
    <col min="23" max="23" width="10.85546875" style="6" customWidth="1"/>
    <col min="24" max="24" width="10.85546875" style="7" customWidth="1"/>
    <col min="25" max="25" width="11" style="6" customWidth="1"/>
    <col min="26" max="28" width="11.42578125" style="6" customWidth="1"/>
    <col min="29" max="56" width="9.140625" style="6" customWidth="1"/>
    <col min="57" max="57" width="12.42578125" style="6" customWidth="1"/>
    <col min="58" max="79" width="9.140625" style="6" customWidth="1"/>
    <col min="80" max="80" width="12.140625" style="6" customWidth="1"/>
    <col min="81" max="84" width="9.140625" style="6" customWidth="1"/>
    <col min="85" max="89" width="9.140625" style="6" hidden="1" customWidth="1"/>
    <col min="90" max="90" width="9.140625" style="6" customWidth="1"/>
    <col min="91" max="95" width="9.140625" style="6" hidden="1" customWidth="1"/>
    <col min="96" max="96" width="9.140625" style="6" customWidth="1"/>
    <col min="97" max="101" width="9.140625" style="6" hidden="1" customWidth="1"/>
    <col min="102" max="102" width="9.140625" style="6" customWidth="1"/>
    <col min="103" max="107" width="9.140625" style="6" hidden="1" customWidth="1"/>
    <col min="108" max="108" width="9.140625" style="6" customWidth="1"/>
    <col min="109" max="113" width="9.140625" style="6" hidden="1" customWidth="1"/>
    <col min="114" max="114" width="9.140625" style="7" customWidth="1"/>
    <col min="115" max="119" width="9.140625" style="7" hidden="1" customWidth="1"/>
    <col min="120" max="120" width="9.140625" style="7" customWidth="1"/>
    <col min="121" max="125" width="9.140625" style="7" hidden="1" customWidth="1"/>
    <col min="126" max="126" width="9.140625" style="7" customWidth="1"/>
    <col min="127" max="131" width="9.140625" style="7" hidden="1" customWidth="1"/>
    <col min="132" max="132" width="9.140625" style="7" customWidth="1"/>
    <col min="133" max="162" width="9.140625" style="6" customWidth="1"/>
    <col min="163" max="163" width="9.140625" style="6" hidden="1" customWidth="1"/>
    <col min="164" max="171" width="9.140625" style="6" customWidth="1"/>
    <col min="172" max="172" width="9.140625" style="6" hidden="1" customWidth="1"/>
    <col min="173" max="177" width="9.140625" style="6" customWidth="1"/>
    <col min="178" max="178" width="9.140625" style="6" hidden="1" customWidth="1"/>
    <col min="179" max="188" width="9.140625" style="6" customWidth="1"/>
    <col min="189" max="192" width="8.85546875" style="6"/>
    <col min="193" max="193" width="12.7109375" style="6" bestFit="1" customWidth="1"/>
    <col min="194" max="16384" width="8.85546875" style="6"/>
  </cols>
  <sheetData>
    <row r="1" spans="1:193" ht="18" x14ac:dyDescent="0.25">
      <c r="A1" s="11" t="s">
        <v>43</v>
      </c>
      <c r="B1" s="13" t="s">
        <v>56</v>
      </c>
      <c r="C1" s="11"/>
      <c r="D1" s="11"/>
      <c r="E1" s="11"/>
      <c r="F1" s="11"/>
      <c r="G1" s="11"/>
      <c r="H1" s="11"/>
      <c r="I1" s="11"/>
      <c r="W1" s="8"/>
    </row>
    <row r="2" spans="1:193" ht="18" x14ac:dyDescent="0.25">
      <c r="A2" s="14" t="s">
        <v>38</v>
      </c>
      <c r="B2" s="11"/>
      <c r="C2" s="11"/>
      <c r="D2" s="11"/>
      <c r="E2" s="11"/>
      <c r="F2" s="11"/>
      <c r="G2" s="11"/>
      <c r="H2" s="11"/>
      <c r="I2" s="11" t="str">
        <f>[1]GSVA_cur!$I$3</f>
        <v>01.08.2025</v>
      </c>
    </row>
    <row r="3" spans="1:193" ht="18" x14ac:dyDescent="0.25">
      <c r="A3" s="14"/>
      <c r="B3" s="11"/>
      <c r="C3" s="11"/>
      <c r="D3" s="11"/>
      <c r="E3" s="11"/>
      <c r="F3" s="11"/>
      <c r="G3" s="11"/>
      <c r="H3" s="11"/>
      <c r="I3" s="11"/>
    </row>
    <row r="4" spans="1:193" ht="18" x14ac:dyDescent="0.25">
      <c r="A4" s="14"/>
      <c r="B4" s="11"/>
      <c r="C4" s="11"/>
      <c r="D4" s="11"/>
      <c r="E4" s="15"/>
      <c r="F4" s="15" t="s">
        <v>47</v>
      </c>
      <c r="G4" s="15"/>
      <c r="H4" s="15"/>
      <c r="I4" s="15"/>
    </row>
    <row r="5" spans="1:193" ht="18" x14ac:dyDescent="0.25">
      <c r="A5" s="24" t="s">
        <v>0</v>
      </c>
      <c r="B5" s="25" t="s">
        <v>1</v>
      </c>
      <c r="C5" s="26" t="s">
        <v>21</v>
      </c>
      <c r="D5" s="26" t="s">
        <v>22</v>
      </c>
      <c r="E5" s="26" t="s">
        <v>23</v>
      </c>
      <c r="F5" s="26" t="s">
        <v>46</v>
      </c>
      <c r="G5" s="26" t="s">
        <v>55</v>
      </c>
      <c r="H5" s="26" t="s">
        <v>57</v>
      </c>
      <c r="I5" s="26" t="s">
        <v>58</v>
      </c>
      <c r="J5" s="27" t="s">
        <v>69</v>
      </c>
      <c r="K5" s="27" t="s">
        <v>70</v>
      </c>
      <c r="L5" s="27" t="s">
        <v>71</v>
      </c>
      <c r="M5" s="27" t="s">
        <v>72</v>
      </c>
      <c r="N5" s="27" t="s">
        <v>73</v>
      </c>
      <c r="O5" s="27" t="s">
        <v>74</v>
      </c>
      <c r="P5" s="27" t="s">
        <v>76</v>
      </c>
    </row>
    <row r="6" spans="1:193" s="16" customFormat="1" ht="18" x14ac:dyDescent="0.25">
      <c r="A6" s="28" t="s">
        <v>26</v>
      </c>
      <c r="B6" s="29" t="s">
        <v>2</v>
      </c>
      <c r="C6" s="30">
        <f>SUM(C7:C10)</f>
        <v>11710585</v>
      </c>
      <c r="D6" s="30">
        <f t="shared" ref="D6:E6" si="0">SUM(D7:D10)</f>
        <v>13683827</v>
      </c>
      <c r="E6" s="30">
        <f t="shared" si="0"/>
        <v>16581431</v>
      </c>
      <c r="F6" s="30">
        <f t="shared" ref="F6:N6" si="1">SUM(F7:F10)</f>
        <v>16545516</v>
      </c>
      <c r="G6" s="30">
        <f t="shared" si="1"/>
        <v>18391923</v>
      </c>
      <c r="H6" s="30">
        <f t="shared" si="1"/>
        <v>19437865</v>
      </c>
      <c r="I6" s="30">
        <f t="shared" si="1"/>
        <v>21673273</v>
      </c>
      <c r="J6" s="30">
        <f t="shared" si="1"/>
        <v>23389907.264792159</v>
      </c>
      <c r="K6" s="30">
        <f t="shared" si="1"/>
        <v>24547289.905957296</v>
      </c>
      <c r="L6" s="30">
        <f t="shared" si="1"/>
        <v>26003299.434904203</v>
      </c>
      <c r="M6" s="30">
        <f t="shared" si="1"/>
        <v>27413231.886781592</v>
      </c>
      <c r="N6" s="30">
        <f t="shared" si="1"/>
        <v>30401714.276266187</v>
      </c>
      <c r="O6" s="30">
        <f t="shared" ref="O6:P6" si="2">SUM(O7:O10)</f>
        <v>32349872.209974729</v>
      </c>
      <c r="P6" s="30">
        <f t="shared" si="2"/>
        <v>34525551.597323641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K6" s="18"/>
    </row>
    <row r="7" spans="1:193" ht="18" x14ac:dyDescent="0.25">
      <c r="A7" s="31">
        <v>1.1000000000000001</v>
      </c>
      <c r="B7" s="32" t="s">
        <v>49</v>
      </c>
      <c r="C7" s="33">
        <v>7245329</v>
      </c>
      <c r="D7" s="33">
        <v>8682450</v>
      </c>
      <c r="E7" s="33">
        <v>10626231</v>
      </c>
      <c r="F7" s="33">
        <v>10171379</v>
      </c>
      <c r="G7" s="33">
        <v>11593411</v>
      </c>
      <c r="H7" s="33">
        <v>12036882</v>
      </c>
      <c r="I7" s="33">
        <v>13120198</v>
      </c>
      <c r="J7" s="34">
        <v>14063149.264792161</v>
      </c>
      <c r="K7" s="34">
        <v>14651562.905957296</v>
      </c>
      <c r="L7" s="34">
        <v>15215592.434904205</v>
      </c>
      <c r="M7" s="34">
        <v>15945222.634537466</v>
      </c>
      <c r="N7" s="34">
        <v>16512364.767648615</v>
      </c>
      <c r="O7" s="34">
        <v>16875885.626258601</v>
      </c>
      <c r="P7" s="34">
        <v>17715312.033080753</v>
      </c>
      <c r="Q7" s="9"/>
      <c r="R7" s="9"/>
      <c r="S7" s="9"/>
      <c r="T7" s="9"/>
      <c r="U7" s="8"/>
      <c r="V7" s="9"/>
      <c r="W7" s="9"/>
      <c r="X7" s="8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7"/>
      <c r="GI7" s="7"/>
      <c r="GJ7" s="7"/>
    </row>
    <row r="8" spans="1:193" ht="18" x14ac:dyDescent="0.25">
      <c r="A8" s="31">
        <v>1.2</v>
      </c>
      <c r="B8" s="32" t="s">
        <v>50</v>
      </c>
      <c r="C8" s="33">
        <v>2231476</v>
      </c>
      <c r="D8" s="33">
        <v>2473106</v>
      </c>
      <c r="E8" s="33">
        <v>2817386</v>
      </c>
      <c r="F8" s="33">
        <v>3079828</v>
      </c>
      <c r="G8" s="33">
        <v>3264639</v>
      </c>
      <c r="H8" s="33">
        <v>3596615</v>
      </c>
      <c r="I8" s="33">
        <v>4187954</v>
      </c>
      <c r="J8" s="34">
        <v>4663498</v>
      </c>
      <c r="K8" s="34">
        <v>5089194</v>
      </c>
      <c r="L8" s="34">
        <v>5562042</v>
      </c>
      <c r="M8" s="34">
        <v>5970308.2522441251</v>
      </c>
      <c r="N8" s="34">
        <v>7235100.5086175734</v>
      </c>
      <c r="O8" s="34">
        <v>8475370.5837161299</v>
      </c>
      <c r="P8" s="34">
        <v>9578116.564242892</v>
      </c>
      <c r="Q8" s="9"/>
      <c r="R8" s="9"/>
      <c r="S8" s="9"/>
      <c r="T8" s="9"/>
      <c r="U8" s="8"/>
      <c r="V8" s="9"/>
      <c r="W8" s="9"/>
      <c r="X8" s="8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7"/>
      <c r="GI8" s="7"/>
      <c r="GJ8" s="7"/>
    </row>
    <row r="9" spans="1:193" ht="18" x14ac:dyDescent="0.25">
      <c r="A9" s="31">
        <v>1.3</v>
      </c>
      <c r="B9" s="32" t="s">
        <v>51</v>
      </c>
      <c r="C9" s="33">
        <v>513174</v>
      </c>
      <c r="D9" s="33">
        <v>557105</v>
      </c>
      <c r="E9" s="33">
        <v>663006</v>
      </c>
      <c r="F9" s="33">
        <v>581145</v>
      </c>
      <c r="G9" s="33">
        <v>605784</v>
      </c>
      <c r="H9" s="33">
        <v>759417</v>
      </c>
      <c r="I9" s="33">
        <v>659125</v>
      </c>
      <c r="J9" s="34">
        <v>739463</v>
      </c>
      <c r="K9" s="34">
        <v>804054</v>
      </c>
      <c r="L9" s="34">
        <v>829672</v>
      </c>
      <c r="M9" s="34">
        <v>913981</v>
      </c>
      <c r="N9" s="34">
        <v>974380</v>
      </c>
      <c r="O9" s="34">
        <v>991243</v>
      </c>
      <c r="P9" s="34">
        <v>1015799</v>
      </c>
      <c r="Q9" s="9"/>
      <c r="R9" s="9"/>
      <c r="S9" s="9"/>
      <c r="T9" s="9"/>
      <c r="U9" s="8"/>
      <c r="V9" s="9"/>
      <c r="W9" s="9"/>
      <c r="X9" s="8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7"/>
      <c r="GI9" s="7"/>
      <c r="GJ9" s="7"/>
    </row>
    <row r="10" spans="1:193" ht="18" x14ac:dyDescent="0.25">
      <c r="A10" s="31">
        <v>1.4</v>
      </c>
      <c r="B10" s="32" t="s">
        <v>52</v>
      </c>
      <c r="C10" s="33">
        <v>1720606</v>
      </c>
      <c r="D10" s="33">
        <v>1971166</v>
      </c>
      <c r="E10" s="33">
        <v>2474808</v>
      </c>
      <c r="F10" s="33">
        <v>2713164</v>
      </c>
      <c r="G10" s="33">
        <v>2928089</v>
      </c>
      <c r="H10" s="33">
        <v>3044951</v>
      </c>
      <c r="I10" s="33">
        <v>3705996</v>
      </c>
      <c r="J10" s="34">
        <v>3923797</v>
      </c>
      <c r="K10" s="34">
        <v>4002479</v>
      </c>
      <c r="L10" s="34">
        <v>4395993</v>
      </c>
      <c r="M10" s="34">
        <v>4583720</v>
      </c>
      <c r="N10" s="34">
        <v>5679869</v>
      </c>
      <c r="O10" s="34">
        <v>6007373</v>
      </c>
      <c r="P10" s="34">
        <v>6216324</v>
      </c>
      <c r="Q10" s="9"/>
      <c r="R10" s="9"/>
      <c r="S10" s="9"/>
      <c r="T10" s="9"/>
      <c r="U10" s="8"/>
      <c r="V10" s="9"/>
      <c r="W10" s="9"/>
      <c r="X10" s="8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7"/>
      <c r="GI10" s="7"/>
      <c r="GJ10" s="7"/>
    </row>
    <row r="11" spans="1:193" ht="18" x14ac:dyDescent="0.25">
      <c r="A11" s="35" t="s">
        <v>59</v>
      </c>
      <c r="B11" s="32" t="s">
        <v>3</v>
      </c>
      <c r="C11" s="33">
        <v>726138</v>
      </c>
      <c r="D11" s="33">
        <v>858357.98</v>
      </c>
      <c r="E11" s="33">
        <v>720621</v>
      </c>
      <c r="F11" s="33">
        <v>782437</v>
      </c>
      <c r="G11" s="33">
        <v>771391</v>
      </c>
      <c r="H11" s="33">
        <v>729088</v>
      </c>
      <c r="I11" s="33">
        <v>812898</v>
      </c>
      <c r="J11" s="34">
        <v>995230</v>
      </c>
      <c r="K11" s="34">
        <v>1011342</v>
      </c>
      <c r="L11" s="34">
        <v>791462</v>
      </c>
      <c r="M11" s="34">
        <v>892267</v>
      </c>
      <c r="N11" s="34">
        <v>1313574</v>
      </c>
      <c r="O11" s="34">
        <v>1550931.4906647271</v>
      </c>
      <c r="P11" s="34">
        <v>1576152.1880872727</v>
      </c>
      <c r="Q11" s="9"/>
      <c r="R11" s="9"/>
      <c r="S11" s="9"/>
      <c r="T11" s="9"/>
      <c r="U11" s="8"/>
      <c r="V11" s="9"/>
      <c r="W11" s="9"/>
      <c r="X11" s="8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7"/>
      <c r="GI11" s="7"/>
      <c r="GJ11" s="7"/>
    </row>
    <row r="12" spans="1:193" s="18" customFormat="1" ht="18.75" x14ac:dyDescent="0.25">
      <c r="A12" s="36"/>
      <c r="B12" s="37" t="s">
        <v>28</v>
      </c>
      <c r="C12" s="38">
        <f>C6+C11</f>
        <v>12436723</v>
      </c>
      <c r="D12" s="38">
        <f t="shared" ref="D12:E12" si="3">D6+D11</f>
        <v>14542184.98</v>
      </c>
      <c r="E12" s="38">
        <f t="shared" si="3"/>
        <v>17302052</v>
      </c>
      <c r="F12" s="38">
        <f t="shared" ref="F12:N12" si="4">F6+F11</f>
        <v>17327953</v>
      </c>
      <c r="G12" s="38">
        <f t="shared" si="4"/>
        <v>19163314</v>
      </c>
      <c r="H12" s="38">
        <f t="shared" si="4"/>
        <v>20166953</v>
      </c>
      <c r="I12" s="38">
        <f t="shared" si="4"/>
        <v>22486171</v>
      </c>
      <c r="J12" s="38">
        <f t="shared" si="4"/>
        <v>24385137.264792159</v>
      </c>
      <c r="K12" s="38">
        <f t="shared" si="4"/>
        <v>25558631.905957296</v>
      </c>
      <c r="L12" s="38">
        <f t="shared" si="4"/>
        <v>26794761.434904203</v>
      </c>
      <c r="M12" s="38">
        <f t="shared" si="4"/>
        <v>28305498.886781592</v>
      </c>
      <c r="N12" s="38">
        <f t="shared" si="4"/>
        <v>31715288.276266187</v>
      </c>
      <c r="O12" s="38">
        <f t="shared" ref="O12:P12" si="5">O6+O11</f>
        <v>33900803.700639457</v>
      </c>
      <c r="P12" s="38">
        <f t="shared" si="5"/>
        <v>36101703.785410911</v>
      </c>
      <c r="Q12" s="9"/>
      <c r="R12" s="9"/>
      <c r="S12" s="9"/>
      <c r="T12" s="9"/>
      <c r="U12" s="8"/>
      <c r="V12" s="9"/>
      <c r="W12" s="9"/>
      <c r="X12" s="8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6"/>
      <c r="GI12" s="16"/>
      <c r="GJ12" s="16"/>
    </row>
    <row r="13" spans="1:193" s="7" customFormat="1" ht="18" x14ac:dyDescent="0.25">
      <c r="A13" s="39" t="s">
        <v>60</v>
      </c>
      <c r="B13" s="40" t="s">
        <v>4</v>
      </c>
      <c r="C13" s="34">
        <v>6952408.5369047113</v>
      </c>
      <c r="D13" s="34">
        <v>7355292.7498213239</v>
      </c>
      <c r="E13" s="34">
        <v>7612140.4692758471</v>
      </c>
      <c r="F13" s="34">
        <v>7162103.0067478251</v>
      </c>
      <c r="G13" s="34">
        <v>8536104.6906750575</v>
      </c>
      <c r="H13" s="34">
        <v>9962263.9816071354</v>
      </c>
      <c r="I13" s="34">
        <v>11416255.247516241</v>
      </c>
      <c r="J13" s="34">
        <v>14028800.088735739</v>
      </c>
      <c r="K13" s="34">
        <v>13848774.382185917</v>
      </c>
      <c r="L13" s="34">
        <v>15061487.032332283</v>
      </c>
      <c r="M13" s="34">
        <v>18546358.153582349</v>
      </c>
      <c r="N13" s="34">
        <v>19096464.108567014</v>
      </c>
      <c r="O13" s="34">
        <v>20077863.278459441</v>
      </c>
      <c r="P13" s="34">
        <v>21593780.000928875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K13" s="6"/>
    </row>
    <row r="14" spans="1:193" ht="36" x14ac:dyDescent="0.25">
      <c r="A14" s="35" t="s">
        <v>61</v>
      </c>
      <c r="B14" s="32" t="s">
        <v>5</v>
      </c>
      <c r="C14" s="33">
        <v>1132797.43</v>
      </c>
      <c r="D14" s="33">
        <v>1227159.56</v>
      </c>
      <c r="E14" s="33">
        <v>1434478.06</v>
      </c>
      <c r="F14" s="33">
        <v>1463556.5699999998</v>
      </c>
      <c r="G14" s="33">
        <v>1663680.5</v>
      </c>
      <c r="H14" s="33">
        <v>1679796</v>
      </c>
      <c r="I14" s="33">
        <v>1803304</v>
      </c>
      <c r="J14" s="34">
        <v>1837800</v>
      </c>
      <c r="K14" s="34">
        <v>1994840.3</v>
      </c>
      <c r="L14" s="34">
        <v>1792679</v>
      </c>
      <c r="M14" s="34">
        <v>2644397.347235173</v>
      </c>
      <c r="N14" s="34">
        <v>2510665.8316094931</v>
      </c>
      <c r="O14" s="34">
        <v>2581668.9551638607</v>
      </c>
      <c r="P14" s="34">
        <v>2816061.7407006216</v>
      </c>
      <c r="Q14" s="9"/>
      <c r="R14" s="9"/>
      <c r="S14" s="9"/>
      <c r="T14" s="9"/>
      <c r="U14" s="8"/>
      <c r="V14" s="9"/>
      <c r="W14" s="9"/>
      <c r="X14" s="8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8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8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8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7"/>
      <c r="GI14" s="7"/>
      <c r="GJ14" s="7"/>
    </row>
    <row r="15" spans="1:193" ht="18" x14ac:dyDescent="0.25">
      <c r="A15" s="35" t="s">
        <v>62</v>
      </c>
      <c r="B15" s="32" t="s">
        <v>6</v>
      </c>
      <c r="C15" s="33">
        <v>4440021</v>
      </c>
      <c r="D15" s="33">
        <v>4785994</v>
      </c>
      <c r="E15" s="33">
        <v>5279474</v>
      </c>
      <c r="F15" s="33">
        <v>5368490</v>
      </c>
      <c r="G15" s="33">
        <v>5377274</v>
      </c>
      <c r="H15" s="33">
        <v>5774233</v>
      </c>
      <c r="I15" s="33">
        <v>6393759</v>
      </c>
      <c r="J15" s="34">
        <v>7193993</v>
      </c>
      <c r="K15" s="34">
        <v>7326601.3265653551</v>
      </c>
      <c r="L15" s="34">
        <v>6658625.3118694462</v>
      </c>
      <c r="M15" s="34">
        <v>8687091.4720680565</v>
      </c>
      <c r="N15" s="34">
        <v>10361311.253897877</v>
      </c>
      <c r="O15" s="34">
        <v>10452249.869793652</v>
      </c>
      <c r="P15" s="34">
        <v>11220929.425905272</v>
      </c>
      <c r="Q15" s="9"/>
      <c r="R15" s="9"/>
      <c r="S15" s="9"/>
      <c r="T15" s="9"/>
      <c r="U15" s="8"/>
      <c r="V15" s="9"/>
      <c r="W15" s="9"/>
      <c r="X15" s="8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8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8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8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7"/>
      <c r="GI15" s="7"/>
      <c r="GJ15" s="7"/>
    </row>
    <row r="16" spans="1:193" s="18" customFormat="1" ht="18.75" x14ac:dyDescent="0.25">
      <c r="A16" s="36"/>
      <c r="B16" s="37" t="s">
        <v>29</v>
      </c>
      <c r="C16" s="38">
        <f>+C13+C14+C15</f>
        <v>12525226.966904711</v>
      </c>
      <c r="D16" s="38">
        <f t="shared" ref="D16:E16" si="6">+D13+D14+D15</f>
        <v>13368446.309821324</v>
      </c>
      <c r="E16" s="38">
        <f t="shared" si="6"/>
        <v>14326092.529275848</v>
      </c>
      <c r="F16" s="38">
        <f t="shared" ref="F16:K16" si="7">+F13+F14+F15</f>
        <v>13994149.576747825</v>
      </c>
      <c r="G16" s="38">
        <f t="shared" si="7"/>
        <v>15577059.190675057</v>
      </c>
      <c r="H16" s="38">
        <f t="shared" si="7"/>
        <v>17416292.981607135</v>
      </c>
      <c r="I16" s="38">
        <f t="shared" si="7"/>
        <v>19613318.247516241</v>
      </c>
      <c r="J16" s="38">
        <f t="shared" si="7"/>
        <v>23060593.088735737</v>
      </c>
      <c r="K16" s="38">
        <f t="shared" si="7"/>
        <v>23170216.008751273</v>
      </c>
      <c r="L16" s="38">
        <f t="shared" ref="L16:N16" si="8">+L13+L14+L15</f>
        <v>23512791.344201729</v>
      </c>
      <c r="M16" s="38">
        <f t="shared" si="8"/>
        <v>29877846.972885579</v>
      </c>
      <c r="N16" s="38">
        <f t="shared" si="8"/>
        <v>31968441.194074385</v>
      </c>
      <c r="O16" s="38">
        <f t="shared" ref="O16:P16" si="9">+O13+O14+O15</f>
        <v>33111782.103416957</v>
      </c>
      <c r="P16" s="38">
        <f t="shared" si="9"/>
        <v>35630771.167534769</v>
      </c>
      <c r="Q16" s="9"/>
      <c r="R16" s="9"/>
      <c r="S16" s="9"/>
      <c r="T16" s="9"/>
      <c r="U16" s="8"/>
      <c r="V16" s="9"/>
      <c r="W16" s="9"/>
      <c r="X16" s="8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7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7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7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6"/>
      <c r="GI16" s="16"/>
      <c r="GJ16" s="16"/>
    </row>
    <row r="17" spans="1:193" s="16" customFormat="1" ht="36" x14ac:dyDescent="0.25">
      <c r="A17" s="28" t="s">
        <v>63</v>
      </c>
      <c r="B17" s="29" t="s">
        <v>7</v>
      </c>
      <c r="C17" s="30">
        <f>C18+C19</f>
        <v>6795832</v>
      </c>
      <c r="D17" s="30">
        <f t="shared" ref="D17:E17" si="10">D18+D19</f>
        <v>8067121</v>
      </c>
      <c r="E17" s="30">
        <f t="shared" si="10"/>
        <v>9718569</v>
      </c>
      <c r="F17" s="30">
        <f t="shared" ref="F17:K17" si="11">F18+F19</f>
        <v>10711645</v>
      </c>
      <c r="G17" s="30">
        <f t="shared" si="11"/>
        <v>11817595</v>
      </c>
      <c r="H17" s="30">
        <f t="shared" si="11"/>
        <v>12930350</v>
      </c>
      <c r="I17" s="30">
        <f t="shared" si="11"/>
        <v>14884466</v>
      </c>
      <c r="J17" s="30">
        <f t="shared" si="11"/>
        <v>17280192</v>
      </c>
      <c r="K17" s="30">
        <f t="shared" si="11"/>
        <v>18838310</v>
      </c>
      <c r="L17" s="30">
        <f t="shared" ref="L17:N17" si="12">L18+L19</f>
        <v>15094295</v>
      </c>
      <c r="M17" s="30">
        <f t="shared" si="12"/>
        <v>18905662</v>
      </c>
      <c r="N17" s="30">
        <f t="shared" si="12"/>
        <v>23312649.648483466</v>
      </c>
      <c r="O17" s="30">
        <f t="shared" ref="O17:P17" si="13">O18+O19</f>
        <v>26328223.532732639</v>
      </c>
      <c r="P17" s="30">
        <f t="shared" si="13"/>
        <v>29435486.835610732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K17" s="18"/>
    </row>
    <row r="18" spans="1:193" ht="18" x14ac:dyDescent="0.25">
      <c r="A18" s="31">
        <v>6.1</v>
      </c>
      <c r="B18" s="32" t="s">
        <v>8</v>
      </c>
      <c r="C18" s="33">
        <v>6405286</v>
      </c>
      <c r="D18" s="33">
        <v>7642915</v>
      </c>
      <c r="E18" s="33">
        <v>9256782</v>
      </c>
      <c r="F18" s="33">
        <v>10186005</v>
      </c>
      <c r="G18" s="33">
        <v>11207868</v>
      </c>
      <c r="H18" s="33">
        <v>12260433</v>
      </c>
      <c r="I18" s="33">
        <v>14144897</v>
      </c>
      <c r="J18" s="34">
        <v>16418396</v>
      </c>
      <c r="K18" s="34">
        <v>17930708</v>
      </c>
      <c r="L18" s="34">
        <v>14658210</v>
      </c>
      <c r="M18" s="34">
        <v>18278291</v>
      </c>
      <c r="N18" s="34">
        <v>22154052.552139804</v>
      </c>
      <c r="O18" s="34">
        <v>24877251.773397241</v>
      </c>
      <c r="P18" s="34">
        <v>27719346.991527658</v>
      </c>
      <c r="Q18" s="9"/>
      <c r="R18" s="9"/>
      <c r="S18" s="9"/>
      <c r="T18" s="9"/>
      <c r="U18" s="8"/>
      <c r="V18" s="9"/>
      <c r="W18" s="9"/>
      <c r="X18" s="8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7"/>
      <c r="GI18" s="7"/>
      <c r="GJ18" s="7"/>
    </row>
    <row r="19" spans="1:193" ht="18" x14ac:dyDescent="0.25">
      <c r="A19" s="31">
        <v>6.2</v>
      </c>
      <c r="B19" s="32" t="s">
        <v>9</v>
      </c>
      <c r="C19" s="33">
        <v>390546</v>
      </c>
      <c r="D19" s="33">
        <v>424206</v>
      </c>
      <c r="E19" s="33">
        <v>461787</v>
      </c>
      <c r="F19" s="33">
        <v>525640</v>
      </c>
      <c r="G19" s="33">
        <v>609727</v>
      </c>
      <c r="H19" s="33">
        <v>669917</v>
      </c>
      <c r="I19" s="33">
        <v>739569</v>
      </c>
      <c r="J19" s="34">
        <v>861796</v>
      </c>
      <c r="K19" s="34">
        <v>907602</v>
      </c>
      <c r="L19" s="34">
        <v>436085</v>
      </c>
      <c r="M19" s="34">
        <v>627371</v>
      </c>
      <c r="N19" s="34">
        <v>1158597.0963436621</v>
      </c>
      <c r="O19" s="34">
        <v>1450971.7593354001</v>
      </c>
      <c r="P19" s="34">
        <v>1716139.8440830726</v>
      </c>
      <c r="Q19" s="9"/>
      <c r="R19" s="9"/>
      <c r="S19" s="9"/>
      <c r="T19" s="9"/>
      <c r="U19" s="8"/>
      <c r="V19" s="9"/>
      <c r="W19" s="9"/>
      <c r="X19" s="8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7"/>
      <c r="GI19" s="7"/>
      <c r="GJ19" s="7"/>
    </row>
    <row r="20" spans="1:193" s="16" customFormat="1" ht="54" x14ac:dyDescent="0.25">
      <c r="A20" s="28" t="s">
        <v>64</v>
      </c>
      <c r="B20" s="41" t="s">
        <v>10</v>
      </c>
      <c r="C20" s="30">
        <f>SUM(C21:C27)</f>
        <v>3501861.3848862159</v>
      </c>
      <c r="D20" s="30">
        <f t="shared" ref="D20:E20" si="14">SUM(D21:D27)</f>
        <v>3714116.9945239448</v>
      </c>
      <c r="E20" s="30">
        <f t="shared" si="14"/>
        <v>4216631.6886759996</v>
      </c>
      <c r="F20" s="30">
        <f t="shared" ref="F20:N20" si="15">SUM(F21:F27)</f>
        <v>4716241</v>
      </c>
      <c r="G20" s="30">
        <f t="shared" si="15"/>
        <v>5384778</v>
      </c>
      <c r="H20" s="30">
        <f t="shared" si="15"/>
        <v>5528858</v>
      </c>
      <c r="I20" s="30">
        <f t="shared" si="15"/>
        <v>5813461.6914999997</v>
      </c>
      <c r="J20" s="30">
        <f t="shared" si="15"/>
        <v>6255939.2459999993</v>
      </c>
      <c r="K20" s="30">
        <f t="shared" si="15"/>
        <v>7368371.7490999997</v>
      </c>
      <c r="L20" s="30">
        <f t="shared" si="15"/>
        <v>7020453.4161999999</v>
      </c>
      <c r="M20" s="30">
        <f t="shared" si="15"/>
        <v>8969452.2391810715</v>
      </c>
      <c r="N20" s="30">
        <f t="shared" si="15"/>
        <v>10073100.444306627</v>
      </c>
      <c r="O20" s="30">
        <f t="shared" ref="O20:P20" si="16">SUM(O21:O27)</f>
        <v>10906521.263082514</v>
      </c>
      <c r="P20" s="30">
        <f t="shared" si="16"/>
        <v>12559832.753574613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K20" s="18"/>
    </row>
    <row r="21" spans="1:193" ht="18" x14ac:dyDescent="0.25">
      <c r="A21" s="31">
        <v>7.1</v>
      </c>
      <c r="B21" s="32" t="s">
        <v>11</v>
      </c>
      <c r="C21" s="33">
        <v>794164</v>
      </c>
      <c r="D21" s="33">
        <v>940176</v>
      </c>
      <c r="E21" s="33">
        <v>952188</v>
      </c>
      <c r="F21" s="33">
        <v>1154326</v>
      </c>
      <c r="G21" s="33">
        <v>1276432</v>
      </c>
      <c r="H21" s="33">
        <v>1307957</v>
      </c>
      <c r="I21" s="33">
        <v>1397461</v>
      </c>
      <c r="J21" s="34">
        <v>1424093</v>
      </c>
      <c r="K21" s="34">
        <v>1790522</v>
      </c>
      <c r="L21" s="34">
        <v>1766125</v>
      </c>
      <c r="M21" s="34">
        <v>1749866</v>
      </c>
      <c r="N21" s="34">
        <v>1991144</v>
      </c>
      <c r="O21" s="34">
        <v>2236792</v>
      </c>
      <c r="P21" s="34">
        <v>2434489</v>
      </c>
      <c r="Q21" s="9"/>
      <c r="R21" s="9"/>
      <c r="S21" s="9"/>
      <c r="T21" s="9"/>
      <c r="U21" s="8"/>
      <c r="V21" s="9"/>
      <c r="W21" s="9"/>
      <c r="X21" s="8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7"/>
      <c r="GI21" s="7"/>
      <c r="GJ21" s="7"/>
    </row>
    <row r="22" spans="1:193" ht="18" x14ac:dyDescent="0.25">
      <c r="A22" s="31">
        <v>7.2</v>
      </c>
      <c r="B22" s="32" t="s">
        <v>12</v>
      </c>
      <c r="C22" s="33">
        <v>1287047</v>
      </c>
      <c r="D22" s="33">
        <v>1283266</v>
      </c>
      <c r="E22" s="33">
        <v>1443103</v>
      </c>
      <c r="F22" s="33">
        <v>1526437</v>
      </c>
      <c r="G22" s="33">
        <v>1700050</v>
      </c>
      <c r="H22" s="33">
        <v>1719643</v>
      </c>
      <c r="I22" s="33">
        <v>1907795.943</v>
      </c>
      <c r="J22" s="34">
        <v>2187142.7059999998</v>
      </c>
      <c r="K22" s="34">
        <v>2574262.8067000001</v>
      </c>
      <c r="L22" s="34">
        <v>2141297.8703999999</v>
      </c>
      <c r="M22" s="34">
        <v>3532488.1176</v>
      </c>
      <c r="N22" s="34">
        <v>3749581.2</v>
      </c>
      <c r="O22" s="34">
        <v>4036537.6641299087</v>
      </c>
      <c r="P22" s="34">
        <v>4905430.4510809658</v>
      </c>
      <c r="Q22" s="9"/>
      <c r="R22" s="9"/>
      <c r="S22" s="9"/>
      <c r="T22" s="9"/>
      <c r="U22" s="8"/>
      <c r="V22" s="9"/>
      <c r="W22" s="9"/>
      <c r="X22" s="8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7"/>
      <c r="GI22" s="7"/>
      <c r="GJ22" s="7"/>
    </row>
    <row r="23" spans="1:193" ht="18" x14ac:dyDescent="0.25">
      <c r="A23" s="31">
        <v>7.3</v>
      </c>
      <c r="B23" s="32" t="s">
        <v>13</v>
      </c>
      <c r="C23" s="33">
        <v>48913.947937573219</v>
      </c>
      <c r="D23" s="33">
        <v>38961.206841564526</v>
      </c>
      <c r="E23" s="33">
        <v>32879</v>
      </c>
      <c r="F23" s="33">
        <v>38081</v>
      </c>
      <c r="G23" s="33">
        <v>37888</v>
      </c>
      <c r="H23" s="33">
        <v>51086</v>
      </c>
      <c r="I23" s="33">
        <v>54669.627</v>
      </c>
      <c r="J23" s="34">
        <v>75523.948499999999</v>
      </c>
      <c r="K23" s="34">
        <v>74013.9908</v>
      </c>
      <c r="L23" s="34">
        <v>82066.264800000004</v>
      </c>
      <c r="M23" s="34">
        <v>109939.3734</v>
      </c>
      <c r="N23" s="34">
        <v>152166.49717272082</v>
      </c>
      <c r="O23" s="34">
        <v>158386.85090380188</v>
      </c>
      <c r="P23" s="34">
        <v>156421.82440211176</v>
      </c>
      <c r="Q23" s="9"/>
      <c r="R23" s="9"/>
      <c r="S23" s="9"/>
      <c r="T23" s="9"/>
      <c r="U23" s="8"/>
      <c r="V23" s="9"/>
      <c r="W23" s="9"/>
      <c r="X23" s="8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7"/>
      <c r="GI23" s="7"/>
      <c r="GJ23" s="7"/>
    </row>
    <row r="24" spans="1:193" ht="18" x14ac:dyDescent="0.25">
      <c r="A24" s="31">
        <v>7.4</v>
      </c>
      <c r="B24" s="32" t="s">
        <v>14</v>
      </c>
      <c r="C24" s="33">
        <v>30476</v>
      </c>
      <c r="D24" s="33">
        <v>55832</v>
      </c>
      <c r="E24" s="33">
        <v>85699</v>
      </c>
      <c r="F24" s="33">
        <v>71767</v>
      </c>
      <c r="G24" s="33">
        <v>125930</v>
      </c>
      <c r="H24" s="33">
        <v>145578</v>
      </c>
      <c r="I24" s="33">
        <v>162197.53200000001</v>
      </c>
      <c r="J24" s="34">
        <v>91628.760999999999</v>
      </c>
      <c r="K24" s="34">
        <v>167687.5171</v>
      </c>
      <c r="L24" s="34">
        <v>87334.839800000002</v>
      </c>
      <c r="M24" s="34">
        <v>78065.501999999993</v>
      </c>
      <c r="N24" s="34">
        <v>105885.18786000551</v>
      </c>
      <c r="O24" s="34">
        <v>124232.62566709734</v>
      </c>
      <c r="P24" s="34">
        <v>137979.32236061999</v>
      </c>
      <c r="Q24" s="9"/>
      <c r="R24" s="9"/>
      <c r="S24" s="9"/>
      <c r="T24" s="9"/>
      <c r="U24" s="8"/>
      <c r="V24" s="9"/>
      <c r="W24" s="9"/>
      <c r="X24" s="8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7"/>
      <c r="GI24" s="7"/>
      <c r="GJ24" s="7"/>
    </row>
    <row r="25" spans="1:193" ht="18" x14ac:dyDescent="0.25">
      <c r="A25" s="31">
        <v>7.5</v>
      </c>
      <c r="B25" s="32" t="s">
        <v>15</v>
      </c>
      <c r="C25" s="33">
        <v>338376</v>
      </c>
      <c r="D25" s="33">
        <v>305018</v>
      </c>
      <c r="E25" s="33">
        <v>391429</v>
      </c>
      <c r="F25" s="33">
        <v>357118</v>
      </c>
      <c r="G25" s="33">
        <v>439330</v>
      </c>
      <c r="H25" s="33">
        <v>436609</v>
      </c>
      <c r="I25" s="33">
        <v>457911.5895</v>
      </c>
      <c r="J25" s="34">
        <v>422199.83049999998</v>
      </c>
      <c r="K25" s="34">
        <v>448171.43449999997</v>
      </c>
      <c r="L25" s="34">
        <v>355622.4412</v>
      </c>
      <c r="M25" s="34">
        <v>450063.04680000001</v>
      </c>
      <c r="N25" s="34">
        <v>555366.48116528452</v>
      </c>
      <c r="O25" s="34">
        <v>598536.63537630439</v>
      </c>
      <c r="P25" s="34">
        <v>720578.02198689431</v>
      </c>
      <c r="Q25" s="9"/>
      <c r="R25" s="9"/>
      <c r="S25" s="9"/>
      <c r="T25" s="9"/>
      <c r="U25" s="8"/>
      <c r="V25" s="9"/>
      <c r="W25" s="9"/>
      <c r="X25" s="8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7"/>
      <c r="GI25" s="7"/>
      <c r="GJ25" s="7"/>
    </row>
    <row r="26" spans="1:193" ht="18" x14ac:dyDescent="0.25">
      <c r="A26" s="31">
        <v>7.6</v>
      </c>
      <c r="B26" s="32" t="s">
        <v>16</v>
      </c>
      <c r="C26" s="33">
        <v>43420</v>
      </c>
      <c r="D26" s="33">
        <v>48180</v>
      </c>
      <c r="E26" s="33">
        <v>53898</v>
      </c>
      <c r="F26" s="33">
        <v>58607</v>
      </c>
      <c r="G26" s="33">
        <v>64027</v>
      </c>
      <c r="H26" s="33">
        <v>68039</v>
      </c>
      <c r="I26" s="33">
        <v>74866</v>
      </c>
      <c r="J26" s="34">
        <v>214968</v>
      </c>
      <c r="K26" s="34">
        <v>222759</v>
      </c>
      <c r="L26" s="34">
        <v>230680</v>
      </c>
      <c r="M26" s="34">
        <v>253258</v>
      </c>
      <c r="N26" s="34">
        <v>285595.21905782219</v>
      </c>
      <c r="O26" s="34">
        <v>308448.79515221581</v>
      </c>
      <c r="P26" s="34">
        <v>331325.44189083722</v>
      </c>
      <c r="Q26" s="9"/>
      <c r="R26" s="9"/>
      <c r="S26" s="9"/>
      <c r="T26" s="9"/>
      <c r="U26" s="8"/>
      <c r="V26" s="9"/>
      <c r="W26" s="9"/>
      <c r="X26" s="8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7"/>
      <c r="GI26" s="7"/>
      <c r="GJ26" s="7"/>
    </row>
    <row r="27" spans="1:193" ht="36" x14ac:dyDescent="0.25">
      <c r="A27" s="31">
        <v>7.7</v>
      </c>
      <c r="B27" s="32" t="s">
        <v>17</v>
      </c>
      <c r="C27" s="33">
        <v>959464.43694864272</v>
      </c>
      <c r="D27" s="33">
        <v>1042683.7876823802</v>
      </c>
      <c r="E27" s="33">
        <v>1257435.6886760001</v>
      </c>
      <c r="F27" s="33">
        <v>1509905</v>
      </c>
      <c r="G27" s="33">
        <v>1741121</v>
      </c>
      <c r="H27" s="33">
        <v>1799946</v>
      </c>
      <c r="I27" s="33">
        <v>1758560</v>
      </c>
      <c r="J27" s="34">
        <v>1840383</v>
      </c>
      <c r="K27" s="34">
        <v>2090955</v>
      </c>
      <c r="L27" s="34">
        <v>2357327</v>
      </c>
      <c r="M27" s="34">
        <v>2795772.199381073</v>
      </c>
      <c r="N27" s="34">
        <v>3233361.8590507931</v>
      </c>
      <c r="O27" s="34">
        <v>3443586.6918531847</v>
      </c>
      <c r="P27" s="34">
        <v>3873608.6918531847</v>
      </c>
      <c r="Q27" s="9"/>
      <c r="R27" s="9"/>
      <c r="S27" s="9"/>
      <c r="T27" s="9"/>
      <c r="U27" s="8"/>
      <c r="V27" s="9"/>
      <c r="W27" s="9"/>
      <c r="X27" s="8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7"/>
      <c r="GI27" s="7"/>
      <c r="GJ27" s="7"/>
    </row>
    <row r="28" spans="1:193" ht="18" x14ac:dyDescent="0.25">
      <c r="A28" s="35" t="s">
        <v>65</v>
      </c>
      <c r="B28" s="32" t="s">
        <v>18</v>
      </c>
      <c r="C28" s="33">
        <v>3194965</v>
      </c>
      <c r="D28" s="33">
        <v>3530371</v>
      </c>
      <c r="E28" s="33">
        <v>3425157</v>
      </c>
      <c r="F28" s="33">
        <v>3714599</v>
      </c>
      <c r="G28" s="33">
        <v>4057449</v>
      </c>
      <c r="H28" s="33">
        <v>4216245</v>
      </c>
      <c r="I28" s="33">
        <v>4720909</v>
      </c>
      <c r="J28" s="34">
        <v>5116658</v>
      </c>
      <c r="K28" s="34">
        <v>5530136</v>
      </c>
      <c r="L28" s="34">
        <v>5852548</v>
      </c>
      <c r="M28" s="34">
        <v>6445166</v>
      </c>
      <c r="N28" s="34">
        <v>7511199</v>
      </c>
      <c r="O28" s="34">
        <v>8232274</v>
      </c>
      <c r="P28" s="34">
        <v>9030805</v>
      </c>
      <c r="Q28" s="9"/>
      <c r="R28" s="9"/>
      <c r="S28" s="9"/>
      <c r="T28" s="9"/>
      <c r="U28" s="8"/>
      <c r="V28" s="9"/>
      <c r="W28" s="9"/>
      <c r="X28" s="8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7"/>
      <c r="GI28" s="7"/>
      <c r="GJ28" s="7"/>
    </row>
    <row r="29" spans="1:193" ht="36" x14ac:dyDescent="0.25">
      <c r="A29" s="35" t="s">
        <v>66</v>
      </c>
      <c r="B29" s="32" t="s">
        <v>19</v>
      </c>
      <c r="C29" s="33">
        <v>5533296</v>
      </c>
      <c r="D29" s="33">
        <v>6500198</v>
      </c>
      <c r="E29" s="33">
        <v>7652871</v>
      </c>
      <c r="F29" s="33">
        <v>8805631</v>
      </c>
      <c r="G29" s="33">
        <v>9522443</v>
      </c>
      <c r="H29" s="33">
        <v>10672410</v>
      </c>
      <c r="I29" s="33">
        <v>11644591</v>
      </c>
      <c r="J29" s="34">
        <v>12748879</v>
      </c>
      <c r="K29" s="34">
        <v>13804475</v>
      </c>
      <c r="L29" s="34">
        <v>13589221.59985788</v>
      </c>
      <c r="M29" s="34">
        <v>15777491.881725367</v>
      </c>
      <c r="N29" s="34">
        <v>18440064.074401475</v>
      </c>
      <c r="O29" s="34">
        <v>20696157.118791081</v>
      </c>
      <c r="P29" s="34">
        <v>23156001.635387171</v>
      </c>
      <c r="Q29" s="9"/>
      <c r="R29" s="9"/>
      <c r="S29" s="9"/>
      <c r="T29" s="9"/>
      <c r="U29" s="8"/>
      <c r="V29" s="9"/>
      <c r="W29" s="9"/>
      <c r="X29" s="8"/>
      <c r="Y29" s="10"/>
      <c r="Z29" s="10"/>
      <c r="AA29" s="10"/>
      <c r="AB29" s="10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7"/>
      <c r="GI29" s="7"/>
      <c r="GJ29" s="7"/>
    </row>
    <row r="30" spans="1:193" ht="18" x14ac:dyDescent="0.25">
      <c r="A30" s="35" t="s">
        <v>67</v>
      </c>
      <c r="B30" s="32" t="s">
        <v>44</v>
      </c>
      <c r="C30" s="33">
        <v>2616084</v>
      </c>
      <c r="D30" s="33">
        <v>3133165</v>
      </c>
      <c r="E30" s="33">
        <v>3200042</v>
      </c>
      <c r="F30" s="33">
        <v>3370334</v>
      </c>
      <c r="G30" s="33">
        <v>3571669.29</v>
      </c>
      <c r="H30" s="33">
        <v>3982491</v>
      </c>
      <c r="I30" s="33">
        <v>4072573</v>
      </c>
      <c r="J30" s="34">
        <v>4741492</v>
      </c>
      <c r="K30" s="34">
        <v>5152025.1393949157</v>
      </c>
      <c r="L30" s="34">
        <v>5896094.2761317892</v>
      </c>
      <c r="M30" s="34">
        <v>6584977.1847452987</v>
      </c>
      <c r="N30" s="34">
        <v>6800985.2000000002</v>
      </c>
      <c r="O30" s="34">
        <v>7467691.1940181041</v>
      </c>
      <c r="P30" s="34">
        <v>8162751.1926654857</v>
      </c>
      <c r="Q30" s="9"/>
      <c r="R30" s="9"/>
      <c r="S30" s="9"/>
      <c r="T30" s="9"/>
      <c r="U30" s="8"/>
      <c r="V30" s="9"/>
      <c r="W30" s="9"/>
      <c r="X30" s="8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7"/>
      <c r="GI30" s="7"/>
      <c r="GJ30" s="7"/>
    </row>
    <row r="31" spans="1:193" ht="18" x14ac:dyDescent="0.25">
      <c r="A31" s="35" t="s">
        <v>68</v>
      </c>
      <c r="B31" s="32" t="s">
        <v>20</v>
      </c>
      <c r="C31" s="33">
        <v>3242995.19</v>
      </c>
      <c r="D31" s="33">
        <v>3755560.63</v>
      </c>
      <c r="E31" s="33">
        <v>4467392.8099999996</v>
      </c>
      <c r="F31" s="33">
        <v>5239480.3000000007</v>
      </c>
      <c r="G31" s="33">
        <v>5922009.3800000008</v>
      </c>
      <c r="H31" s="33">
        <v>7020389</v>
      </c>
      <c r="I31" s="33">
        <v>8125351</v>
      </c>
      <c r="J31" s="34">
        <v>9079398.964791311</v>
      </c>
      <c r="K31" s="34">
        <v>10845013.4</v>
      </c>
      <c r="L31" s="34">
        <v>9814949</v>
      </c>
      <c r="M31" s="34">
        <v>11556891</v>
      </c>
      <c r="N31" s="34">
        <v>13163408.699999999</v>
      </c>
      <c r="O31" s="34">
        <v>15392317.439888032</v>
      </c>
      <c r="P31" s="34">
        <v>17825075.006969668</v>
      </c>
      <c r="Q31" s="9"/>
      <c r="R31" s="9"/>
      <c r="S31" s="9"/>
      <c r="T31" s="9"/>
      <c r="U31" s="8"/>
      <c r="V31" s="9"/>
      <c r="W31" s="9"/>
      <c r="X31" s="8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7"/>
      <c r="GI31" s="7"/>
      <c r="GJ31" s="7"/>
    </row>
    <row r="32" spans="1:193" s="18" customFormat="1" ht="18.75" x14ac:dyDescent="0.25">
      <c r="A32" s="36"/>
      <c r="B32" s="37" t="s">
        <v>30</v>
      </c>
      <c r="C32" s="38">
        <f>C17+C20+C28+C29+C30+C31</f>
        <v>24885033.574886218</v>
      </c>
      <c r="D32" s="38">
        <f t="shared" ref="D32:E32" si="17">D17+D20+D28+D29+D30+D31</f>
        <v>28700532.624523941</v>
      </c>
      <c r="E32" s="38">
        <f t="shared" si="17"/>
        <v>32680663.498675998</v>
      </c>
      <c r="F32" s="38">
        <f t="shared" ref="F32:I32" si="18">F17+F20+F28+F29+F30+F31</f>
        <v>36557930.299999997</v>
      </c>
      <c r="G32" s="38">
        <f t="shared" si="18"/>
        <v>40275943.670000002</v>
      </c>
      <c r="H32" s="38">
        <f t="shared" si="18"/>
        <v>44350743</v>
      </c>
      <c r="I32" s="38">
        <f t="shared" si="18"/>
        <v>49261351.691500001</v>
      </c>
      <c r="J32" s="38">
        <f t="shared" ref="J32:K32" si="19">J17+J20+J28+J29+J30+J31</f>
        <v>55222559.210791312</v>
      </c>
      <c r="K32" s="38">
        <f t="shared" si="19"/>
        <v>61538331.288494915</v>
      </c>
      <c r="L32" s="38">
        <f t="shared" ref="L32" si="20">L17+L20+L28+L29+L30+L31</f>
        <v>57267561.292189665</v>
      </c>
      <c r="M32" s="38">
        <f t="shared" ref="M32:N32" si="21">M17+M20+M28+M29+M30+M31</f>
        <v>68239640.305651739</v>
      </c>
      <c r="N32" s="38">
        <f t="shared" si="21"/>
        <v>79301407.067191571</v>
      </c>
      <c r="O32" s="38">
        <f t="shared" ref="O32:P32" si="22">O17+O20+O28+O29+O30+O31</f>
        <v>89023184.548512369</v>
      </c>
      <c r="P32" s="38">
        <f t="shared" si="22"/>
        <v>100169952.42420766</v>
      </c>
      <c r="Q32" s="9"/>
      <c r="R32" s="9"/>
      <c r="S32" s="9"/>
      <c r="T32" s="9"/>
      <c r="U32" s="8"/>
      <c r="V32" s="9"/>
      <c r="W32" s="9"/>
      <c r="X32" s="8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6"/>
      <c r="GI32" s="16"/>
      <c r="GJ32" s="16"/>
    </row>
    <row r="33" spans="1:193" s="16" customFormat="1" ht="18" x14ac:dyDescent="0.25">
      <c r="A33" s="28" t="s">
        <v>27</v>
      </c>
      <c r="B33" s="42" t="s">
        <v>31</v>
      </c>
      <c r="C33" s="30">
        <f>C6+C11+C13+C14+C15+C17+C20+C28+C29+C30+C31</f>
        <v>49846983.541790925</v>
      </c>
      <c r="D33" s="30">
        <f>D6+D11+D13+D14+D15+D17+D20+D28+D29+D30+D31</f>
        <v>56611163.914345272</v>
      </c>
      <c r="E33" s="30">
        <f>E6+E11+E13+E14+E15+E17+E20+E28+E29+E30+E31</f>
        <v>64308808.027951851</v>
      </c>
      <c r="F33" s="30">
        <f>F6+F11+F13+F14+F15+F17+F20+F28+F29+F30+F31</f>
        <v>67880032.876747832</v>
      </c>
      <c r="G33" s="30">
        <f t="shared" ref="G33:I33" si="23">G6+G11+G13+G14+G15+G17+G20+G28+G29+G30+G31</f>
        <v>75016316.860675052</v>
      </c>
      <c r="H33" s="30">
        <f t="shared" si="23"/>
        <v>81933988.981607139</v>
      </c>
      <c r="I33" s="30">
        <f t="shared" si="23"/>
        <v>91360840.939016253</v>
      </c>
      <c r="J33" s="30">
        <f t="shared" ref="J33:K33" si="24">J6+J11+J13+J14+J15+J17+J20+J28+J29+J30+J31</f>
        <v>102668289.56431921</v>
      </c>
      <c r="K33" s="30">
        <f t="shared" si="24"/>
        <v>110267179.20320348</v>
      </c>
      <c r="L33" s="30">
        <f t="shared" ref="L33" si="25">L6+L11+L13+L14+L15+L17+L20+L28+L29+L30+L31</f>
        <v>107575114.0712956</v>
      </c>
      <c r="M33" s="30">
        <f t="shared" ref="M33:N33" si="26">M6+M11+M13+M14+M15+M17+M20+M28+M29+M30+M31</f>
        <v>126422986.16531891</v>
      </c>
      <c r="N33" s="30">
        <f t="shared" si="26"/>
        <v>142985136.53753215</v>
      </c>
      <c r="O33" s="30">
        <f t="shared" ref="O33:P33" si="27">O6+O11+O13+O14+O15+O17+O20+O28+O29+O30+O31</f>
        <v>156035770.35256878</v>
      </c>
      <c r="P33" s="30">
        <f t="shared" si="27"/>
        <v>171902427.37715334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K33" s="18"/>
    </row>
    <row r="34" spans="1:193" ht="18" x14ac:dyDescent="0.25">
      <c r="A34" s="43" t="s">
        <v>33</v>
      </c>
      <c r="B34" s="44" t="s">
        <v>25</v>
      </c>
      <c r="C34" s="33">
        <v>3918617</v>
      </c>
      <c r="D34" s="33">
        <v>4763581</v>
      </c>
      <c r="E34" s="33">
        <v>5375149</v>
      </c>
      <c r="F34" s="33">
        <v>5876464</v>
      </c>
      <c r="G34" s="33">
        <v>6762725</v>
      </c>
      <c r="H34" s="33">
        <v>7551392</v>
      </c>
      <c r="I34" s="33">
        <v>8338880</v>
      </c>
      <c r="J34" s="34">
        <v>10183996</v>
      </c>
      <c r="K34" s="34">
        <v>9793610</v>
      </c>
      <c r="L34" s="34">
        <v>10531911</v>
      </c>
      <c r="M34" s="34">
        <v>12337839</v>
      </c>
      <c r="N34" s="34">
        <v>14153763</v>
      </c>
      <c r="O34" s="34">
        <v>15810238.700417064</v>
      </c>
      <c r="P34" s="34">
        <v>17660578.86967342</v>
      </c>
      <c r="Q34" s="9"/>
      <c r="R34" s="9"/>
      <c r="S34" s="9"/>
      <c r="T34" s="9"/>
      <c r="U34" s="8"/>
      <c r="V34" s="9"/>
      <c r="W34" s="9"/>
      <c r="X34" s="8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</row>
    <row r="35" spans="1:193" ht="18" x14ac:dyDescent="0.25">
      <c r="A35" s="43" t="s">
        <v>34</v>
      </c>
      <c r="B35" s="44" t="s">
        <v>24</v>
      </c>
      <c r="C35" s="33">
        <v>1717096</v>
      </c>
      <c r="D35" s="33">
        <v>2228275</v>
      </c>
      <c r="E35" s="33">
        <v>1999083</v>
      </c>
      <c r="F35" s="33">
        <v>1948334</v>
      </c>
      <c r="G35" s="33">
        <v>2049047</v>
      </c>
      <c r="H35" s="33">
        <v>2232658</v>
      </c>
      <c r="I35" s="33">
        <v>2229716</v>
      </c>
      <c r="J35" s="34">
        <v>2646920</v>
      </c>
      <c r="K35" s="34">
        <v>2148043</v>
      </c>
      <c r="L35" s="34">
        <v>3927256</v>
      </c>
      <c r="M35" s="34">
        <v>4757802</v>
      </c>
      <c r="N35" s="34">
        <v>5582450</v>
      </c>
      <c r="O35" s="34">
        <v>6708636.1482200343</v>
      </c>
      <c r="P35" s="34">
        <v>8062015.5969519727</v>
      </c>
      <c r="Q35" s="9"/>
      <c r="R35" s="9"/>
      <c r="S35" s="9"/>
      <c r="T35" s="9"/>
      <c r="U35" s="8"/>
      <c r="V35" s="9"/>
      <c r="W35" s="9"/>
      <c r="X35" s="8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</row>
    <row r="36" spans="1:193" s="18" customFormat="1" ht="18" x14ac:dyDescent="0.25">
      <c r="A36" s="45" t="s">
        <v>35</v>
      </c>
      <c r="B36" s="46" t="s">
        <v>45</v>
      </c>
      <c r="C36" s="38">
        <f>C33+C34-C35</f>
        <v>52048504.541790925</v>
      </c>
      <c r="D36" s="38">
        <f t="shared" ref="D36:E36" si="28">D33+D34-D35</f>
        <v>59146469.914345272</v>
      </c>
      <c r="E36" s="38">
        <f t="shared" si="28"/>
        <v>67684874.027951851</v>
      </c>
      <c r="F36" s="38">
        <f t="shared" ref="F36:N36" si="29">F33+F34-F35</f>
        <v>71808162.876747832</v>
      </c>
      <c r="G36" s="38">
        <f t="shared" si="29"/>
        <v>79729994.860675052</v>
      </c>
      <c r="H36" s="38">
        <f t="shared" si="29"/>
        <v>87252722.981607139</v>
      </c>
      <c r="I36" s="38">
        <f t="shared" si="29"/>
        <v>97470004.939016253</v>
      </c>
      <c r="J36" s="38">
        <f t="shared" si="29"/>
        <v>110205365.56431921</v>
      </c>
      <c r="K36" s="38">
        <f t="shared" si="29"/>
        <v>117912746.20320348</v>
      </c>
      <c r="L36" s="38">
        <f t="shared" si="29"/>
        <v>114179769.0712956</v>
      </c>
      <c r="M36" s="38">
        <f t="shared" si="29"/>
        <v>134003023.16531891</v>
      </c>
      <c r="N36" s="38">
        <f t="shared" si="29"/>
        <v>151556449.53753215</v>
      </c>
      <c r="O36" s="38">
        <f t="shared" ref="O36:P36" si="30">O33+O34-O35</f>
        <v>165137372.90476581</v>
      </c>
      <c r="P36" s="38">
        <f t="shared" si="30"/>
        <v>181500990.64987481</v>
      </c>
      <c r="Q36" s="9"/>
      <c r="R36" s="9"/>
      <c r="S36" s="9"/>
      <c r="T36" s="9"/>
      <c r="U36" s="8"/>
      <c r="V36" s="9"/>
      <c r="W36" s="9"/>
      <c r="X36" s="8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</row>
    <row r="37" spans="1:193" ht="18" x14ac:dyDescent="0.25">
      <c r="A37" s="43" t="s">
        <v>36</v>
      </c>
      <c r="B37" s="44" t="s">
        <v>32</v>
      </c>
      <c r="C37" s="33">
        <v>918070</v>
      </c>
      <c r="D37" s="33">
        <v>927260</v>
      </c>
      <c r="E37" s="33">
        <v>936530</v>
      </c>
      <c r="F37" s="33">
        <v>945890</v>
      </c>
      <c r="G37" s="33">
        <v>955350</v>
      </c>
      <c r="H37" s="33">
        <v>964910</v>
      </c>
      <c r="I37" s="33">
        <v>974560</v>
      </c>
      <c r="J37" s="34">
        <v>966530</v>
      </c>
      <c r="K37" s="34">
        <v>972620</v>
      </c>
      <c r="L37" s="34">
        <v>978710</v>
      </c>
      <c r="M37" s="34">
        <v>984040</v>
      </c>
      <c r="N37" s="34">
        <v>988840</v>
      </c>
      <c r="O37" s="34">
        <v>993630</v>
      </c>
      <c r="P37" s="34">
        <v>998430</v>
      </c>
      <c r="Y37" s="7"/>
      <c r="Z37" s="7"/>
      <c r="AA37" s="7"/>
      <c r="AB37" s="7"/>
    </row>
    <row r="38" spans="1:193" s="18" customFormat="1" ht="18" x14ac:dyDescent="0.25">
      <c r="A38" s="45" t="s">
        <v>37</v>
      </c>
      <c r="B38" s="46" t="s">
        <v>48</v>
      </c>
      <c r="C38" s="38">
        <f>C36/C37*1000</f>
        <v>56693.394340073115</v>
      </c>
      <c r="D38" s="38">
        <f t="shared" ref="D38:E38" si="31">D36/D37*1000</f>
        <v>63786.284229175501</v>
      </c>
      <c r="E38" s="38">
        <f t="shared" si="31"/>
        <v>72271.976368030766</v>
      </c>
      <c r="F38" s="38">
        <f t="shared" ref="F38:N38" si="32">F36/F37*1000</f>
        <v>75915.976357449428</v>
      </c>
      <c r="G38" s="38">
        <f t="shared" si="32"/>
        <v>83456.319527581567</v>
      </c>
      <c r="H38" s="38">
        <f t="shared" si="32"/>
        <v>90425.763005469053</v>
      </c>
      <c r="I38" s="38">
        <f t="shared" si="32"/>
        <v>100014.37052517674</v>
      </c>
      <c r="J38" s="38">
        <f t="shared" si="32"/>
        <v>114021.67088897314</v>
      </c>
      <c r="K38" s="38">
        <f t="shared" si="32"/>
        <v>121232.08056918785</v>
      </c>
      <c r="L38" s="38">
        <f t="shared" si="32"/>
        <v>116663.53574735683</v>
      </c>
      <c r="M38" s="38">
        <f t="shared" si="32"/>
        <v>136176.39848514175</v>
      </c>
      <c r="N38" s="38">
        <f t="shared" si="32"/>
        <v>153266.90823341711</v>
      </c>
      <c r="O38" s="38">
        <f t="shared" ref="O38:P38" si="33">O36/O37*1000</f>
        <v>166196.04169033322</v>
      </c>
      <c r="P38" s="38">
        <f t="shared" si="33"/>
        <v>181786.39529048087</v>
      </c>
      <c r="Q38" s="6"/>
      <c r="R38" s="6"/>
      <c r="S38" s="6"/>
      <c r="T38" s="6"/>
      <c r="U38" s="7"/>
      <c r="V38" s="6"/>
      <c r="W38" s="6"/>
      <c r="X38" s="8"/>
      <c r="Y38" s="8"/>
      <c r="Z38" s="8"/>
      <c r="AA38" s="8"/>
      <c r="AB38" s="8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CC38" s="19"/>
      <c r="CD38" s="19"/>
      <c r="CE38" s="19"/>
      <c r="CF38" s="19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</row>
    <row r="39" spans="1:193" ht="18" x14ac:dyDescent="0.25">
      <c r="A39" s="11" t="s">
        <v>75</v>
      </c>
      <c r="B39" s="11"/>
      <c r="C39" s="11"/>
      <c r="D39" s="11"/>
      <c r="E39" s="11"/>
      <c r="F39" s="11"/>
      <c r="G39" s="11"/>
      <c r="H39" s="11"/>
      <c r="I39" s="11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  <ignoredErrors>
    <ignoredError sqref="C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53" zoomScaleNormal="53" zoomScaleSheetLayoutView="100" workbookViewId="0">
      <pane xSplit="2" ySplit="5" topLeftCell="C6" activePane="bottomRight" state="frozen"/>
      <selection activeCell="W21" sqref="W21"/>
      <selection pane="topRight" activeCell="W21" sqref="W21"/>
      <selection pane="bottomLeft" activeCell="W21" sqref="W21"/>
      <selection pane="bottomRight" activeCell="W21" sqref="W21"/>
    </sheetView>
  </sheetViews>
  <sheetFormatPr defaultColWidth="8.85546875" defaultRowHeight="18" x14ac:dyDescent="0.25"/>
  <cols>
    <col min="1" max="1" width="11" style="11" customWidth="1"/>
    <col min="2" max="2" width="36.140625" style="11" customWidth="1"/>
    <col min="3" max="9" width="18.5703125" style="11" customWidth="1"/>
    <col min="10" max="16" width="18.5703125" style="1" customWidth="1"/>
    <col min="17" max="17" width="11.7109375" style="1" customWidth="1"/>
    <col min="18" max="18" width="9.140625" style="2" customWidth="1"/>
    <col min="19" max="19" width="10.85546875" style="2" customWidth="1"/>
    <col min="20" max="20" width="10.85546875" style="1" customWidth="1"/>
    <col min="21" max="21" width="11" style="2" customWidth="1"/>
    <col min="22" max="24" width="11.42578125" style="2" customWidth="1"/>
    <col min="25" max="52" width="9.140625" style="2" customWidth="1"/>
    <col min="53" max="53" width="12.42578125" style="2" customWidth="1"/>
    <col min="54" max="75" width="9.140625" style="2" customWidth="1"/>
    <col min="76" max="76" width="12.140625" style="2" customWidth="1"/>
    <col min="77" max="80" width="9.140625" style="2" customWidth="1"/>
    <col min="81" max="85" width="9.140625" style="2" hidden="1" customWidth="1"/>
    <col min="86" max="86" width="9.140625" style="2" customWidth="1"/>
    <col min="87" max="91" width="9.140625" style="2" hidden="1" customWidth="1"/>
    <col min="92" max="92" width="9.140625" style="2" customWidth="1"/>
    <col min="93" max="97" width="9.140625" style="2" hidden="1" customWidth="1"/>
    <col min="98" max="98" width="9.140625" style="2" customWidth="1"/>
    <col min="99" max="103" width="9.140625" style="2" hidden="1" customWidth="1"/>
    <col min="104" max="104" width="9.140625" style="2" customWidth="1"/>
    <col min="105" max="109" width="9.140625" style="2" hidden="1" customWidth="1"/>
    <col min="110" max="110" width="9.140625" style="1" customWidth="1"/>
    <col min="111" max="115" width="9.140625" style="1" hidden="1" customWidth="1"/>
    <col min="116" max="116" width="9.140625" style="1" customWidth="1"/>
    <col min="117" max="121" width="9.140625" style="1" hidden="1" customWidth="1"/>
    <col min="122" max="122" width="9.140625" style="1" customWidth="1"/>
    <col min="123" max="127" width="9.140625" style="1" hidden="1" customWidth="1"/>
    <col min="128" max="128" width="9.140625" style="1" customWidth="1"/>
    <col min="129" max="158" width="9.140625" style="2" customWidth="1"/>
    <col min="159" max="159" width="9.140625" style="2" hidden="1" customWidth="1"/>
    <col min="160" max="167" width="9.140625" style="2" customWidth="1"/>
    <col min="168" max="168" width="9.140625" style="2" hidden="1" customWidth="1"/>
    <col min="169" max="173" width="9.140625" style="2" customWidth="1"/>
    <col min="174" max="174" width="9.140625" style="2" hidden="1" customWidth="1"/>
    <col min="175" max="184" width="9.140625" style="2" customWidth="1"/>
    <col min="185" max="185" width="9.140625" style="2"/>
    <col min="186" max="188" width="8.85546875" style="2"/>
    <col min="189" max="189" width="12.7109375" style="2" bestFit="1" customWidth="1"/>
    <col min="190" max="16384" width="8.85546875" style="2"/>
  </cols>
  <sheetData>
    <row r="1" spans="1:189" x14ac:dyDescent="0.25">
      <c r="A1" s="11" t="s">
        <v>43</v>
      </c>
      <c r="B1" s="13" t="s">
        <v>56</v>
      </c>
      <c r="S1" s="3"/>
    </row>
    <row r="2" spans="1:189" x14ac:dyDescent="0.25">
      <c r="A2" s="14" t="s">
        <v>39</v>
      </c>
      <c r="I2" s="11" t="str">
        <f>[1]GSVA_cur!$I$3</f>
        <v>01.08.2025</v>
      </c>
    </row>
    <row r="3" spans="1:189" x14ac:dyDescent="0.25">
      <c r="A3" s="14"/>
    </row>
    <row r="4" spans="1:189" x14ac:dyDescent="0.25">
      <c r="A4" s="14"/>
      <c r="E4" s="15"/>
      <c r="F4" s="15" t="s">
        <v>47</v>
      </c>
      <c r="G4" s="15"/>
      <c r="H4" s="15"/>
      <c r="I4" s="15"/>
    </row>
    <row r="5" spans="1:189" ht="18.75" x14ac:dyDescent="0.3">
      <c r="A5" s="24" t="s">
        <v>0</v>
      </c>
      <c r="B5" s="25" t="s">
        <v>1</v>
      </c>
      <c r="C5" s="26" t="s">
        <v>21</v>
      </c>
      <c r="D5" s="26" t="s">
        <v>22</v>
      </c>
      <c r="E5" s="26" t="s">
        <v>23</v>
      </c>
      <c r="F5" s="26" t="s">
        <v>46</v>
      </c>
      <c r="G5" s="26" t="s">
        <v>55</v>
      </c>
      <c r="H5" s="26" t="s">
        <v>57</v>
      </c>
      <c r="I5" s="26" t="s">
        <v>58</v>
      </c>
      <c r="J5" s="51" t="s">
        <v>69</v>
      </c>
      <c r="K5" s="51" t="s">
        <v>70</v>
      </c>
      <c r="L5" s="51" t="s">
        <v>71</v>
      </c>
      <c r="M5" s="51" t="s">
        <v>72</v>
      </c>
      <c r="N5" s="51" t="s">
        <v>73</v>
      </c>
      <c r="O5" s="51" t="s">
        <v>74</v>
      </c>
      <c r="P5" s="51" t="s">
        <v>76</v>
      </c>
    </row>
    <row r="6" spans="1:189" s="22" customFormat="1" ht="36" x14ac:dyDescent="0.25">
      <c r="A6" s="28" t="s">
        <v>26</v>
      </c>
      <c r="B6" s="29" t="s">
        <v>2</v>
      </c>
      <c r="C6" s="30">
        <f>SUM(C7:C10)</f>
        <v>11710585</v>
      </c>
      <c r="D6" s="30">
        <f t="shared" ref="D6:F6" si="0">SUM(D7:D10)</f>
        <v>12156539</v>
      </c>
      <c r="E6" s="30">
        <f t="shared" si="0"/>
        <v>12150254</v>
      </c>
      <c r="F6" s="30">
        <f t="shared" si="0"/>
        <v>12694116</v>
      </c>
      <c r="G6" s="30">
        <f t="shared" ref="G6:N6" si="1">SUM(G7:G10)</f>
        <v>12766739</v>
      </c>
      <c r="H6" s="30">
        <f t="shared" si="1"/>
        <v>13237639</v>
      </c>
      <c r="I6" s="30">
        <f t="shared" si="1"/>
        <v>13866885</v>
      </c>
      <c r="J6" s="30">
        <f t="shared" si="1"/>
        <v>14060902.665603254</v>
      </c>
      <c r="K6" s="30">
        <f t="shared" si="1"/>
        <v>14355063.46141107</v>
      </c>
      <c r="L6" s="30">
        <f t="shared" si="1"/>
        <v>14593354.17656626</v>
      </c>
      <c r="M6" s="30">
        <f t="shared" si="1"/>
        <v>14995011.369464355</v>
      </c>
      <c r="N6" s="30">
        <f t="shared" si="1"/>
        <v>16007119.894692838</v>
      </c>
      <c r="O6" s="30">
        <f t="shared" ref="O6:P6" si="2">SUM(O7:O10)</f>
        <v>16606382.846190155</v>
      </c>
      <c r="P6" s="30">
        <f t="shared" si="2"/>
        <v>17309946.674403347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G6" s="20"/>
    </row>
    <row r="7" spans="1:189" ht="18.75" x14ac:dyDescent="0.3">
      <c r="A7" s="31">
        <v>1.1000000000000001</v>
      </c>
      <c r="B7" s="32" t="s">
        <v>49</v>
      </c>
      <c r="C7" s="49">
        <v>7245329</v>
      </c>
      <c r="D7" s="49">
        <v>7539404</v>
      </c>
      <c r="E7" s="49">
        <v>7401140</v>
      </c>
      <c r="F7" s="49">
        <v>7914584</v>
      </c>
      <c r="G7" s="49">
        <v>7858815</v>
      </c>
      <c r="H7" s="49">
        <v>8055480</v>
      </c>
      <c r="I7" s="49">
        <v>8470069</v>
      </c>
      <c r="J7" s="50">
        <v>8459380.665603254</v>
      </c>
      <c r="K7" s="50">
        <v>8431371.4614110701</v>
      </c>
      <c r="L7" s="50">
        <v>8432731.1765662599</v>
      </c>
      <c r="M7" s="49">
        <v>8546172.0411677584</v>
      </c>
      <c r="N7" s="50">
        <v>8681437.2445383593</v>
      </c>
      <c r="O7" s="50">
        <v>8654706.7630024645</v>
      </c>
      <c r="P7" s="50">
        <v>8705646.9983724207</v>
      </c>
      <c r="Q7" s="3"/>
      <c r="R7" s="4"/>
      <c r="S7" s="4"/>
      <c r="T7" s="3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1"/>
      <c r="GE7" s="1"/>
      <c r="GF7" s="1"/>
    </row>
    <row r="8" spans="1:189" ht="18.75" x14ac:dyDescent="0.3">
      <c r="A8" s="31">
        <v>1.2</v>
      </c>
      <c r="B8" s="32" t="s">
        <v>50</v>
      </c>
      <c r="C8" s="49">
        <v>2231476</v>
      </c>
      <c r="D8" s="49">
        <v>2360756</v>
      </c>
      <c r="E8" s="49">
        <v>2404819</v>
      </c>
      <c r="F8" s="49">
        <v>2424088</v>
      </c>
      <c r="G8" s="49">
        <v>2488895</v>
      </c>
      <c r="H8" s="49">
        <v>2610427</v>
      </c>
      <c r="I8" s="49">
        <v>2848951</v>
      </c>
      <c r="J8" s="50">
        <v>2907580</v>
      </c>
      <c r="K8" s="50">
        <v>3169156</v>
      </c>
      <c r="L8" s="50">
        <v>3365208</v>
      </c>
      <c r="M8" s="49">
        <v>3562835.3282965962</v>
      </c>
      <c r="N8" s="50">
        <v>4196729.6501544779</v>
      </c>
      <c r="O8" s="50">
        <v>4763278.0831876909</v>
      </c>
      <c r="P8" s="50">
        <v>5272458.6760309245</v>
      </c>
      <c r="Q8" s="3"/>
      <c r="R8" s="4"/>
      <c r="S8" s="4"/>
      <c r="T8" s="3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1"/>
      <c r="GE8" s="1"/>
      <c r="GF8" s="1"/>
    </row>
    <row r="9" spans="1:189" ht="18.75" x14ac:dyDescent="0.3">
      <c r="A9" s="31">
        <v>1.3</v>
      </c>
      <c r="B9" s="32" t="s">
        <v>51</v>
      </c>
      <c r="C9" s="49">
        <v>513174</v>
      </c>
      <c r="D9" s="49">
        <v>509735</v>
      </c>
      <c r="E9" s="49">
        <v>512274</v>
      </c>
      <c r="F9" s="49">
        <v>479954</v>
      </c>
      <c r="G9" s="49">
        <v>475315</v>
      </c>
      <c r="H9" s="49">
        <v>602477</v>
      </c>
      <c r="I9" s="49">
        <v>527630</v>
      </c>
      <c r="J9" s="50">
        <v>577580</v>
      </c>
      <c r="K9" s="50">
        <v>623289</v>
      </c>
      <c r="L9" s="50">
        <v>659976</v>
      </c>
      <c r="M9" s="49">
        <v>669104</v>
      </c>
      <c r="N9" s="50">
        <v>673754</v>
      </c>
      <c r="O9" s="50">
        <v>689509</v>
      </c>
      <c r="P9" s="50">
        <v>702072</v>
      </c>
      <c r="Q9" s="3"/>
      <c r="R9" s="4"/>
      <c r="S9" s="4"/>
      <c r="T9" s="3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1"/>
      <c r="GE9" s="1"/>
      <c r="GF9" s="1"/>
    </row>
    <row r="10" spans="1:189" ht="18.75" x14ac:dyDescent="0.3">
      <c r="A10" s="31">
        <v>1.4</v>
      </c>
      <c r="B10" s="32" t="s">
        <v>52</v>
      </c>
      <c r="C10" s="49">
        <v>1720606</v>
      </c>
      <c r="D10" s="49">
        <v>1746644</v>
      </c>
      <c r="E10" s="49">
        <v>1832021</v>
      </c>
      <c r="F10" s="49">
        <v>1875490</v>
      </c>
      <c r="G10" s="49">
        <v>1943714</v>
      </c>
      <c r="H10" s="49">
        <v>1969255</v>
      </c>
      <c r="I10" s="49">
        <v>2020235</v>
      </c>
      <c r="J10" s="50">
        <v>2116362</v>
      </c>
      <c r="K10" s="50">
        <v>2131247</v>
      </c>
      <c r="L10" s="50">
        <v>2135439</v>
      </c>
      <c r="M10" s="49">
        <v>2216900</v>
      </c>
      <c r="N10" s="50">
        <v>2455199</v>
      </c>
      <c r="O10" s="50">
        <v>2498889</v>
      </c>
      <c r="P10" s="50">
        <v>2629769</v>
      </c>
      <c r="Q10" s="3"/>
      <c r="R10" s="4"/>
      <c r="S10" s="4"/>
      <c r="T10" s="3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1"/>
      <c r="GE10" s="1"/>
      <c r="GF10" s="1"/>
    </row>
    <row r="11" spans="1:189" ht="50.25" customHeight="1" x14ac:dyDescent="0.3">
      <c r="A11" s="35" t="s">
        <v>59</v>
      </c>
      <c r="B11" s="32" t="s">
        <v>3</v>
      </c>
      <c r="C11" s="49">
        <v>726138</v>
      </c>
      <c r="D11" s="49">
        <v>796605</v>
      </c>
      <c r="E11" s="49">
        <v>678380</v>
      </c>
      <c r="F11" s="49">
        <v>791404</v>
      </c>
      <c r="G11" s="49">
        <v>770110</v>
      </c>
      <c r="H11" s="49">
        <v>725055</v>
      </c>
      <c r="I11" s="49">
        <v>813678</v>
      </c>
      <c r="J11" s="50">
        <v>973312</v>
      </c>
      <c r="K11" s="50">
        <v>980159</v>
      </c>
      <c r="L11" s="50">
        <v>753488</v>
      </c>
      <c r="M11" s="49">
        <v>818736</v>
      </c>
      <c r="N11" s="50">
        <v>1143214</v>
      </c>
      <c r="O11" s="50">
        <v>1295089.6283636363</v>
      </c>
      <c r="P11" s="50">
        <v>1292947.6836363636</v>
      </c>
      <c r="Q11" s="3"/>
      <c r="R11" s="4"/>
      <c r="S11" s="4"/>
      <c r="T11" s="3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1"/>
      <c r="GE11" s="1"/>
      <c r="GF11" s="1"/>
    </row>
    <row r="12" spans="1:189" s="20" customFormat="1" ht="45" customHeight="1" x14ac:dyDescent="0.25">
      <c r="A12" s="36"/>
      <c r="B12" s="37" t="s">
        <v>28</v>
      </c>
      <c r="C12" s="38">
        <f>C6+C11</f>
        <v>12436723</v>
      </c>
      <c r="D12" s="38">
        <f t="shared" ref="D12:F12" si="3">D6+D11</f>
        <v>12953144</v>
      </c>
      <c r="E12" s="38">
        <f t="shared" si="3"/>
        <v>12828634</v>
      </c>
      <c r="F12" s="38">
        <f t="shared" si="3"/>
        <v>13485520</v>
      </c>
      <c r="G12" s="38">
        <f t="shared" ref="G12:N12" si="4">G6+G11</f>
        <v>13536849</v>
      </c>
      <c r="H12" s="38">
        <f t="shared" si="4"/>
        <v>13962694</v>
      </c>
      <c r="I12" s="38">
        <f t="shared" si="4"/>
        <v>14680563</v>
      </c>
      <c r="J12" s="38">
        <f t="shared" si="4"/>
        <v>15034214.665603254</v>
      </c>
      <c r="K12" s="38">
        <f t="shared" si="4"/>
        <v>15335222.46141107</v>
      </c>
      <c r="L12" s="38">
        <f t="shared" si="4"/>
        <v>15346842.17656626</v>
      </c>
      <c r="M12" s="38">
        <f t="shared" si="4"/>
        <v>15813747.369464355</v>
      </c>
      <c r="N12" s="38">
        <f t="shared" si="4"/>
        <v>17150333.894692838</v>
      </c>
      <c r="O12" s="38">
        <f t="shared" ref="O12:P12" si="5">O6+O11</f>
        <v>17901472.47455379</v>
      </c>
      <c r="P12" s="38">
        <f t="shared" si="5"/>
        <v>18602894.358039711</v>
      </c>
      <c r="Q12" s="3"/>
      <c r="R12" s="4"/>
      <c r="S12" s="4"/>
      <c r="T12" s="3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2"/>
      <c r="GE12" s="22"/>
      <c r="GF12" s="22"/>
    </row>
    <row r="13" spans="1:189" s="1" customFormat="1" ht="27" customHeight="1" x14ac:dyDescent="0.3">
      <c r="A13" s="39" t="s">
        <v>60</v>
      </c>
      <c r="B13" s="40" t="s">
        <v>4</v>
      </c>
      <c r="C13" s="50">
        <v>6952408.5369047113</v>
      </c>
      <c r="D13" s="50">
        <v>6969504.8640278466</v>
      </c>
      <c r="E13" s="50">
        <v>6994456.6260606898</v>
      </c>
      <c r="F13" s="50">
        <v>6423027.2650609929</v>
      </c>
      <c r="G13" s="50">
        <v>7805565.4200321045</v>
      </c>
      <c r="H13" s="50">
        <v>9089555.2356084753</v>
      </c>
      <c r="I13" s="50">
        <v>10135979.182899171</v>
      </c>
      <c r="J13" s="50">
        <v>11917620.461183833</v>
      </c>
      <c r="K13" s="50">
        <v>11747316.336589957</v>
      </c>
      <c r="L13" s="50">
        <v>12434090.779697351</v>
      </c>
      <c r="M13" s="50">
        <v>13760712.891542481</v>
      </c>
      <c r="N13" s="50">
        <v>13447930.694647275</v>
      </c>
      <c r="O13" s="50">
        <v>14430170.244264936</v>
      </c>
      <c r="P13" s="50">
        <v>15247513.65799222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G13" s="2"/>
    </row>
    <row r="14" spans="1:189" ht="27" customHeight="1" x14ac:dyDescent="0.3">
      <c r="A14" s="35" t="s">
        <v>61</v>
      </c>
      <c r="B14" s="32" t="s">
        <v>5</v>
      </c>
      <c r="C14" s="49">
        <v>1132797</v>
      </c>
      <c r="D14" s="49">
        <v>1213188</v>
      </c>
      <c r="E14" s="49">
        <v>1370031</v>
      </c>
      <c r="F14" s="49">
        <v>1368479</v>
      </c>
      <c r="G14" s="49">
        <v>1561274</v>
      </c>
      <c r="H14" s="49">
        <v>1586185</v>
      </c>
      <c r="I14" s="49">
        <v>1710121</v>
      </c>
      <c r="J14" s="50">
        <v>1650434</v>
      </c>
      <c r="K14" s="50">
        <v>1754951</v>
      </c>
      <c r="L14" s="50">
        <v>1601253</v>
      </c>
      <c r="M14" s="49">
        <v>2217285</v>
      </c>
      <c r="N14" s="50">
        <v>1715678</v>
      </c>
      <c r="O14" s="50">
        <v>1745183</v>
      </c>
      <c r="P14" s="50">
        <v>1870609</v>
      </c>
      <c r="Q14" s="3"/>
      <c r="R14" s="4"/>
      <c r="S14" s="4"/>
      <c r="T14" s="3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3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3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3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/>
      <c r="GE14" s="1"/>
      <c r="GF14" s="1"/>
    </row>
    <row r="15" spans="1:189" ht="27" customHeight="1" x14ac:dyDescent="0.3">
      <c r="A15" s="35" t="s">
        <v>62</v>
      </c>
      <c r="B15" s="32" t="s">
        <v>6</v>
      </c>
      <c r="C15" s="49">
        <v>4440021</v>
      </c>
      <c r="D15" s="49">
        <v>4586293</v>
      </c>
      <c r="E15" s="49">
        <v>5047938</v>
      </c>
      <c r="F15" s="49">
        <v>5012952</v>
      </c>
      <c r="G15" s="49">
        <v>4533856</v>
      </c>
      <c r="H15" s="49">
        <v>5746116</v>
      </c>
      <c r="I15" s="49">
        <v>5968809</v>
      </c>
      <c r="J15" s="50">
        <v>6334469</v>
      </c>
      <c r="K15" s="50">
        <v>6535212</v>
      </c>
      <c r="L15" s="50">
        <v>5794427</v>
      </c>
      <c r="M15" s="49">
        <v>6580182</v>
      </c>
      <c r="N15" s="50">
        <v>7466293</v>
      </c>
      <c r="O15" s="50">
        <v>7710394.0720105981</v>
      </c>
      <c r="P15" s="50">
        <v>8599898.3745762855</v>
      </c>
      <c r="Q15" s="3"/>
      <c r="R15" s="4"/>
      <c r="S15" s="4"/>
      <c r="T15" s="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3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3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3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1"/>
      <c r="GE15" s="1"/>
      <c r="GF15" s="1"/>
    </row>
    <row r="16" spans="1:189" s="20" customFormat="1" ht="27" customHeight="1" x14ac:dyDescent="0.25">
      <c r="A16" s="36"/>
      <c r="B16" s="37" t="s">
        <v>29</v>
      </c>
      <c r="C16" s="38">
        <f>+C13+C14+C15</f>
        <v>12525226.536904711</v>
      </c>
      <c r="D16" s="38">
        <f t="shared" ref="D16:F16" si="6">+D13+D14+D15</f>
        <v>12768985.864027847</v>
      </c>
      <c r="E16" s="38">
        <f t="shared" si="6"/>
        <v>13412425.626060691</v>
      </c>
      <c r="F16" s="38">
        <f t="shared" si="6"/>
        <v>12804458.265060993</v>
      </c>
      <c r="G16" s="38">
        <f t="shared" ref="G16:K16" si="7">+G13+G14+G15</f>
        <v>13900695.420032104</v>
      </c>
      <c r="H16" s="38">
        <f t="shared" si="7"/>
        <v>16421856.235608475</v>
      </c>
      <c r="I16" s="38">
        <f t="shared" si="7"/>
        <v>17814909.18289917</v>
      </c>
      <c r="J16" s="38">
        <f t="shared" si="7"/>
        <v>19902523.461183831</v>
      </c>
      <c r="K16" s="38">
        <f t="shared" si="7"/>
        <v>20037479.336589955</v>
      </c>
      <c r="L16" s="38">
        <f t="shared" ref="L16:N16" si="8">+L13+L14+L15</f>
        <v>19829770.779697351</v>
      </c>
      <c r="M16" s="38">
        <f t="shared" si="8"/>
        <v>22558179.891542479</v>
      </c>
      <c r="N16" s="38">
        <f t="shared" si="8"/>
        <v>22629901.694647275</v>
      </c>
      <c r="O16" s="38">
        <f t="shared" ref="O16:P16" si="9">+O13+O14+O15</f>
        <v>23885747.316275533</v>
      </c>
      <c r="P16" s="38">
        <f t="shared" si="9"/>
        <v>25718021.032568507</v>
      </c>
      <c r="Q16" s="3"/>
      <c r="R16" s="4"/>
      <c r="S16" s="4"/>
      <c r="T16" s="3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3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3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3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2"/>
      <c r="GE16" s="22"/>
      <c r="GF16" s="22"/>
    </row>
    <row r="17" spans="1:189" s="22" customFormat="1" ht="27" customHeight="1" x14ac:dyDescent="0.25">
      <c r="A17" s="28" t="s">
        <v>63</v>
      </c>
      <c r="B17" s="29" t="s">
        <v>7</v>
      </c>
      <c r="C17" s="30">
        <f>C18+C19</f>
        <v>6795832</v>
      </c>
      <c r="D17" s="30">
        <f t="shared" ref="D17:F17" si="10">D18+D19</f>
        <v>7252392</v>
      </c>
      <c r="E17" s="30">
        <f t="shared" si="10"/>
        <v>7902411</v>
      </c>
      <c r="F17" s="30">
        <f t="shared" si="10"/>
        <v>8250079</v>
      </c>
      <c r="G17" s="30">
        <f t="shared" ref="G17:K17" si="11">G18+G19</f>
        <v>8788238</v>
      </c>
      <c r="H17" s="30">
        <f t="shared" si="11"/>
        <v>9149590</v>
      </c>
      <c r="I17" s="30">
        <f t="shared" si="11"/>
        <v>10165132</v>
      </c>
      <c r="J17" s="30">
        <f t="shared" si="11"/>
        <v>11242450</v>
      </c>
      <c r="K17" s="30">
        <f t="shared" si="11"/>
        <v>11723125</v>
      </c>
      <c r="L17" s="30">
        <f t="shared" ref="L17:N17" si="12">L18+L19</f>
        <v>8663137</v>
      </c>
      <c r="M17" s="30">
        <f t="shared" si="12"/>
        <v>10265349</v>
      </c>
      <c r="N17" s="30">
        <f t="shared" si="12"/>
        <v>11845330</v>
      </c>
      <c r="O17" s="30">
        <f t="shared" ref="O17:P17" si="13">O18+O19</f>
        <v>12796876.482000001</v>
      </c>
      <c r="P17" s="30">
        <f t="shared" si="13"/>
        <v>13661276.390865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G17" s="20"/>
    </row>
    <row r="18" spans="1:189" ht="27" customHeight="1" x14ac:dyDescent="0.3">
      <c r="A18" s="31">
        <v>6.1</v>
      </c>
      <c r="B18" s="32" t="s">
        <v>8</v>
      </c>
      <c r="C18" s="49">
        <v>6405286</v>
      </c>
      <c r="D18" s="49">
        <v>6870968</v>
      </c>
      <c r="E18" s="49">
        <v>7527813</v>
      </c>
      <c r="F18" s="49">
        <v>7846559</v>
      </c>
      <c r="G18" s="49">
        <v>8336432</v>
      </c>
      <c r="H18" s="49">
        <v>8677878</v>
      </c>
      <c r="I18" s="49">
        <v>9662106</v>
      </c>
      <c r="J18" s="50">
        <v>10683645</v>
      </c>
      <c r="K18" s="50">
        <v>11160193</v>
      </c>
      <c r="L18" s="50">
        <v>8415458</v>
      </c>
      <c r="M18" s="49">
        <v>9927160</v>
      </c>
      <c r="N18" s="50">
        <v>11257532</v>
      </c>
      <c r="O18" s="50">
        <v>12092534</v>
      </c>
      <c r="P18" s="50">
        <v>12865608</v>
      </c>
      <c r="Q18" s="3"/>
      <c r="R18" s="4"/>
      <c r="S18" s="4"/>
      <c r="T18" s="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1"/>
      <c r="GE18" s="1"/>
      <c r="GF18" s="1"/>
    </row>
    <row r="19" spans="1:189" ht="27" customHeight="1" x14ac:dyDescent="0.3">
      <c r="A19" s="31">
        <v>6.2</v>
      </c>
      <c r="B19" s="32" t="s">
        <v>9</v>
      </c>
      <c r="C19" s="49">
        <v>390546</v>
      </c>
      <c r="D19" s="49">
        <v>381424</v>
      </c>
      <c r="E19" s="49">
        <v>374598</v>
      </c>
      <c r="F19" s="49">
        <v>403520</v>
      </c>
      <c r="G19" s="49">
        <v>451806</v>
      </c>
      <c r="H19" s="49">
        <v>471712</v>
      </c>
      <c r="I19" s="49">
        <v>503026</v>
      </c>
      <c r="J19" s="50">
        <v>558805</v>
      </c>
      <c r="K19" s="50">
        <v>562932</v>
      </c>
      <c r="L19" s="50">
        <v>247679</v>
      </c>
      <c r="M19" s="49">
        <v>338189</v>
      </c>
      <c r="N19" s="50">
        <v>587798</v>
      </c>
      <c r="O19" s="50">
        <v>704342.48200000008</v>
      </c>
      <c r="P19" s="50">
        <v>795668.39086499996</v>
      </c>
      <c r="Q19" s="3"/>
      <c r="R19" s="4"/>
      <c r="S19" s="4"/>
      <c r="T19" s="3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1"/>
      <c r="GE19" s="1"/>
      <c r="GF19" s="1"/>
    </row>
    <row r="20" spans="1:189" s="22" customFormat="1" ht="27" customHeight="1" x14ac:dyDescent="0.25">
      <c r="A20" s="28" t="s">
        <v>64</v>
      </c>
      <c r="B20" s="41" t="s">
        <v>10</v>
      </c>
      <c r="C20" s="30">
        <f>SUM(C21:C27)</f>
        <v>3501861.3848862159</v>
      </c>
      <c r="D20" s="30">
        <f t="shared" ref="D20:F20" si="14">SUM(D21:D27)</f>
        <v>3514074.6163883456</v>
      </c>
      <c r="E20" s="30">
        <f t="shared" si="14"/>
        <v>3733676.7913701395</v>
      </c>
      <c r="F20" s="30">
        <f t="shared" si="14"/>
        <v>4015822.8175789635</v>
      </c>
      <c r="G20" s="30">
        <f t="shared" ref="G20:N20" si="15">SUM(G21:G27)</f>
        <v>4493129.0863320734</v>
      </c>
      <c r="H20" s="30">
        <f t="shared" si="15"/>
        <v>4419436.4926408473</v>
      </c>
      <c r="I20" s="30">
        <f t="shared" si="15"/>
        <v>4548925.0211663954</v>
      </c>
      <c r="J20" s="30">
        <f t="shared" si="15"/>
        <v>4665946.7590663219</v>
      </c>
      <c r="K20" s="30">
        <f t="shared" si="15"/>
        <v>5037625.3898240784</v>
      </c>
      <c r="L20" s="30">
        <f t="shared" si="15"/>
        <v>4165911.6222191602</v>
      </c>
      <c r="M20" s="30">
        <f t="shared" si="15"/>
        <v>5090058.1088696448</v>
      </c>
      <c r="N20" s="30">
        <f t="shared" si="15"/>
        <v>5609992.2978465511</v>
      </c>
      <c r="O20" s="30">
        <f t="shared" ref="O20:P20" si="16">SUM(O21:O27)</f>
        <v>5913874.6180121768</v>
      </c>
      <c r="P20" s="30">
        <f t="shared" si="16"/>
        <v>6635784.2365275435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G20" s="20"/>
    </row>
    <row r="21" spans="1:189" ht="27" customHeight="1" x14ac:dyDescent="0.3">
      <c r="A21" s="31">
        <v>7.1</v>
      </c>
      <c r="B21" s="32" t="s">
        <v>11</v>
      </c>
      <c r="C21" s="49">
        <v>794164</v>
      </c>
      <c r="D21" s="49">
        <v>899420</v>
      </c>
      <c r="E21" s="49">
        <v>891240</v>
      </c>
      <c r="F21" s="49">
        <v>1007772</v>
      </c>
      <c r="G21" s="49">
        <v>1086000</v>
      </c>
      <c r="H21" s="49">
        <v>1008595</v>
      </c>
      <c r="I21" s="49">
        <v>1056482</v>
      </c>
      <c r="J21" s="50">
        <v>1053383</v>
      </c>
      <c r="K21" s="50">
        <v>1087740</v>
      </c>
      <c r="L21" s="50">
        <v>895270</v>
      </c>
      <c r="M21" s="49">
        <v>960057</v>
      </c>
      <c r="N21" s="50">
        <v>1148239</v>
      </c>
      <c r="O21" s="50">
        <v>1217832</v>
      </c>
      <c r="P21" s="50">
        <v>1291643</v>
      </c>
      <c r="Q21" s="3"/>
      <c r="R21" s="4"/>
      <c r="S21" s="4"/>
      <c r="T21" s="3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1"/>
      <c r="GE21" s="1"/>
      <c r="GF21" s="1"/>
    </row>
    <row r="22" spans="1:189" ht="27" customHeight="1" x14ac:dyDescent="0.3">
      <c r="A22" s="31">
        <v>7.2</v>
      </c>
      <c r="B22" s="32" t="s">
        <v>12</v>
      </c>
      <c r="C22" s="49">
        <v>1287047</v>
      </c>
      <c r="D22" s="49">
        <v>1225692</v>
      </c>
      <c r="E22" s="49">
        <v>1260270</v>
      </c>
      <c r="F22" s="49">
        <v>1294606</v>
      </c>
      <c r="G22" s="49">
        <v>1421454</v>
      </c>
      <c r="H22" s="49">
        <v>1403871</v>
      </c>
      <c r="I22" s="49">
        <v>1527418</v>
      </c>
      <c r="J22" s="50">
        <v>1661150</v>
      </c>
      <c r="K22" s="50">
        <v>1847373</v>
      </c>
      <c r="L22" s="50">
        <v>1355475</v>
      </c>
      <c r="M22" s="49">
        <v>2021580</v>
      </c>
      <c r="N22" s="50">
        <v>2074812</v>
      </c>
      <c r="O22" s="50">
        <v>2194188.3190000001</v>
      </c>
      <c r="P22" s="50">
        <v>2600192.7780150003</v>
      </c>
      <c r="Q22" s="3"/>
      <c r="R22" s="4"/>
      <c r="S22" s="4"/>
      <c r="T22" s="3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1"/>
      <c r="GE22" s="1"/>
      <c r="GF22" s="1"/>
    </row>
    <row r="23" spans="1:189" ht="27" customHeight="1" x14ac:dyDescent="0.3">
      <c r="A23" s="31">
        <v>7.3</v>
      </c>
      <c r="B23" s="32" t="s">
        <v>13</v>
      </c>
      <c r="C23" s="49">
        <v>48913.947937573219</v>
      </c>
      <c r="D23" s="49">
        <v>37214</v>
      </c>
      <c r="E23" s="49">
        <v>28714</v>
      </c>
      <c r="F23" s="49">
        <v>32298</v>
      </c>
      <c r="G23" s="49">
        <v>31679</v>
      </c>
      <c r="H23" s="49">
        <v>41705</v>
      </c>
      <c r="I23" s="49">
        <v>43770</v>
      </c>
      <c r="J23" s="50">
        <v>57362</v>
      </c>
      <c r="K23" s="50">
        <v>53116</v>
      </c>
      <c r="L23" s="50">
        <v>51950</v>
      </c>
      <c r="M23" s="49">
        <v>62916</v>
      </c>
      <c r="N23" s="50">
        <v>84200</v>
      </c>
      <c r="O23" s="50">
        <v>86096.005999999994</v>
      </c>
      <c r="P23" s="50">
        <v>82913.585777999993</v>
      </c>
      <c r="Q23" s="3"/>
      <c r="R23" s="4"/>
      <c r="S23" s="4"/>
      <c r="T23" s="3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1"/>
      <c r="GE23" s="1"/>
      <c r="GF23" s="1"/>
    </row>
    <row r="24" spans="1:189" ht="27" customHeight="1" x14ac:dyDescent="0.3">
      <c r="A24" s="31">
        <v>7.4</v>
      </c>
      <c r="B24" s="32" t="s">
        <v>14</v>
      </c>
      <c r="C24" s="49">
        <v>30476</v>
      </c>
      <c r="D24" s="49">
        <v>53327</v>
      </c>
      <c r="E24" s="49">
        <v>74842</v>
      </c>
      <c r="F24" s="49">
        <v>60867</v>
      </c>
      <c r="G24" s="49">
        <v>105293</v>
      </c>
      <c r="H24" s="49">
        <v>118845</v>
      </c>
      <c r="I24" s="49">
        <v>129859</v>
      </c>
      <c r="J24" s="50">
        <v>69592</v>
      </c>
      <c r="K24" s="50">
        <v>120338</v>
      </c>
      <c r="L24" s="50">
        <v>55284</v>
      </c>
      <c r="M24" s="49">
        <v>44675</v>
      </c>
      <c r="N24" s="50">
        <v>58591</v>
      </c>
      <c r="O24" s="50">
        <v>67530.12</v>
      </c>
      <c r="P24" s="50">
        <v>73137.960959999997</v>
      </c>
      <c r="Q24" s="3"/>
      <c r="R24" s="4"/>
      <c r="S24" s="4"/>
      <c r="T24" s="3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1"/>
      <c r="GE24" s="1"/>
      <c r="GF24" s="1"/>
    </row>
    <row r="25" spans="1:189" ht="27" customHeight="1" x14ac:dyDescent="0.3">
      <c r="A25" s="31">
        <v>7.5</v>
      </c>
      <c r="B25" s="32" t="s">
        <v>15</v>
      </c>
      <c r="C25" s="49">
        <v>338376</v>
      </c>
      <c r="D25" s="49">
        <v>260458</v>
      </c>
      <c r="E25" s="49">
        <v>333095</v>
      </c>
      <c r="F25" s="49">
        <v>289594</v>
      </c>
      <c r="G25" s="49">
        <v>340384</v>
      </c>
      <c r="H25" s="49">
        <v>323145</v>
      </c>
      <c r="I25" s="49">
        <v>327558</v>
      </c>
      <c r="J25" s="50">
        <v>281576</v>
      </c>
      <c r="K25" s="50">
        <v>284876</v>
      </c>
      <c r="L25" s="50">
        <v>225894</v>
      </c>
      <c r="M25" s="49">
        <v>252789</v>
      </c>
      <c r="N25" s="50">
        <v>297406</v>
      </c>
      <c r="O25" s="50">
        <v>314880.09719999996</v>
      </c>
      <c r="P25" s="50">
        <v>369649.32120308001</v>
      </c>
      <c r="Q25" s="3"/>
      <c r="R25" s="4"/>
      <c r="S25" s="4"/>
      <c r="T25" s="3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1"/>
      <c r="GE25" s="1"/>
      <c r="GF25" s="1"/>
    </row>
    <row r="26" spans="1:189" ht="27" customHeight="1" x14ac:dyDescent="0.3">
      <c r="A26" s="31">
        <v>7.6</v>
      </c>
      <c r="B26" s="32" t="s">
        <v>16</v>
      </c>
      <c r="C26" s="49">
        <v>43420</v>
      </c>
      <c r="D26" s="49">
        <v>41133.991452991453</v>
      </c>
      <c r="E26" s="49">
        <v>45878.109974424551</v>
      </c>
      <c r="F26" s="49">
        <v>47516.785540211211</v>
      </c>
      <c r="G26" s="49">
        <v>49605.111801242238</v>
      </c>
      <c r="H26" s="49">
        <v>50445.118694362012</v>
      </c>
      <c r="I26" s="49">
        <v>53718.543979320733</v>
      </c>
      <c r="J26" s="50">
        <v>143884.89931717768</v>
      </c>
      <c r="K26" s="50">
        <v>142059.54499649213</v>
      </c>
      <c r="L26" s="50">
        <v>136535.18832168661</v>
      </c>
      <c r="M26" s="49">
        <v>142659.42676739205</v>
      </c>
      <c r="N26" s="50">
        <v>153321.55723376421</v>
      </c>
      <c r="O26" s="50">
        <v>158471.01812546444</v>
      </c>
      <c r="P26" s="50">
        <v>163064.71076820284</v>
      </c>
      <c r="Q26" s="3"/>
      <c r="R26" s="4"/>
      <c r="S26" s="4"/>
      <c r="T26" s="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1"/>
      <c r="GE26" s="1"/>
      <c r="GF26" s="1"/>
    </row>
    <row r="27" spans="1:189" ht="27" customHeight="1" x14ac:dyDescent="0.3">
      <c r="A27" s="31">
        <v>7.7</v>
      </c>
      <c r="B27" s="32" t="s">
        <v>17</v>
      </c>
      <c r="C27" s="49">
        <v>959464.43694864272</v>
      </c>
      <c r="D27" s="49">
        <v>996829.62493535399</v>
      </c>
      <c r="E27" s="49">
        <v>1099637.6813957151</v>
      </c>
      <c r="F27" s="49">
        <v>1283169.0320387525</v>
      </c>
      <c r="G27" s="49">
        <v>1458713.9745308312</v>
      </c>
      <c r="H27" s="49">
        <v>1472830.3739464856</v>
      </c>
      <c r="I27" s="49">
        <v>1410119.4771870743</v>
      </c>
      <c r="J27" s="50">
        <v>1398998.8597491446</v>
      </c>
      <c r="K27" s="50">
        <v>1502122.8448275863</v>
      </c>
      <c r="L27" s="50">
        <v>1445503.4338974736</v>
      </c>
      <c r="M27" s="49">
        <v>1605381.6821022527</v>
      </c>
      <c r="N27" s="50">
        <v>1793422.7406127865</v>
      </c>
      <c r="O27" s="50">
        <v>1874877.0576867126</v>
      </c>
      <c r="P27" s="50">
        <v>2055182.8798032603</v>
      </c>
      <c r="Q27" s="3"/>
      <c r="R27" s="4"/>
      <c r="S27" s="4"/>
      <c r="T27" s="3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1"/>
      <c r="GE27" s="1"/>
      <c r="GF27" s="1"/>
    </row>
    <row r="28" spans="1:189" ht="27" customHeight="1" x14ac:dyDescent="0.3">
      <c r="A28" s="35" t="s">
        <v>65</v>
      </c>
      <c r="B28" s="32" t="s">
        <v>18</v>
      </c>
      <c r="C28" s="49">
        <v>3194965</v>
      </c>
      <c r="D28" s="49">
        <v>3484158</v>
      </c>
      <c r="E28" s="49">
        <v>3302705</v>
      </c>
      <c r="F28" s="49">
        <v>3522773</v>
      </c>
      <c r="G28" s="49">
        <v>3760460</v>
      </c>
      <c r="H28" s="49">
        <v>3917706</v>
      </c>
      <c r="I28" s="49">
        <v>4079512</v>
      </c>
      <c r="J28" s="50">
        <v>4087314</v>
      </c>
      <c r="K28" s="50">
        <v>4223785</v>
      </c>
      <c r="L28" s="50">
        <v>4443920</v>
      </c>
      <c r="M28" s="49">
        <v>4566758</v>
      </c>
      <c r="N28" s="50">
        <v>4658309</v>
      </c>
      <c r="O28" s="50">
        <v>4859205</v>
      </c>
      <c r="P28" s="50">
        <v>5089033</v>
      </c>
      <c r="Q28" s="3"/>
      <c r="R28" s="4"/>
      <c r="S28" s="4"/>
      <c r="T28" s="3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1"/>
      <c r="GE28" s="1"/>
      <c r="GF28" s="1"/>
    </row>
    <row r="29" spans="1:189" ht="27" customHeight="1" x14ac:dyDescent="0.3">
      <c r="A29" s="35" t="s">
        <v>66</v>
      </c>
      <c r="B29" s="32" t="s">
        <v>19</v>
      </c>
      <c r="C29" s="49">
        <v>5533296</v>
      </c>
      <c r="D29" s="49">
        <v>5854553.5554353707</v>
      </c>
      <c r="E29" s="49">
        <v>6248646.519172594</v>
      </c>
      <c r="F29" s="49">
        <v>6822834.1449073004</v>
      </c>
      <c r="G29" s="49">
        <v>7129842</v>
      </c>
      <c r="H29" s="49">
        <v>7616052</v>
      </c>
      <c r="I29" s="49">
        <v>8011906</v>
      </c>
      <c r="J29" s="50">
        <v>8344631</v>
      </c>
      <c r="K29" s="50">
        <v>8643226</v>
      </c>
      <c r="L29" s="50">
        <v>7892039</v>
      </c>
      <c r="M29" s="49">
        <v>8642739</v>
      </c>
      <c r="N29" s="50">
        <v>9489000</v>
      </c>
      <c r="O29" s="50">
        <v>10136656</v>
      </c>
      <c r="P29" s="50">
        <v>10835536</v>
      </c>
      <c r="Q29" s="3"/>
      <c r="R29" s="4"/>
      <c r="S29" s="4"/>
      <c r="T29" s="3"/>
      <c r="U29" s="5"/>
      <c r="V29" s="5"/>
      <c r="W29" s="5"/>
      <c r="X29" s="5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1"/>
      <c r="GE29" s="1"/>
      <c r="GF29" s="1"/>
    </row>
    <row r="30" spans="1:189" ht="27" customHeight="1" x14ac:dyDescent="0.3">
      <c r="A30" s="35" t="s">
        <v>67</v>
      </c>
      <c r="B30" s="32" t="s">
        <v>44</v>
      </c>
      <c r="C30" s="49">
        <v>2616084</v>
      </c>
      <c r="D30" s="49">
        <v>2824198</v>
      </c>
      <c r="E30" s="49">
        <v>2616337</v>
      </c>
      <c r="F30" s="49">
        <v>2614486</v>
      </c>
      <c r="G30" s="49">
        <v>2677413</v>
      </c>
      <c r="H30" s="49">
        <v>2844636</v>
      </c>
      <c r="I30" s="49">
        <v>2804802</v>
      </c>
      <c r="J30" s="50">
        <v>3106730</v>
      </c>
      <c r="K30" s="50">
        <v>3228288</v>
      </c>
      <c r="L30" s="50">
        <v>3427762</v>
      </c>
      <c r="M30" s="49">
        <v>3610779</v>
      </c>
      <c r="N30" s="50">
        <v>3503315</v>
      </c>
      <c r="O30" s="50">
        <v>3661171</v>
      </c>
      <c r="P30" s="50">
        <v>3820618</v>
      </c>
      <c r="Q30" s="3"/>
      <c r="R30" s="4"/>
      <c r="S30" s="4"/>
      <c r="T30" s="3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1"/>
      <c r="GE30" s="1"/>
      <c r="GF30" s="1"/>
    </row>
    <row r="31" spans="1:189" ht="27" customHeight="1" x14ac:dyDescent="0.3">
      <c r="A31" s="35" t="s">
        <v>68</v>
      </c>
      <c r="B31" s="32" t="s">
        <v>20</v>
      </c>
      <c r="C31" s="49">
        <v>3242995.19</v>
      </c>
      <c r="D31" s="49">
        <v>3366259</v>
      </c>
      <c r="E31" s="49">
        <v>3743743</v>
      </c>
      <c r="F31" s="49">
        <v>4136698</v>
      </c>
      <c r="G31" s="49">
        <v>4405625</v>
      </c>
      <c r="H31" s="49">
        <v>4917419</v>
      </c>
      <c r="I31" s="49">
        <v>5499277</v>
      </c>
      <c r="J31" s="50">
        <v>5709922</v>
      </c>
      <c r="K31" s="50">
        <v>6410095</v>
      </c>
      <c r="L31" s="50">
        <v>5699302</v>
      </c>
      <c r="M31" s="49">
        <v>6443033</v>
      </c>
      <c r="N31" s="50">
        <v>7058803</v>
      </c>
      <c r="O31" s="50">
        <v>7918508</v>
      </c>
      <c r="P31" s="50">
        <v>8771090</v>
      </c>
      <c r="Q31" s="3"/>
      <c r="R31" s="4"/>
      <c r="S31" s="4"/>
      <c r="T31" s="3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1"/>
      <c r="GE31" s="1"/>
      <c r="GF31" s="1"/>
    </row>
    <row r="32" spans="1:189" s="20" customFormat="1" ht="27" customHeight="1" x14ac:dyDescent="0.25">
      <c r="A32" s="36"/>
      <c r="B32" s="37" t="s">
        <v>30</v>
      </c>
      <c r="C32" s="38">
        <f>C17+C20+C28+C29+C30+C31</f>
        <v>24885033.574886218</v>
      </c>
      <c r="D32" s="38">
        <f t="shared" ref="D32:F32" si="17">D17+D20+D28+D29+D30+D31</f>
        <v>26295635.171823718</v>
      </c>
      <c r="E32" s="38">
        <f t="shared" si="17"/>
        <v>27547519.310542732</v>
      </c>
      <c r="F32" s="38">
        <f t="shared" si="17"/>
        <v>29362692.962486263</v>
      </c>
      <c r="G32" s="38">
        <f t="shared" ref="G32:I32" si="18">G17+G20+G28+G29+G30+G31</f>
        <v>31254707.086332075</v>
      </c>
      <c r="H32" s="38">
        <f t="shared" si="18"/>
        <v>32864839.492640845</v>
      </c>
      <c r="I32" s="38">
        <f t="shared" si="18"/>
        <v>35109554.021166399</v>
      </c>
      <c r="J32" s="38">
        <f t="shared" ref="J32:K32" si="19">J17+J20+J28+J29+J30+J31</f>
        <v>37156993.759066321</v>
      </c>
      <c r="K32" s="38">
        <f t="shared" si="19"/>
        <v>39266144.389824077</v>
      </c>
      <c r="L32" s="38">
        <f t="shared" ref="L32" si="20">L17+L20+L28+L29+L30+L31</f>
        <v>34292071.62221916</v>
      </c>
      <c r="M32" s="38">
        <f t="shared" ref="M32:N32" si="21">M17+M20+M28+M29+M30+M31</f>
        <v>38618716.108869642</v>
      </c>
      <c r="N32" s="38">
        <f t="shared" si="21"/>
        <v>42164749.297846556</v>
      </c>
      <c r="O32" s="38">
        <f t="shared" ref="O32:P32" si="22">O17+O20+O28+O29+O30+O31</f>
        <v>45286291.100012176</v>
      </c>
      <c r="P32" s="38">
        <f t="shared" si="22"/>
        <v>48813337.627392545</v>
      </c>
      <c r="Q32" s="3"/>
      <c r="R32" s="4"/>
      <c r="S32" s="4"/>
      <c r="T32" s="3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2"/>
      <c r="GE32" s="22"/>
      <c r="GF32" s="22"/>
    </row>
    <row r="33" spans="1:189" s="22" customFormat="1" ht="27" customHeight="1" x14ac:dyDescent="0.25">
      <c r="A33" s="28" t="s">
        <v>27</v>
      </c>
      <c r="B33" s="42" t="s">
        <v>31</v>
      </c>
      <c r="C33" s="30">
        <f>C6+C11+C13+C14+C15+C17+C20+C28+C29+C30+C31</f>
        <v>49846983.111790925</v>
      </c>
      <c r="D33" s="30">
        <f>D6+D11+D13+D14+D15+D17+D20+D28+D29+D30+D31</f>
        <v>52017765.035851568</v>
      </c>
      <c r="E33" s="30">
        <f>E6+E11+E13+E14+E15+E17+E20+E28+E29+E30+E31</f>
        <v>53788578.936603427</v>
      </c>
      <c r="F33" s="30">
        <f>F6+F11+F13+F14+F15+F17+F20+F28+F29+F30+F31</f>
        <v>55652671.227547258</v>
      </c>
      <c r="G33" s="30">
        <f t="shared" ref="G33:I33" si="23">G6+G11+G13+G14+G15+G17+G20+G28+G29+G30+G31</f>
        <v>58692251.506364182</v>
      </c>
      <c r="H33" s="30">
        <f t="shared" si="23"/>
        <v>63249389.728249319</v>
      </c>
      <c r="I33" s="30">
        <f t="shared" si="23"/>
        <v>67605026.204065561</v>
      </c>
      <c r="J33" s="30">
        <f t="shared" ref="J33:K33" si="24">J6+J11+J13+J14+J15+J17+J20+J28+J29+J30+J31</f>
        <v>72093731.88585341</v>
      </c>
      <c r="K33" s="30">
        <f t="shared" si="24"/>
        <v>74638846.187825114</v>
      </c>
      <c r="L33" s="30">
        <f t="shared" ref="L33" si="25">L6+L11+L13+L14+L15+L17+L20+L28+L29+L30+L31</f>
        <v>69468684.578482777</v>
      </c>
      <c r="M33" s="30">
        <f t="shared" ref="M33:N33" si="26">M6+M11+M13+M14+M15+M17+M20+M28+M29+M30+M31</f>
        <v>76990643.369876474</v>
      </c>
      <c r="N33" s="30">
        <f t="shared" si="26"/>
        <v>81944984.887186661</v>
      </c>
      <c r="O33" s="30">
        <f t="shared" ref="O33:P33" si="27">O6+O11+O13+O14+O15+O17+O20+O28+O29+O30+O31</f>
        <v>87073510.890841499</v>
      </c>
      <c r="P33" s="30">
        <f t="shared" si="27"/>
        <v>93134253.018000752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G33" s="20"/>
    </row>
    <row r="34" spans="1:189" ht="27" customHeight="1" x14ac:dyDescent="0.3">
      <c r="A34" s="43" t="s">
        <v>33</v>
      </c>
      <c r="B34" s="44" t="s">
        <v>25</v>
      </c>
      <c r="C34" s="49">
        <v>3918617</v>
      </c>
      <c r="D34" s="49">
        <v>4066461</v>
      </c>
      <c r="E34" s="49">
        <v>4106120</v>
      </c>
      <c r="F34" s="49">
        <v>3870358</v>
      </c>
      <c r="G34" s="49">
        <v>4446239</v>
      </c>
      <c r="H34" s="49">
        <v>4305304</v>
      </c>
      <c r="I34" s="49">
        <v>4203109</v>
      </c>
      <c r="J34" s="50">
        <v>4234458</v>
      </c>
      <c r="K34" s="50">
        <v>4068700</v>
      </c>
      <c r="L34" s="50">
        <v>3582008</v>
      </c>
      <c r="M34" s="49">
        <v>4417849</v>
      </c>
      <c r="N34" s="50">
        <v>4167841</v>
      </c>
      <c r="O34" s="50">
        <v>4187042</v>
      </c>
      <c r="P34" s="50">
        <v>4217607</v>
      </c>
      <c r="Q34" s="3"/>
      <c r="R34" s="4"/>
      <c r="S34" s="4"/>
      <c r="T34" s="3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</row>
    <row r="35" spans="1:189" ht="27" customHeight="1" x14ac:dyDescent="0.3">
      <c r="A35" s="43" t="s">
        <v>34</v>
      </c>
      <c r="B35" s="44" t="s">
        <v>24</v>
      </c>
      <c r="C35" s="49">
        <v>1717096</v>
      </c>
      <c r="D35" s="49">
        <v>1865135</v>
      </c>
      <c r="E35" s="49">
        <v>2044937</v>
      </c>
      <c r="F35" s="49">
        <v>2086597</v>
      </c>
      <c r="G35" s="49">
        <v>2184012</v>
      </c>
      <c r="H35" s="49">
        <v>2213101</v>
      </c>
      <c r="I35" s="49">
        <v>2310085</v>
      </c>
      <c r="J35" s="50">
        <v>2436152</v>
      </c>
      <c r="K35" s="50">
        <v>2528175</v>
      </c>
      <c r="L35" s="50">
        <v>2646462</v>
      </c>
      <c r="M35" s="49">
        <v>2808101</v>
      </c>
      <c r="N35" s="50">
        <v>2987717</v>
      </c>
      <c r="O35" s="50">
        <v>3071334</v>
      </c>
      <c r="P35" s="50">
        <v>3166488</v>
      </c>
      <c r="Q35" s="3"/>
      <c r="R35" s="4"/>
      <c r="S35" s="4"/>
      <c r="T35" s="3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</row>
    <row r="36" spans="1:189" s="20" customFormat="1" ht="27" customHeight="1" x14ac:dyDescent="0.25">
      <c r="A36" s="45" t="s">
        <v>35</v>
      </c>
      <c r="B36" s="46" t="s">
        <v>45</v>
      </c>
      <c r="C36" s="38">
        <f>C33+C34-C35</f>
        <v>52048504.111790925</v>
      </c>
      <c r="D36" s="38">
        <f t="shared" ref="D36:F36" si="28">D33+D34-D35</f>
        <v>54219091.035851568</v>
      </c>
      <c r="E36" s="38">
        <f t="shared" si="28"/>
        <v>55849761.936603427</v>
      </c>
      <c r="F36" s="38">
        <f t="shared" si="28"/>
        <v>57436432.227547258</v>
      </c>
      <c r="G36" s="38">
        <f t="shared" ref="G36:N36" si="29">G33+G34-G35</f>
        <v>60954478.506364182</v>
      </c>
      <c r="H36" s="38">
        <f t="shared" si="29"/>
        <v>65341592.728249311</v>
      </c>
      <c r="I36" s="38">
        <f t="shared" si="29"/>
        <v>69498050.204065561</v>
      </c>
      <c r="J36" s="38">
        <f t="shared" si="29"/>
        <v>73892037.88585341</v>
      </c>
      <c r="K36" s="38">
        <f t="shared" si="29"/>
        <v>76179371.187825114</v>
      </c>
      <c r="L36" s="38">
        <f t="shared" si="29"/>
        <v>70404230.578482777</v>
      </c>
      <c r="M36" s="38">
        <f t="shared" si="29"/>
        <v>78600391.369876474</v>
      </c>
      <c r="N36" s="38">
        <f t="shared" si="29"/>
        <v>83125108.887186661</v>
      </c>
      <c r="O36" s="38">
        <f t="shared" ref="O36:P36" si="30">O33+O34-O35</f>
        <v>88189218.890841499</v>
      </c>
      <c r="P36" s="38">
        <f t="shared" si="30"/>
        <v>94185372.018000752</v>
      </c>
      <c r="Q36" s="3"/>
      <c r="R36" s="4"/>
      <c r="S36" s="4"/>
      <c r="T36" s="3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</row>
    <row r="37" spans="1:189" s="20" customFormat="1" ht="27" customHeight="1" x14ac:dyDescent="0.25">
      <c r="A37" s="45" t="s">
        <v>36</v>
      </c>
      <c r="B37" s="46" t="s">
        <v>32</v>
      </c>
      <c r="C37" s="38">
        <f>GSVA_cur!C37</f>
        <v>918070</v>
      </c>
      <c r="D37" s="38">
        <f>GSVA_cur!D37</f>
        <v>927260</v>
      </c>
      <c r="E37" s="38">
        <f>GSVA_cur!E37</f>
        <v>936530</v>
      </c>
      <c r="F37" s="38">
        <f>GSVA_cur!F37</f>
        <v>945890</v>
      </c>
      <c r="G37" s="38">
        <f>GSVA_cur!G37</f>
        <v>955350</v>
      </c>
      <c r="H37" s="38">
        <f>GSVA_cur!H37</f>
        <v>964910</v>
      </c>
      <c r="I37" s="38">
        <f>GSVA_cur!I37</f>
        <v>974560</v>
      </c>
      <c r="J37" s="38">
        <f>GSVA_cur!J37</f>
        <v>966530</v>
      </c>
      <c r="K37" s="38">
        <f>GSVA_cur!K37</f>
        <v>972620</v>
      </c>
      <c r="L37" s="38">
        <f>GSVA_cur!L37</f>
        <v>978710</v>
      </c>
      <c r="M37" s="38">
        <f>GSVA_cur!M37</f>
        <v>984040</v>
      </c>
      <c r="N37" s="38">
        <f>GSVA_cur!N37</f>
        <v>988840</v>
      </c>
      <c r="O37" s="38">
        <f>GSVA_cur!O37</f>
        <v>993630</v>
      </c>
      <c r="P37" s="38">
        <f>GSVA_cur!P37</f>
        <v>998430</v>
      </c>
      <c r="Q37" s="1"/>
      <c r="R37" s="2"/>
      <c r="S37" s="2"/>
      <c r="T37" s="1"/>
      <c r="U37" s="1"/>
      <c r="V37" s="1"/>
      <c r="W37" s="1"/>
      <c r="X37" s="1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</row>
    <row r="38" spans="1:189" s="20" customFormat="1" ht="27" customHeight="1" x14ac:dyDescent="0.25">
      <c r="A38" s="45" t="s">
        <v>37</v>
      </c>
      <c r="B38" s="46" t="s">
        <v>48</v>
      </c>
      <c r="C38" s="38">
        <f>C36/C37*1000</f>
        <v>56693.393871699242</v>
      </c>
      <c r="D38" s="38">
        <f t="shared" ref="D38:F38" si="31">D36/D37*1000</f>
        <v>58472.371326113025</v>
      </c>
      <c r="E38" s="38">
        <f t="shared" si="31"/>
        <v>59634.781519655997</v>
      </c>
      <c r="F38" s="38">
        <f t="shared" si="31"/>
        <v>60722.105347923396</v>
      </c>
      <c r="G38" s="38">
        <f t="shared" ref="G38:N38" si="32">G36/G37*1000</f>
        <v>63803.295657470233</v>
      </c>
      <c r="H38" s="38">
        <f t="shared" si="32"/>
        <v>67717.810705920041</v>
      </c>
      <c r="I38" s="38">
        <f t="shared" si="32"/>
        <v>71312.23342232962</v>
      </c>
      <c r="J38" s="38">
        <f t="shared" si="32"/>
        <v>76450.847760393779</v>
      </c>
      <c r="K38" s="38">
        <f t="shared" si="32"/>
        <v>78323.87899469999</v>
      </c>
      <c r="L38" s="38">
        <f t="shared" si="32"/>
        <v>71935.742537097583</v>
      </c>
      <c r="M38" s="38">
        <f t="shared" si="32"/>
        <v>79875.199554770617</v>
      </c>
      <c r="N38" s="38">
        <f t="shared" si="32"/>
        <v>84063.254810876038</v>
      </c>
      <c r="O38" s="38">
        <f t="shared" ref="O38:P38" si="33">O36/O37*1000</f>
        <v>88754.585601120634</v>
      </c>
      <c r="P38" s="38">
        <f t="shared" si="33"/>
        <v>94333.475574652955</v>
      </c>
      <c r="Q38" s="1"/>
      <c r="R38" s="2"/>
      <c r="S38" s="2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4"/>
      <c r="BZ38" s="21"/>
      <c r="CA38" s="21"/>
      <c r="CB38" s="21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</row>
    <row r="39" spans="1:189" x14ac:dyDescent="0.25">
      <c r="A39" s="11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53" zoomScaleNormal="53" zoomScaleSheetLayoutView="100" workbookViewId="0">
      <pane xSplit="2" ySplit="5" topLeftCell="C6" activePane="bottomRight" state="frozen"/>
      <selection activeCell="W21" sqref="W21"/>
      <selection pane="topRight" activeCell="W21" sqref="W21"/>
      <selection pane="bottomLeft" activeCell="W21" sqref="W21"/>
      <selection pane="bottomRight" activeCell="W21" sqref="W21"/>
    </sheetView>
  </sheetViews>
  <sheetFormatPr defaultColWidth="8.85546875" defaultRowHeight="18" x14ac:dyDescent="0.25"/>
  <cols>
    <col min="1" max="1" width="11" style="11" customWidth="1"/>
    <col min="2" max="2" width="37.28515625" style="11" customWidth="1"/>
    <col min="3" max="9" width="18.5703125" style="11" customWidth="1"/>
    <col min="10" max="16" width="18.5703125" style="12" customWidth="1"/>
    <col min="17" max="18" width="9.140625" style="2" customWidth="1"/>
    <col min="19" max="19" width="11.85546875" style="2" customWidth="1"/>
    <col min="20" max="20" width="11.28515625" style="2" customWidth="1"/>
    <col min="21" max="21" width="11.7109375" style="1" customWidth="1"/>
    <col min="22" max="22" width="9.140625" style="2" customWidth="1"/>
    <col min="23" max="23" width="10.85546875" style="2" customWidth="1"/>
    <col min="24" max="24" width="10.85546875" style="1" customWidth="1"/>
    <col min="25" max="25" width="11" style="2" customWidth="1"/>
    <col min="26" max="28" width="11.42578125" style="2" customWidth="1"/>
    <col min="29" max="56" width="9.140625" style="2" customWidth="1"/>
    <col min="57" max="57" width="12.42578125" style="2" customWidth="1"/>
    <col min="58" max="79" width="9.140625" style="2" customWidth="1"/>
    <col min="80" max="80" width="12.140625" style="2" customWidth="1"/>
    <col min="81" max="84" width="9.140625" style="2" customWidth="1"/>
    <col min="85" max="89" width="9.140625" style="2" hidden="1" customWidth="1"/>
    <col min="90" max="90" width="9.140625" style="2" customWidth="1"/>
    <col min="91" max="95" width="9.140625" style="2" hidden="1" customWidth="1"/>
    <col min="96" max="96" width="9.140625" style="2" customWidth="1"/>
    <col min="97" max="101" width="9.140625" style="2" hidden="1" customWidth="1"/>
    <col min="102" max="102" width="9.140625" style="2" customWidth="1"/>
    <col min="103" max="107" width="9.140625" style="2" hidden="1" customWidth="1"/>
    <col min="108" max="108" width="9.140625" style="2" customWidth="1"/>
    <col min="109" max="113" width="9.140625" style="2" hidden="1" customWidth="1"/>
    <col min="114" max="114" width="9.140625" style="1" customWidth="1"/>
    <col min="115" max="119" width="9.140625" style="1" hidden="1" customWidth="1"/>
    <col min="120" max="120" width="9.140625" style="1" customWidth="1"/>
    <col min="121" max="125" width="9.140625" style="1" hidden="1" customWidth="1"/>
    <col min="126" max="126" width="9.140625" style="1" customWidth="1"/>
    <col min="127" max="131" width="9.140625" style="1" hidden="1" customWidth="1"/>
    <col min="132" max="132" width="9.140625" style="1" customWidth="1"/>
    <col min="133" max="162" width="9.140625" style="2" customWidth="1"/>
    <col min="163" max="163" width="9.140625" style="2" hidden="1" customWidth="1"/>
    <col min="164" max="171" width="9.140625" style="2" customWidth="1"/>
    <col min="172" max="172" width="9.140625" style="2" hidden="1" customWidth="1"/>
    <col min="173" max="177" width="9.140625" style="2" customWidth="1"/>
    <col min="178" max="178" width="9.140625" style="2" hidden="1" customWidth="1"/>
    <col min="179" max="188" width="9.140625" style="2" customWidth="1"/>
    <col min="189" max="192" width="8.85546875" style="2"/>
    <col min="193" max="193" width="12.7109375" style="2" bestFit="1" customWidth="1"/>
    <col min="194" max="16384" width="8.85546875" style="2"/>
  </cols>
  <sheetData>
    <row r="1" spans="1:193" x14ac:dyDescent="0.25">
      <c r="A1" s="11" t="s">
        <v>43</v>
      </c>
      <c r="B1" s="13" t="s">
        <v>56</v>
      </c>
      <c r="W1" s="3"/>
    </row>
    <row r="2" spans="1:193" x14ac:dyDescent="0.25">
      <c r="A2" s="14" t="s">
        <v>40</v>
      </c>
      <c r="I2" s="11" t="str">
        <f>[1]GSVA_cur!$I$3</f>
        <v>01.08.2025</v>
      </c>
    </row>
    <row r="3" spans="1:193" x14ac:dyDescent="0.25">
      <c r="A3" s="14"/>
    </row>
    <row r="4" spans="1:193" x14ac:dyDescent="0.25">
      <c r="A4" s="14"/>
      <c r="E4" s="15"/>
      <c r="F4" s="15" t="s">
        <v>47</v>
      </c>
      <c r="G4" s="15"/>
      <c r="H4" s="15"/>
      <c r="I4" s="15"/>
    </row>
    <row r="5" spans="1:193" x14ac:dyDescent="0.25">
      <c r="A5" s="24" t="s">
        <v>0</v>
      </c>
      <c r="B5" s="25" t="s">
        <v>1</v>
      </c>
      <c r="C5" s="26" t="s">
        <v>21</v>
      </c>
      <c r="D5" s="26" t="s">
        <v>22</v>
      </c>
      <c r="E5" s="26" t="s">
        <v>23</v>
      </c>
      <c r="F5" s="26" t="s">
        <v>46</v>
      </c>
      <c r="G5" s="26" t="s">
        <v>55</v>
      </c>
      <c r="H5" s="26" t="s">
        <v>57</v>
      </c>
      <c r="I5" s="26" t="s">
        <v>58</v>
      </c>
      <c r="J5" s="27" t="s">
        <v>69</v>
      </c>
      <c r="K5" s="27" t="s">
        <v>70</v>
      </c>
      <c r="L5" s="27" t="s">
        <v>71</v>
      </c>
      <c r="M5" s="27" t="s">
        <v>72</v>
      </c>
      <c r="N5" s="27" t="s">
        <v>73</v>
      </c>
      <c r="O5" s="27" t="s">
        <v>74</v>
      </c>
      <c r="P5" s="27" t="s">
        <v>76</v>
      </c>
    </row>
    <row r="6" spans="1:193" s="22" customFormat="1" ht="36" x14ac:dyDescent="0.25">
      <c r="A6" s="28" t="s">
        <v>26</v>
      </c>
      <c r="B6" s="29" t="s">
        <v>2</v>
      </c>
      <c r="C6" s="30">
        <f>SUM(C7:C10)</f>
        <v>11166697</v>
      </c>
      <c r="D6" s="30">
        <f t="shared" ref="D6:F6" si="0">SUM(D7:D10)</f>
        <v>13068066</v>
      </c>
      <c r="E6" s="30">
        <f t="shared" si="0"/>
        <v>15852640</v>
      </c>
      <c r="F6" s="30">
        <f t="shared" si="0"/>
        <v>15765347</v>
      </c>
      <c r="G6" s="30">
        <f t="shared" ref="G6:N6" si="1">SUM(G7:G10)</f>
        <v>17564805</v>
      </c>
      <c r="H6" s="30">
        <f t="shared" si="1"/>
        <v>18575217</v>
      </c>
      <c r="I6" s="30">
        <f t="shared" si="1"/>
        <v>20774910</v>
      </c>
      <c r="J6" s="30">
        <f t="shared" si="1"/>
        <v>22387234.264792159</v>
      </c>
      <c r="K6" s="30">
        <f t="shared" si="1"/>
        <v>23472297.799353745</v>
      </c>
      <c r="L6" s="30">
        <f t="shared" si="1"/>
        <v>24793305.343159042</v>
      </c>
      <c r="M6" s="30">
        <f t="shared" si="1"/>
        <v>26078780.756500125</v>
      </c>
      <c r="N6" s="30">
        <f t="shared" si="1"/>
        <v>28877223.445932671</v>
      </c>
      <c r="O6" s="30">
        <f t="shared" ref="O6:P6" si="2">SUM(O7:O10)</f>
        <v>30763560.209974729</v>
      </c>
      <c r="P6" s="30">
        <f t="shared" si="2"/>
        <v>32859059.597323645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K6" s="20"/>
    </row>
    <row r="7" spans="1:193" ht="18.75" x14ac:dyDescent="0.3">
      <c r="A7" s="31">
        <v>1.1000000000000001</v>
      </c>
      <c r="B7" s="32" t="s">
        <v>49</v>
      </c>
      <c r="C7" s="49">
        <v>6939766</v>
      </c>
      <c r="D7" s="49">
        <v>8328494</v>
      </c>
      <c r="E7" s="49">
        <v>10204603</v>
      </c>
      <c r="F7" s="49">
        <v>9693211</v>
      </c>
      <c r="G7" s="49">
        <v>11072019</v>
      </c>
      <c r="H7" s="49">
        <v>11467459</v>
      </c>
      <c r="I7" s="49">
        <v>12506711</v>
      </c>
      <c r="J7" s="50">
        <v>13397303.264792161</v>
      </c>
      <c r="K7" s="50">
        <v>13922877.143086044</v>
      </c>
      <c r="L7" s="50">
        <v>14405325.088748461</v>
      </c>
      <c r="M7" s="49">
        <v>15028879.220281009</v>
      </c>
      <c r="N7" s="50">
        <v>15512032.491596697</v>
      </c>
      <c r="O7" s="50">
        <v>15853530.626258601</v>
      </c>
      <c r="P7" s="50">
        <v>16642104.033080753</v>
      </c>
      <c r="Q7" s="4"/>
      <c r="R7" s="4"/>
      <c r="S7" s="4"/>
      <c r="T7" s="4"/>
      <c r="U7" s="3"/>
      <c r="V7" s="4"/>
      <c r="W7" s="4"/>
      <c r="X7" s="3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"/>
      <c r="GI7" s="1"/>
      <c r="GJ7" s="1"/>
    </row>
    <row r="8" spans="1:193" ht="18.75" x14ac:dyDescent="0.3">
      <c r="A8" s="31">
        <v>1.2</v>
      </c>
      <c r="B8" s="32" t="s">
        <v>50</v>
      </c>
      <c r="C8" s="49">
        <v>2201029</v>
      </c>
      <c r="D8" s="49">
        <v>2438790</v>
      </c>
      <c r="E8" s="49">
        <v>2778578</v>
      </c>
      <c r="F8" s="49">
        <v>3039222</v>
      </c>
      <c r="G8" s="49">
        <v>3226755</v>
      </c>
      <c r="H8" s="49">
        <v>3557543</v>
      </c>
      <c r="I8" s="49">
        <v>4144318</v>
      </c>
      <c r="J8" s="50">
        <v>4611518</v>
      </c>
      <c r="K8" s="50">
        <v>5035329.759682022</v>
      </c>
      <c r="L8" s="50">
        <v>5504141.157176422</v>
      </c>
      <c r="M8" s="49">
        <v>5901169.5066196658</v>
      </c>
      <c r="N8" s="50">
        <v>7147163.6140369773</v>
      </c>
      <c r="O8" s="50">
        <v>8372359.5837161299</v>
      </c>
      <c r="P8" s="50">
        <v>9461702.564242892</v>
      </c>
      <c r="Q8" s="4"/>
      <c r="R8" s="4"/>
      <c r="S8" s="4"/>
      <c r="T8" s="4"/>
      <c r="U8" s="3"/>
      <c r="V8" s="4"/>
      <c r="W8" s="4"/>
      <c r="X8" s="3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"/>
      <c r="GI8" s="1"/>
      <c r="GJ8" s="1"/>
    </row>
    <row r="9" spans="1:193" ht="18.75" x14ac:dyDescent="0.3">
      <c r="A9" s="31">
        <v>1.3</v>
      </c>
      <c r="B9" s="32" t="s">
        <v>51</v>
      </c>
      <c r="C9" s="49">
        <v>507546</v>
      </c>
      <c r="D9" s="49">
        <v>550836</v>
      </c>
      <c r="E9" s="49">
        <v>655454</v>
      </c>
      <c r="F9" s="49">
        <v>575195</v>
      </c>
      <c r="G9" s="49">
        <v>600120</v>
      </c>
      <c r="H9" s="49">
        <v>753465</v>
      </c>
      <c r="I9" s="49">
        <v>652646</v>
      </c>
      <c r="J9" s="50">
        <v>732695</v>
      </c>
      <c r="K9" s="50">
        <v>796961.95458170609</v>
      </c>
      <c r="L9" s="50">
        <v>821867.57887387089</v>
      </c>
      <c r="M9" s="49">
        <v>904161.45849185786</v>
      </c>
      <c r="N9" s="50">
        <v>963770.62201190297</v>
      </c>
      <c r="O9" s="50">
        <v>980450</v>
      </c>
      <c r="P9" s="50">
        <v>1004739</v>
      </c>
      <c r="Q9" s="4"/>
      <c r="R9" s="4"/>
      <c r="S9" s="4"/>
      <c r="T9" s="4"/>
      <c r="U9" s="3"/>
      <c r="V9" s="4"/>
      <c r="W9" s="4"/>
      <c r="X9" s="3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"/>
      <c r="GI9" s="1"/>
      <c r="GJ9" s="1"/>
    </row>
    <row r="10" spans="1:193" ht="18.75" x14ac:dyDescent="0.3">
      <c r="A10" s="31">
        <v>1.4</v>
      </c>
      <c r="B10" s="32" t="s">
        <v>52</v>
      </c>
      <c r="C10" s="49">
        <v>1518356</v>
      </c>
      <c r="D10" s="49">
        <v>1749946</v>
      </c>
      <c r="E10" s="49">
        <v>2214005</v>
      </c>
      <c r="F10" s="49">
        <v>2457719</v>
      </c>
      <c r="G10" s="49">
        <v>2665911</v>
      </c>
      <c r="H10" s="49">
        <v>2796750</v>
      </c>
      <c r="I10" s="49">
        <v>3471235</v>
      </c>
      <c r="J10" s="50">
        <v>3645718</v>
      </c>
      <c r="K10" s="50">
        <v>3717128.9420039682</v>
      </c>
      <c r="L10" s="50">
        <v>4061971.5183602874</v>
      </c>
      <c r="M10" s="49">
        <v>4244570.5711075915</v>
      </c>
      <c r="N10" s="50">
        <v>5254256.7182870898</v>
      </c>
      <c r="O10" s="50">
        <v>5557220</v>
      </c>
      <c r="P10" s="50">
        <v>5750514</v>
      </c>
      <c r="Q10" s="4"/>
      <c r="R10" s="4"/>
      <c r="S10" s="4"/>
      <c r="T10" s="4"/>
      <c r="U10" s="3"/>
      <c r="V10" s="4"/>
      <c r="W10" s="4"/>
      <c r="X10" s="3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1"/>
      <c r="GI10" s="1"/>
      <c r="GJ10" s="1"/>
    </row>
    <row r="11" spans="1:193" ht="18.75" x14ac:dyDescent="0.3">
      <c r="A11" s="35" t="s">
        <v>59</v>
      </c>
      <c r="B11" s="32" t="s">
        <v>3</v>
      </c>
      <c r="C11" s="49">
        <v>638489</v>
      </c>
      <c r="D11" s="49">
        <v>754191.98</v>
      </c>
      <c r="E11" s="49">
        <v>617093</v>
      </c>
      <c r="F11" s="49">
        <v>664220</v>
      </c>
      <c r="G11" s="49">
        <v>645411</v>
      </c>
      <c r="H11" s="49">
        <v>612213</v>
      </c>
      <c r="I11" s="49">
        <v>687113</v>
      </c>
      <c r="J11" s="50">
        <v>839322</v>
      </c>
      <c r="K11" s="50">
        <v>832197.91580435692</v>
      </c>
      <c r="L11" s="50">
        <v>622329.6206021104</v>
      </c>
      <c r="M11" s="49">
        <v>745295.32338677952</v>
      </c>
      <c r="N11" s="50">
        <v>1113202.37243158</v>
      </c>
      <c r="O11" s="50">
        <v>1314353.4906647271</v>
      </c>
      <c r="P11" s="50">
        <v>1335727.1880872727</v>
      </c>
      <c r="Q11" s="4"/>
      <c r="R11" s="4"/>
      <c r="S11" s="4"/>
      <c r="T11" s="4"/>
      <c r="U11" s="3"/>
      <c r="V11" s="4"/>
      <c r="W11" s="4"/>
      <c r="X11" s="3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1"/>
      <c r="GI11" s="1"/>
      <c r="GJ11" s="1"/>
    </row>
    <row r="12" spans="1:193" s="20" customFormat="1" ht="18.75" x14ac:dyDescent="0.25">
      <c r="A12" s="36"/>
      <c r="B12" s="37" t="s">
        <v>28</v>
      </c>
      <c r="C12" s="38">
        <f>C6+C11</f>
        <v>11805186</v>
      </c>
      <c r="D12" s="38">
        <f t="shared" ref="D12:F12" si="3">D6+D11</f>
        <v>13822257.98</v>
      </c>
      <c r="E12" s="38">
        <f t="shared" si="3"/>
        <v>16469733</v>
      </c>
      <c r="F12" s="38">
        <f t="shared" si="3"/>
        <v>16429567</v>
      </c>
      <c r="G12" s="38">
        <f t="shared" ref="G12:N12" si="4">G6+G11</f>
        <v>18210216</v>
      </c>
      <c r="H12" s="38">
        <f t="shared" si="4"/>
        <v>19187430</v>
      </c>
      <c r="I12" s="38">
        <f t="shared" si="4"/>
        <v>21462023</v>
      </c>
      <c r="J12" s="38">
        <f t="shared" si="4"/>
        <v>23226556.264792159</v>
      </c>
      <c r="K12" s="38">
        <f t="shared" si="4"/>
        <v>24304495.715158101</v>
      </c>
      <c r="L12" s="38">
        <f t="shared" si="4"/>
        <v>25415634.963761151</v>
      </c>
      <c r="M12" s="38">
        <f t="shared" si="4"/>
        <v>26824076.079886906</v>
      </c>
      <c r="N12" s="38">
        <f t="shared" si="4"/>
        <v>29990425.818364251</v>
      </c>
      <c r="O12" s="38">
        <f t="shared" ref="O12:P12" si="5">O6+O11</f>
        <v>32077913.700639457</v>
      </c>
      <c r="P12" s="38">
        <f t="shared" si="5"/>
        <v>34194786.785410918</v>
      </c>
      <c r="Q12" s="4"/>
      <c r="R12" s="4"/>
      <c r="S12" s="4"/>
      <c r="T12" s="4"/>
      <c r="U12" s="3"/>
      <c r="V12" s="4"/>
      <c r="W12" s="4"/>
      <c r="X12" s="3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2"/>
      <c r="GI12" s="22"/>
      <c r="GJ12" s="22"/>
    </row>
    <row r="13" spans="1:193" s="1" customFormat="1" ht="18.75" x14ac:dyDescent="0.3">
      <c r="A13" s="39" t="s">
        <v>60</v>
      </c>
      <c r="B13" s="40" t="s">
        <v>4</v>
      </c>
      <c r="C13" s="50">
        <v>5780268.5369047113</v>
      </c>
      <c r="D13" s="50">
        <v>6215029.7498213239</v>
      </c>
      <c r="E13" s="50">
        <v>6479909.4692758471</v>
      </c>
      <c r="F13" s="50">
        <v>5880321.0067478251</v>
      </c>
      <c r="G13" s="50">
        <v>7339442.6906750575</v>
      </c>
      <c r="H13" s="50">
        <v>8618128.9816071354</v>
      </c>
      <c r="I13" s="50">
        <v>9862092.2475162409</v>
      </c>
      <c r="J13" s="50">
        <v>12300925.088735739</v>
      </c>
      <c r="K13" s="50">
        <v>12007221.844373833</v>
      </c>
      <c r="L13" s="50">
        <v>13188280.103709377</v>
      </c>
      <c r="M13" s="50">
        <v>16382713.115285901</v>
      </c>
      <c r="N13" s="50">
        <v>16458253.030068621</v>
      </c>
      <c r="O13" s="50">
        <v>17304070.278459441</v>
      </c>
      <c r="P13" s="50">
        <v>18610560.000928875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K13" s="2"/>
    </row>
    <row r="14" spans="1:193" ht="36" x14ac:dyDescent="0.3">
      <c r="A14" s="35" t="s">
        <v>61</v>
      </c>
      <c r="B14" s="32" t="s">
        <v>5</v>
      </c>
      <c r="C14" s="49">
        <v>773788.42999999993</v>
      </c>
      <c r="D14" s="49">
        <v>814921.56</v>
      </c>
      <c r="E14" s="49">
        <v>960408.06</v>
      </c>
      <c r="F14" s="49">
        <v>956713.56999999983</v>
      </c>
      <c r="G14" s="49">
        <v>1120294.5</v>
      </c>
      <c r="H14" s="49">
        <v>1118855</v>
      </c>
      <c r="I14" s="49">
        <v>1255272</v>
      </c>
      <c r="J14" s="50">
        <v>1249706</v>
      </c>
      <c r="K14" s="50">
        <v>1384970.1482744189</v>
      </c>
      <c r="L14" s="50">
        <v>1213428.6680389103</v>
      </c>
      <c r="M14" s="49">
        <v>1789629.6398149882</v>
      </c>
      <c r="N14" s="50">
        <v>1662474.2194878361</v>
      </c>
      <c r="O14" s="50">
        <v>1709489.9551638607</v>
      </c>
      <c r="P14" s="50">
        <v>1864696.7407006216</v>
      </c>
      <c r="Q14" s="4"/>
      <c r="R14" s="4"/>
      <c r="S14" s="4"/>
      <c r="T14" s="4"/>
      <c r="U14" s="3"/>
      <c r="V14" s="4"/>
      <c r="W14" s="4"/>
      <c r="X14" s="3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3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3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3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1"/>
      <c r="GI14" s="1"/>
      <c r="GJ14" s="1"/>
    </row>
    <row r="15" spans="1:193" ht="18.75" x14ac:dyDescent="0.3">
      <c r="A15" s="35" t="s">
        <v>62</v>
      </c>
      <c r="B15" s="32" t="s">
        <v>6</v>
      </c>
      <c r="C15" s="49">
        <v>4233191</v>
      </c>
      <c r="D15" s="49">
        <v>4547895</v>
      </c>
      <c r="E15" s="49">
        <v>4958868</v>
      </c>
      <c r="F15" s="49">
        <v>5052740</v>
      </c>
      <c r="G15" s="49">
        <v>5057582</v>
      </c>
      <c r="H15" s="49">
        <v>5421147</v>
      </c>
      <c r="I15" s="49">
        <v>5997180</v>
      </c>
      <c r="J15" s="50">
        <v>6718717</v>
      </c>
      <c r="K15" s="50">
        <v>6775638.8392417124</v>
      </c>
      <c r="L15" s="50">
        <v>6075383.8270546645</v>
      </c>
      <c r="M15" s="49">
        <v>8046741.7717832029</v>
      </c>
      <c r="N15" s="50">
        <v>9419568.1730336323</v>
      </c>
      <c r="O15" s="50">
        <v>9502240.8697936516</v>
      </c>
      <c r="P15" s="50">
        <v>10201054.425905272</v>
      </c>
      <c r="Q15" s="4"/>
      <c r="R15" s="4"/>
      <c r="S15" s="4"/>
      <c r="T15" s="4"/>
      <c r="U15" s="3"/>
      <c r="V15" s="4"/>
      <c r="W15" s="4"/>
      <c r="X15" s="3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3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3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3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1"/>
      <c r="GI15" s="1"/>
      <c r="GJ15" s="1"/>
    </row>
    <row r="16" spans="1:193" s="20" customFormat="1" ht="18.75" x14ac:dyDescent="0.25">
      <c r="A16" s="36"/>
      <c r="B16" s="37" t="s">
        <v>29</v>
      </c>
      <c r="C16" s="38">
        <f>+C13+C14+C15</f>
        <v>10787247.966904711</v>
      </c>
      <c r="D16" s="38">
        <f t="shared" ref="D16:F16" si="6">+D13+D14+D15</f>
        <v>11577846.309821324</v>
      </c>
      <c r="E16" s="38">
        <f t="shared" si="6"/>
        <v>12399185.529275848</v>
      </c>
      <c r="F16" s="38">
        <f t="shared" si="6"/>
        <v>11889774.576747825</v>
      </c>
      <c r="G16" s="38">
        <f t="shared" ref="G16:K16" si="7">+G13+G14+G15</f>
        <v>13517319.190675057</v>
      </c>
      <c r="H16" s="38">
        <f t="shared" si="7"/>
        <v>15158130.981607135</v>
      </c>
      <c r="I16" s="38">
        <f t="shared" si="7"/>
        <v>17114544.247516241</v>
      </c>
      <c r="J16" s="38">
        <f t="shared" si="7"/>
        <v>20269348.088735737</v>
      </c>
      <c r="K16" s="38">
        <f t="shared" si="7"/>
        <v>20167830.831889965</v>
      </c>
      <c r="L16" s="38">
        <f t="shared" ref="L16:N16" si="8">+L13+L14+L15</f>
        <v>20477092.598802954</v>
      </c>
      <c r="M16" s="38">
        <f t="shared" si="8"/>
        <v>26219084.526884094</v>
      </c>
      <c r="N16" s="38">
        <f t="shared" si="8"/>
        <v>27540295.422590088</v>
      </c>
      <c r="O16" s="38">
        <f t="shared" ref="O16:P16" si="9">+O13+O14+O15</f>
        <v>28515801.103416957</v>
      </c>
      <c r="P16" s="38">
        <f t="shared" si="9"/>
        <v>30676311.167534769</v>
      </c>
      <c r="Q16" s="4"/>
      <c r="R16" s="4"/>
      <c r="S16" s="4"/>
      <c r="T16" s="4"/>
      <c r="U16" s="3"/>
      <c r="V16" s="4"/>
      <c r="W16" s="4"/>
      <c r="X16" s="3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3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3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3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2"/>
      <c r="GI16" s="22"/>
      <c r="GJ16" s="22"/>
    </row>
    <row r="17" spans="1:193" s="22" customFormat="1" ht="36" x14ac:dyDescent="0.25">
      <c r="A17" s="28" t="s">
        <v>63</v>
      </c>
      <c r="B17" s="29" t="s">
        <v>7</v>
      </c>
      <c r="C17" s="30">
        <f>C18+C19</f>
        <v>6547766</v>
      </c>
      <c r="D17" s="30">
        <f t="shared" ref="D17:F17" si="10">D18+D19</f>
        <v>7763023</v>
      </c>
      <c r="E17" s="30">
        <f t="shared" si="10"/>
        <v>9348691</v>
      </c>
      <c r="F17" s="30">
        <f t="shared" si="10"/>
        <v>10277530</v>
      </c>
      <c r="G17" s="30">
        <f t="shared" ref="G17:K17" si="11">G18+G19</f>
        <v>11269950</v>
      </c>
      <c r="H17" s="30">
        <f t="shared" si="11"/>
        <v>12310059</v>
      </c>
      <c r="I17" s="30">
        <f t="shared" si="11"/>
        <v>14200358</v>
      </c>
      <c r="J17" s="30">
        <f t="shared" si="11"/>
        <v>16398074</v>
      </c>
      <c r="K17" s="30">
        <f t="shared" si="11"/>
        <v>17853988.594964188</v>
      </c>
      <c r="L17" s="30">
        <f t="shared" ref="L17:N17" si="12">L18+L19</f>
        <v>14011215.974569358</v>
      </c>
      <c r="M17" s="30">
        <f t="shared" si="12"/>
        <v>17615167.925701208</v>
      </c>
      <c r="N17" s="30">
        <f t="shared" si="12"/>
        <v>21751871.968712352</v>
      </c>
      <c r="O17" s="30">
        <f t="shared" ref="O17:P17" si="13">O18+O19</f>
        <v>24560042.532732639</v>
      </c>
      <c r="P17" s="30">
        <f t="shared" si="13"/>
        <v>27454992.835610732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K17" s="20"/>
    </row>
    <row r="18" spans="1:193" ht="18.75" x14ac:dyDescent="0.3">
      <c r="A18" s="31">
        <v>6.1</v>
      </c>
      <c r="B18" s="32" t="s">
        <v>8</v>
      </c>
      <c r="C18" s="49">
        <v>6171476</v>
      </c>
      <c r="D18" s="49">
        <v>7354808</v>
      </c>
      <c r="E18" s="49">
        <v>8910747</v>
      </c>
      <c r="F18" s="49">
        <v>9786657</v>
      </c>
      <c r="G18" s="49">
        <v>10704385</v>
      </c>
      <c r="H18" s="49">
        <v>11688430</v>
      </c>
      <c r="I18" s="49">
        <v>13514815</v>
      </c>
      <c r="J18" s="50">
        <v>15597640</v>
      </c>
      <c r="K18" s="50">
        <v>17014739.123481985</v>
      </c>
      <c r="L18" s="50">
        <v>13652169.479715142</v>
      </c>
      <c r="M18" s="49">
        <v>17080590.996870514</v>
      </c>
      <c r="N18" s="50">
        <v>20713422.911445394</v>
      </c>
      <c r="O18" s="50">
        <v>23259538.773397241</v>
      </c>
      <c r="P18" s="50">
        <v>25916818.991527658</v>
      </c>
      <c r="Q18" s="4"/>
      <c r="R18" s="4"/>
      <c r="S18" s="4"/>
      <c r="T18" s="4"/>
      <c r="U18" s="3"/>
      <c r="V18" s="4"/>
      <c r="W18" s="4"/>
      <c r="X18" s="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1"/>
      <c r="GI18" s="1"/>
      <c r="GJ18" s="1"/>
    </row>
    <row r="19" spans="1:193" ht="18.75" x14ac:dyDescent="0.3">
      <c r="A19" s="31">
        <v>6.2</v>
      </c>
      <c r="B19" s="32" t="s">
        <v>9</v>
      </c>
      <c r="C19" s="49">
        <v>376290</v>
      </c>
      <c r="D19" s="49">
        <v>408215</v>
      </c>
      <c r="E19" s="49">
        <v>437944</v>
      </c>
      <c r="F19" s="49">
        <v>490873</v>
      </c>
      <c r="G19" s="49">
        <v>565565</v>
      </c>
      <c r="H19" s="49">
        <v>621629</v>
      </c>
      <c r="I19" s="49">
        <v>685543</v>
      </c>
      <c r="J19" s="50">
        <v>800434</v>
      </c>
      <c r="K19" s="50">
        <v>839249.47148220369</v>
      </c>
      <c r="L19" s="50">
        <v>359046.49485421577</v>
      </c>
      <c r="M19" s="49">
        <v>534576.92883069545</v>
      </c>
      <c r="N19" s="50">
        <v>1038449.0572669588</v>
      </c>
      <c r="O19" s="50">
        <v>1300503.7593354001</v>
      </c>
      <c r="P19" s="50">
        <v>1538173.8440830726</v>
      </c>
      <c r="Q19" s="4"/>
      <c r="R19" s="4"/>
      <c r="S19" s="4"/>
      <c r="T19" s="4"/>
      <c r="U19" s="3"/>
      <c r="V19" s="4"/>
      <c r="W19" s="4"/>
      <c r="X19" s="3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1"/>
      <c r="GI19" s="1"/>
      <c r="GJ19" s="1"/>
    </row>
    <row r="20" spans="1:193" s="22" customFormat="1" ht="54" x14ac:dyDescent="0.25">
      <c r="A20" s="28" t="s">
        <v>64</v>
      </c>
      <c r="B20" s="41" t="s">
        <v>10</v>
      </c>
      <c r="C20" s="30">
        <f>SUM(C21:C27)</f>
        <v>2873704.3848862159</v>
      </c>
      <c r="D20" s="30">
        <f t="shared" ref="D20:F20" si="14">SUM(D21:D27)</f>
        <v>3027048.9945239448</v>
      </c>
      <c r="E20" s="30">
        <f t="shared" si="14"/>
        <v>3283513.6886760001</v>
      </c>
      <c r="F20" s="30">
        <f t="shared" si="14"/>
        <v>3689455</v>
      </c>
      <c r="G20" s="30">
        <f t="shared" ref="G20:N20" si="15">SUM(G21:G27)</f>
        <v>4215976</v>
      </c>
      <c r="H20" s="30">
        <f t="shared" si="15"/>
        <v>4195383</v>
      </c>
      <c r="I20" s="30">
        <f t="shared" si="15"/>
        <v>4259273.6914999997</v>
      </c>
      <c r="J20" s="30">
        <f t="shared" si="15"/>
        <v>4466187.2459999993</v>
      </c>
      <c r="K20" s="30">
        <f t="shared" si="15"/>
        <v>5375497.8321567299</v>
      </c>
      <c r="L20" s="30">
        <f t="shared" si="15"/>
        <v>4928836.5671011526</v>
      </c>
      <c r="M20" s="30">
        <f t="shared" si="15"/>
        <v>6610603.6221066341</v>
      </c>
      <c r="N20" s="30">
        <f t="shared" si="15"/>
        <v>7438326.8026199434</v>
      </c>
      <c r="O20" s="30">
        <f t="shared" ref="O20:P20" si="16">SUM(O21:O27)</f>
        <v>8046640.2630825136</v>
      </c>
      <c r="P20" s="30">
        <f t="shared" si="16"/>
        <v>9291563.7535746135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K20" s="20"/>
    </row>
    <row r="21" spans="1:193" ht="18.75" x14ac:dyDescent="0.3">
      <c r="A21" s="31">
        <v>7.1</v>
      </c>
      <c r="B21" s="32" t="s">
        <v>11</v>
      </c>
      <c r="C21" s="49">
        <v>612049</v>
      </c>
      <c r="D21" s="49">
        <v>724335</v>
      </c>
      <c r="E21" s="49">
        <v>699441</v>
      </c>
      <c r="F21" s="49">
        <v>824471</v>
      </c>
      <c r="G21" s="49">
        <v>885459</v>
      </c>
      <c r="H21" s="49">
        <v>867097</v>
      </c>
      <c r="I21" s="49">
        <v>890383</v>
      </c>
      <c r="J21" s="50">
        <v>898476</v>
      </c>
      <c r="K21" s="50">
        <v>1278062.4268393533</v>
      </c>
      <c r="L21" s="50">
        <v>1280844.0443355464</v>
      </c>
      <c r="M21" s="49">
        <v>1170798.1824354625</v>
      </c>
      <c r="N21" s="50">
        <v>1374707.7082548197</v>
      </c>
      <c r="O21" s="50">
        <v>1544306</v>
      </c>
      <c r="P21" s="50">
        <v>1680798</v>
      </c>
      <c r="Q21" s="4"/>
      <c r="R21" s="4"/>
      <c r="S21" s="4"/>
      <c r="T21" s="4"/>
      <c r="U21" s="3"/>
      <c r="V21" s="4"/>
      <c r="W21" s="4"/>
      <c r="X21" s="3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1"/>
      <c r="GI21" s="1"/>
      <c r="GJ21" s="1"/>
    </row>
    <row r="22" spans="1:193" ht="18.75" x14ac:dyDescent="0.3">
      <c r="A22" s="31">
        <v>7.2</v>
      </c>
      <c r="B22" s="32" t="s">
        <v>12</v>
      </c>
      <c r="C22" s="49">
        <v>1088749</v>
      </c>
      <c r="D22" s="49">
        <v>1069077</v>
      </c>
      <c r="E22" s="49">
        <v>1190341</v>
      </c>
      <c r="F22" s="49">
        <v>1267211</v>
      </c>
      <c r="G22" s="49">
        <v>1420371</v>
      </c>
      <c r="H22" s="49">
        <v>1382174</v>
      </c>
      <c r="I22" s="49">
        <v>1508468.943</v>
      </c>
      <c r="J22" s="50">
        <v>1688866.7059999998</v>
      </c>
      <c r="K22" s="50">
        <v>1992088.683183566</v>
      </c>
      <c r="L22" s="50">
        <v>1536628.5543348826</v>
      </c>
      <c r="M22" s="49">
        <v>2869720.9139358238</v>
      </c>
      <c r="N22" s="50">
        <v>2974709.9636271633</v>
      </c>
      <c r="O22" s="50">
        <v>3202365.6641299087</v>
      </c>
      <c r="P22" s="50">
        <v>3891697.4510809658</v>
      </c>
      <c r="Q22" s="4"/>
      <c r="R22" s="4"/>
      <c r="S22" s="4"/>
      <c r="T22" s="4"/>
      <c r="U22" s="3"/>
      <c r="V22" s="4"/>
      <c r="W22" s="4"/>
      <c r="X22" s="3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1"/>
      <c r="GI22" s="1"/>
      <c r="GJ22" s="1"/>
    </row>
    <row r="23" spans="1:193" ht="18.75" x14ac:dyDescent="0.3">
      <c r="A23" s="31">
        <v>7.3</v>
      </c>
      <c r="B23" s="32" t="s">
        <v>13</v>
      </c>
      <c r="C23" s="49">
        <v>41377.947937573219</v>
      </c>
      <c r="D23" s="49">
        <v>32457.206841564526</v>
      </c>
      <c r="E23" s="49">
        <v>18273</v>
      </c>
      <c r="F23" s="49">
        <v>24110</v>
      </c>
      <c r="G23" s="49">
        <v>23024</v>
      </c>
      <c r="H23" s="49">
        <v>35416</v>
      </c>
      <c r="I23" s="49">
        <v>38785.627</v>
      </c>
      <c r="J23" s="50">
        <v>58590.948499999999</v>
      </c>
      <c r="K23" s="50">
        <v>57687.494344150007</v>
      </c>
      <c r="L23" s="50">
        <v>62789.964945570449</v>
      </c>
      <c r="M23" s="49">
        <v>89755.397951133011</v>
      </c>
      <c r="N23" s="50">
        <v>129304.46234846891</v>
      </c>
      <c r="O23" s="50">
        <v>134589.85090380188</v>
      </c>
      <c r="P23" s="50">
        <v>132919.82440211176</v>
      </c>
      <c r="Q23" s="4"/>
      <c r="R23" s="4"/>
      <c r="S23" s="4"/>
      <c r="T23" s="4"/>
      <c r="U23" s="3"/>
      <c r="V23" s="4"/>
      <c r="W23" s="4"/>
      <c r="X23" s="3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1"/>
      <c r="GI23" s="1"/>
      <c r="GJ23" s="1"/>
    </row>
    <row r="24" spans="1:193" ht="18.75" x14ac:dyDescent="0.3">
      <c r="A24" s="31">
        <v>7.4</v>
      </c>
      <c r="B24" s="32" t="s">
        <v>14</v>
      </c>
      <c r="C24" s="49">
        <v>25780</v>
      </c>
      <c r="D24" s="49">
        <v>46513</v>
      </c>
      <c r="E24" s="49">
        <v>41868</v>
      </c>
      <c r="F24" s="49">
        <v>47936</v>
      </c>
      <c r="G24" s="49">
        <v>103785</v>
      </c>
      <c r="H24" s="49">
        <v>122661</v>
      </c>
      <c r="I24" s="49">
        <v>136230.53200000001</v>
      </c>
      <c r="J24" s="50">
        <v>64714.760999999999</v>
      </c>
      <c r="K24" s="50">
        <v>102211.11131462376</v>
      </c>
      <c r="L24" s="50">
        <v>11372.919750979068</v>
      </c>
      <c r="M24" s="49">
        <v>5564.0015779479436</v>
      </c>
      <c r="N24" s="50">
        <v>33498.756080087944</v>
      </c>
      <c r="O24" s="50">
        <v>39303.625667097338</v>
      </c>
      <c r="P24" s="50">
        <v>43652.32236061999</v>
      </c>
      <c r="Q24" s="4"/>
      <c r="R24" s="4"/>
      <c r="S24" s="4"/>
      <c r="T24" s="4"/>
      <c r="U24" s="3"/>
      <c r="V24" s="4"/>
      <c r="W24" s="4"/>
      <c r="X24" s="3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1"/>
      <c r="GI24" s="1"/>
      <c r="GJ24" s="1"/>
    </row>
    <row r="25" spans="1:193" ht="36" x14ac:dyDescent="0.3">
      <c r="A25" s="31">
        <v>7.5</v>
      </c>
      <c r="B25" s="32" t="s">
        <v>15</v>
      </c>
      <c r="C25" s="49">
        <v>286242</v>
      </c>
      <c r="D25" s="49">
        <v>254108</v>
      </c>
      <c r="E25" s="49">
        <v>338624</v>
      </c>
      <c r="F25" s="49">
        <v>314813</v>
      </c>
      <c r="G25" s="49">
        <v>384549</v>
      </c>
      <c r="H25" s="49">
        <v>379522</v>
      </c>
      <c r="I25" s="49">
        <v>394741.5895</v>
      </c>
      <c r="J25" s="50">
        <v>356352.83049999998</v>
      </c>
      <c r="K25" s="50">
        <v>372309.96188034181</v>
      </c>
      <c r="L25" s="50">
        <v>284074.03886944917</v>
      </c>
      <c r="M25" s="49">
        <v>372984.82365390431</v>
      </c>
      <c r="N25" s="50">
        <v>467634.84619134624</v>
      </c>
      <c r="O25" s="50">
        <v>503985.63537630439</v>
      </c>
      <c r="P25" s="50">
        <v>606748.02198689431</v>
      </c>
      <c r="Q25" s="4"/>
      <c r="R25" s="4"/>
      <c r="S25" s="4"/>
      <c r="T25" s="4"/>
      <c r="U25" s="3"/>
      <c r="V25" s="4"/>
      <c r="W25" s="4"/>
      <c r="X25" s="3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1"/>
      <c r="GI25" s="1"/>
      <c r="GJ25" s="1"/>
    </row>
    <row r="26" spans="1:193" ht="18.75" x14ac:dyDescent="0.3">
      <c r="A26" s="31">
        <v>7.6</v>
      </c>
      <c r="B26" s="32" t="s">
        <v>16</v>
      </c>
      <c r="C26" s="49">
        <v>37172</v>
      </c>
      <c r="D26" s="49">
        <v>41716</v>
      </c>
      <c r="E26" s="49">
        <v>45589</v>
      </c>
      <c r="F26" s="49">
        <v>49065</v>
      </c>
      <c r="G26" s="49">
        <v>53766</v>
      </c>
      <c r="H26" s="49">
        <v>57156</v>
      </c>
      <c r="I26" s="49">
        <v>62954</v>
      </c>
      <c r="J26" s="50">
        <v>196030</v>
      </c>
      <c r="K26" s="50">
        <v>201906.61305672626</v>
      </c>
      <c r="L26" s="50">
        <v>207026.9590876867</v>
      </c>
      <c r="M26" s="49">
        <v>224066.91982423034</v>
      </c>
      <c r="N26" s="50">
        <v>251570.62745219079</v>
      </c>
      <c r="O26" s="50">
        <v>271701.79515221581</v>
      </c>
      <c r="P26" s="50">
        <v>291853.44189083722</v>
      </c>
      <c r="Q26" s="4"/>
      <c r="R26" s="4"/>
      <c r="S26" s="4"/>
      <c r="T26" s="4"/>
      <c r="U26" s="3"/>
      <c r="V26" s="4"/>
      <c r="W26" s="4"/>
      <c r="X26" s="3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1"/>
      <c r="GI26" s="1"/>
      <c r="GJ26" s="1"/>
    </row>
    <row r="27" spans="1:193" ht="36" x14ac:dyDescent="0.3">
      <c r="A27" s="31">
        <v>7.7</v>
      </c>
      <c r="B27" s="32" t="s">
        <v>17</v>
      </c>
      <c r="C27" s="49">
        <v>782334.43694864272</v>
      </c>
      <c r="D27" s="49">
        <v>858842.78768238018</v>
      </c>
      <c r="E27" s="49">
        <v>949377.68867600011</v>
      </c>
      <c r="F27" s="49">
        <v>1161849</v>
      </c>
      <c r="G27" s="49">
        <v>1345022</v>
      </c>
      <c r="H27" s="49">
        <v>1351357</v>
      </c>
      <c r="I27" s="49">
        <v>1227710</v>
      </c>
      <c r="J27" s="50">
        <v>1203156</v>
      </c>
      <c r="K27" s="50">
        <v>1371231.5415379689</v>
      </c>
      <c r="L27" s="50">
        <v>1546100.0857770378</v>
      </c>
      <c r="M27" s="49">
        <v>1877713.382728131</v>
      </c>
      <c r="N27" s="50">
        <v>2206900.4386658659</v>
      </c>
      <c r="O27" s="50">
        <v>2350387.6918531847</v>
      </c>
      <c r="P27" s="50">
        <v>2643894.6918531847</v>
      </c>
      <c r="Q27" s="4"/>
      <c r="R27" s="4"/>
      <c r="S27" s="4"/>
      <c r="T27" s="4"/>
      <c r="U27" s="3"/>
      <c r="V27" s="4"/>
      <c r="W27" s="4"/>
      <c r="X27" s="3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1"/>
      <c r="GI27" s="1"/>
      <c r="GJ27" s="1"/>
    </row>
    <row r="28" spans="1:193" ht="18.75" x14ac:dyDescent="0.3">
      <c r="A28" s="35" t="s">
        <v>65</v>
      </c>
      <c r="B28" s="32" t="s">
        <v>18</v>
      </c>
      <c r="C28" s="49">
        <v>3144514</v>
      </c>
      <c r="D28" s="49">
        <v>3467833</v>
      </c>
      <c r="E28" s="49">
        <v>3361856</v>
      </c>
      <c r="F28" s="49">
        <v>3646186</v>
      </c>
      <c r="G28" s="49">
        <v>3974494</v>
      </c>
      <c r="H28" s="49">
        <v>4123217</v>
      </c>
      <c r="I28" s="49">
        <v>4618983</v>
      </c>
      <c r="J28" s="50">
        <v>5000195</v>
      </c>
      <c r="K28" s="50">
        <v>5404173.5664074877</v>
      </c>
      <c r="L28" s="50">
        <v>5700480.0038542971</v>
      </c>
      <c r="M28" s="49">
        <v>6275456.2278154567</v>
      </c>
      <c r="N28" s="50">
        <v>7333558.9880224625</v>
      </c>
      <c r="O28" s="50">
        <v>8037581</v>
      </c>
      <c r="P28" s="50">
        <v>8817227</v>
      </c>
      <c r="Q28" s="4"/>
      <c r="R28" s="4"/>
      <c r="S28" s="4"/>
      <c r="T28" s="4"/>
      <c r="U28" s="3"/>
      <c r="V28" s="4"/>
      <c r="W28" s="4"/>
      <c r="X28" s="3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1"/>
      <c r="GI28" s="1"/>
      <c r="GJ28" s="1"/>
    </row>
    <row r="29" spans="1:193" ht="54" x14ac:dyDescent="0.3">
      <c r="A29" s="35" t="s">
        <v>66</v>
      </c>
      <c r="B29" s="32" t="s">
        <v>19</v>
      </c>
      <c r="C29" s="49">
        <v>4860374</v>
      </c>
      <c r="D29" s="49">
        <v>5695542</v>
      </c>
      <c r="E29" s="49">
        <v>6693270</v>
      </c>
      <c r="F29" s="49">
        <v>7634180</v>
      </c>
      <c r="G29" s="49">
        <v>8224647</v>
      </c>
      <c r="H29" s="49">
        <v>9231607</v>
      </c>
      <c r="I29" s="49">
        <v>10137452</v>
      </c>
      <c r="J29" s="50">
        <v>10991141</v>
      </c>
      <c r="K29" s="50">
        <v>11927083.858620223</v>
      </c>
      <c r="L29" s="50">
        <v>11600501.770781994</v>
      </c>
      <c r="M29" s="49">
        <v>13505259.05871949</v>
      </c>
      <c r="N29" s="50">
        <v>15778158.244734926</v>
      </c>
      <c r="O29" s="50">
        <v>17708574.118791081</v>
      </c>
      <c r="P29" s="50">
        <v>19813328.635387171</v>
      </c>
      <c r="Q29" s="4"/>
      <c r="R29" s="4"/>
      <c r="S29" s="4"/>
      <c r="T29" s="4"/>
      <c r="U29" s="3"/>
      <c r="V29" s="4"/>
      <c r="W29" s="4"/>
      <c r="X29" s="3"/>
      <c r="Y29" s="5"/>
      <c r="Z29" s="5"/>
      <c r="AA29" s="5"/>
      <c r="AB29" s="5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1"/>
      <c r="GI29" s="1"/>
      <c r="GJ29" s="1"/>
    </row>
    <row r="30" spans="1:193" ht="18.75" x14ac:dyDescent="0.3">
      <c r="A30" s="35" t="s">
        <v>67</v>
      </c>
      <c r="B30" s="32" t="s">
        <v>44</v>
      </c>
      <c r="C30" s="49">
        <v>2013735</v>
      </c>
      <c r="D30" s="49">
        <v>2490178</v>
      </c>
      <c r="E30" s="49">
        <v>2541046</v>
      </c>
      <c r="F30" s="49">
        <v>2625455</v>
      </c>
      <c r="G30" s="49">
        <v>2883262.29</v>
      </c>
      <c r="H30" s="49">
        <v>3228437</v>
      </c>
      <c r="I30" s="49">
        <v>3356612</v>
      </c>
      <c r="J30" s="50">
        <v>3954528</v>
      </c>
      <c r="K30" s="50">
        <v>4308776.4000000004</v>
      </c>
      <c r="L30" s="50">
        <v>4922029</v>
      </c>
      <c r="M30" s="49">
        <v>5441160</v>
      </c>
      <c r="N30" s="50">
        <v>5598597.6105724275</v>
      </c>
      <c r="O30" s="50">
        <v>6053375.6085728286</v>
      </c>
      <c r="P30" s="50">
        <v>6616797.3051846344</v>
      </c>
      <c r="Q30" s="4"/>
      <c r="R30" s="4"/>
      <c r="S30" s="4"/>
      <c r="T30" s="4"/>
      <c r="U30" s="3"/>
      <c r="V30" s="4"/>
      <c r="W30" s="4"/>
      <c r="X30" s="3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1"/>
      <c r="GI30" s="1"/>
      <c r="GJ30" s="1"/>
    </row>
    <row r="31" spans="1:193" ht="18.75" x14ac:dyDescent="0.3">
      <c r="A31" s="35" t="s">
        <v>68</v>
      </c>
      <c r="B31" s="32" t="s">
        <v>20</v>
      </c>
      <c r="C31" s="49">
        <v>3086417.19</v>
      </c>
      <c r="D31" s="49">
        <v>3582837.63</v>
      </c>
      <c r="E31" s="49">
        <v>4273726.8099999996</v>
      </c>
      <c r="F31" s="49">
        <v>5028901.3000000007</v>
      </c>
      <c r="G31" s="49">
        <v>5589676.3800000008</v>
      </c>
      <c r="H31" s="49">
        <v>6650352</v>
      </c>
      <c r="I31" s="49">
        <v>7817338</v>
      </c>
      <c r="J31" s="50">
        <v>8598894.964791311</v>
      </c>
      <c r="K31" s="50">
        <v>10308168.51909844</v>
      </c>
      <c r="L31" s="50">
        <v>9209976.4578929059</v>
      </c>
      <c r="M31" s="49">
        <v>10850874.154271608</v>
      </c>
      <c r="N31" s="50">
        <v>12367153.12795114</v>
      </c>
      <c r="O31" s="50">
        <v>14461235.439888032</v>
      </c>
      <c r="P31" s="50">
        <v>16746835.006969668</v>
      </c>
      <c r="Q31" s="4"/>
      <c r="R31" s="4"/>
      <c r="S31" s="4"/>
      <c r="T31" s="4"/>
      <c r="U31" s="3"/>
      <c r="V31" s="4"/>
      <c r="W31" s="4"/>
      <c r="X31" s="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1"/>
      <c r="GI31" s="1"/>
      <c r="GJ31" s="1"/>
    </row>
    <row r="32" spans="1:193" s="20" customFormat="1" ht="18.75" x14ac:dyDescent="0.25">
      <c r="A32" s="36"/>
      <c r="B32" s="37" t="s">
        <v>30</v>
      </c>
      <c r="C32" s="38">
        <f>C17+C20+C28+C29+C30+C31</f>
        <v>22526510.574886218</v>
      </c>
      <c r="D32" s="38">
        <f t="shared" ref="D32:K32" si="17">D17+D20+D28+D29+D30+D31</f>
        <v>26026462.624523941</v>
      </c>
      <c r="E32" s="38">
        <f t="shared" si="17"/>
        <v>29502103.498675998</v>
      </c>
      <c r="F32" s="38">
        <f t="shared" si="17"/>
        <v>32901707.300000001</v>
      </c>
      <c r="G32" s="38">
        <f t="shared" si="17"/>
        <v>36158005.670000002</v>
      </c>
      <c r="H32" s="38">
        <f t="shared" si="17"/>
        <v>39739055</v>
      </c>
      <c r="I32" s="38">
        <f t="shared" si="17"/>
        <v>44390016.691500001</v>
      </c>
      <c r="J32" s="38">
        <f t="shared" si="17"/>
        <v>49409020.210791312</v>
      </c>
      <c r="K32" s="38">
        <f t="shared" si="17"/>
        <v>55177688.771247059</v>
      </c>
      <c r="L32" s="38">
        <f t="shared" ref="L32" si="18">L17+L20+L28+L29+L30+L31</f>
        <v>50373039.774199709</v>
      </c>
      <c r="M32" s="38">
        <f t="shared" ref="M32:N32" si="19">M17+M20+M28+M29+M30+M31</f>
        <v>60298520.988614403</v>
      </c>
      <c r="N32" s="38">
        <f t="shared" si="19"/>
        <v>70267666.742613256</v>
      </c>
      <c r="O32" s="38">
        <f t="shared" ref="O32" si="20">O17+O20+O28+O29+O30+O31</f>
        <v>78867448.963067099</v>
      </c>
      <c r="P32" s="38">
        <f t="shared" ref="P32" si="21">P17+P20+P28+P29+P30+P31</f>
        <v>88740744.536726803</v>
      </c>
      <c r="Q32" s="4"/>
      <c r="R32" s="4"/>
      <c r="S32" s="4"/>
      <c r="T32" s="4"/>
      <c r="U32" s="3"/>
      <c r="V32" s="4"/>
      <c r="W32" s="4"/>
      <c r="X32" s="3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2"/>
      <c r="GI32" s="22"/>
      <c r="GJ32" s="22"/>
    </row>
    <row r="33" spans="1:193" s="22" customFormat="1" ht="36" x14ac:dyDescent="0.25">
      <c r="A33" s="28" t="s">
        <v>27</v>
      </c>
      <c r="B33" s="42" t="s">
        <v>41</v>
      </c>
      <c r="C33" s="30">
        <f>C6+C11+C13+C14+C15+C17+C20+C28+C29+C30+C31</f>
        <v>45118944.541790925</v>
      </c>
      <c r="D33" s="30">
        <f t="shared" ref="D33:K33" si="22">D6+D11+D13+D14+D15+D17+D20+D28+D29+D30+D31</f>
        <v>51426566.914345272</v>
      </c>
      <c r="E33" s="30">
        <f t="shared" si="22"/>
        <v>58371022.027951851</v>
      </c>
      <c r="F33" s="30">
        <f t="shared" si="22"/>
        <v>61221048.876747832</v>
      </c>
      <c r="G33" s="30">
        <f t="shared" si="22"/>
        <v>67885540.860675052</v>
      </c>
      <c r="H33" s="30">
        <f t="shared" si="22"/>
        <v>74084615.981607139</v>
      </c>
      <c r="I33" s="30">
        <f t="shared" si="22"/>
        <v>82966583.939016253</v>
      </c>
      <c r="J33" s="30">
        <f t="shared" si="22"/>
        <v>92904924.564319208</v>
      </c>
      <c r="K33" s="30">
        <f t="shared" si="22"/>
        <v>99650015.318295151</v>
      </c>
      <c r="L33" s="30">
        <f t="shared" ref="L33" si="23">L6+L11+L13+L14+L15+L17+L20+L28+L29+L30+L31</f>
        <v>96265767.336763814</v>
      </c>
      <c r="M33" s="30">
        <f t="shared" ref="M33:N33" si="24">M6+M11+M13+M14+M15+M17+M20+M28+M29+M30+M31</f>
        <v>113341681.59538537</v>
      </c>
      <c r="N33" s="30">
        <f t="shared" si="24"/>
        <v>127798387.98356761</v>
      </c>
      <c r="O33" s="30">
        <f t="shared" ref="O33" si="25">O6+O11+O13+O14+O15+O17+O20+O28+O29+O30+O31</f>
        <v>139461163.76712352</v>
      </c>
      <c r="P33" s="30">
        <f t="shared" ref="P33" si="26">P6+P11+P13+P14+P15+P17+P20+P28+P29+P30+P31</f>
        <v>153611842.48967251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K33" s="20"/>
    </row>
    <row r="34" spans="1:193" s="20" customFormat="1" x14ac:dyDescent="0.25">
      <c r="A34" s="45" t="s">
        <v>33</v>
      </c>
      <c r="B34" s="46" t="s">
        <v>25</v>
      </c>
      <c r="C34" s="38">
        <f>GSVA_cur!C34</f>
        <v>3918617</v>
      </c>
      <c r="D34" s="38">
        <f>GSVA_cur!D34</f>
        <v>4763581</v>
      </c>
      <c r="E34" s="38">
        <f>GSVA_cur!E34</f>
        <v>5375149</v>
      </c>
      <c r="F34" s="38">
        <f>GSVA_cur!F34</f>
        <v>5876464</v>
      </c>
      <c r="G34" s="38">
        <f>GSVA_cur!G34</f>
        <v>6762725</v>
      </c>
      <c r="H34" s="38">
        <f>GSVA_cur!H34</f>
        <v>7551392</v>
      </c>
      <c r="I34" s="38">
        <f>GSVA_cur!I34</f>
        <v>8338880</v>
      </c>
      <c r="J34" s="38">
        <f>GSVA_cur!J34</f>
        <v>10183996</v>
      </c>
      <c r="K34" s="38">
        <f>GSVA_cur!K34</f>
        <v>9793610</v>
      </c>
      <c r="L34" s="38">
        <f>GSVA_cur!L34</f>
        <v>10531911</v>
      </c>
      <c r="M34" s="38">
        <f>GSVA_cur!M34</f>
        <v>12337839</v>
      </c>
      <c r="N34" s="38">
        <f>GSVA_cur!N34</f>
        <v>14153763</v>
      </c>
      <c r="O34" s="38">
        <f>GSVA_cur!O34</f>
        <v>15810238.700417064</v>
      </c>
      <c r="P34" s="38">
        <f>GSVA_cur!P34</f>
        <v>17660578.86967342</v>
      </c>
      <c r="Q34" s="4"/>
      <c r="R34" s="4"/>
      <c r="S34" s="4"/>
      <c r="T34" s="4"/>
      <c r="U34" s="3"/>
      <c r="V34" s="4"/>
      <c r="W34" s="4"/>
      <c r="X34" s="3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</row>
    <row r="35" spans="1:193" s="20" customFormat="1" x14ac:dyDescent="0.25">
      <c r="A35" s="45" t="s">
        <v>34</v>
      </c>
      <c r="B35" s="46" t="s">
        <v>24</v>
      </c>
      <c r="C35" s="38">
        <f>GSVA_cur!C35</f>
        <v>1717096</v>
      </c>
      <c r="D35" s="38">
        <f>GSVA_cur!D35</f>
        <v>2228275</v>
      </c>
      <c r="E35" s="38">
        <f>GSVA_cur!E35</f>
        <v>1999083</v>
      </c>
      <c r="F35" s="38">
        <f>GSVA_cur!F35</f>
        <v>1948334</v>
      </c>
      <c r="G35" s="38">
        <f>GSVA_cur!G35</f>
        <v>2049047</v>
      </c>
      <c r="H35" s="38">
        <f>GSVA_cur!H35</f>
        <v>2232658</v>
      </c>
      <c r="I35" s="38">
        <f>GSVA_cur!I35</f>
        <v>2229716</v>
      </c>
      <c r="J35" s="38">
        <f>GSVA_cur!J35</f>
        <v>2646920</v>
      </c>
      <c r="K35" s="38">
        <f>GSVA_cur!K35</f>
        <v>2148043</v>
      </c>
      <c r="L35" s="38">
        <f>GSVA_cur!L35</f>
        <v>3927256</v>
      </c>
      <c r="M35" s="38">
        <f>GSVA_cur!M35</f>
        <v>4757802</v>
      </c>
      <c r="N35" s="38">
        <f>GSVA_cur!N35</f>
        <v>5582450</v>
      </c>
      <c r="O35" s="38">
        <f>GSVA_cur!O35</f>
        <v>6708636.1482200343</v>
      </c>
      <c r="P35" s="38">
        <f>GSVA_cur!P35</f>
        <v>8062015.5969519727</v>
      </c>
      <c r="Q35" s="4"/>
      <c r="R35" s="4"/>
      <c r="S35" s="4"/>
      <c r="T35" s="4"/>
      <c r="U35" s="3"/>
      <c r="V35" s="4"/>
      <c r="W35" s="4"/>
      <c r="X35" s="3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</row>
    <row r="36" spans="1:193" s="20" customFormat="1" x14ac:dyDescent="0.25">
      <c r="A36" s="45" t="s">
        <v>35</v>
      </c>
      <c r="B36" s="46" t="s">
        <v>53</v>
      </c>
      <c r="C36" s="38">
        <f>C33+C34-C35</f>
        <v>47320465.541790925</v>
      </c>
      <c r="D36" s="38">
        <f t="shared" ref="D36:L36" si="27">D33+D34-D35</f>
        <v>53961872.914345272</v>
      </c>
      <c r="E36" s="38">
        <f t="shared" si="27"/>
        <v>61747088.027951851</v>
      </c>
      <c r="F36" s="38">
        <f t="shared" si="27"/>
        <v>65149178.876747832</v>
      </c>
      <c r="G36" s="38">
        <f t="shared" si="27"/>
        <v>72599218.860675052</v>
      </c>
      <c r="H36" s="38">
        <f t="shared" si="27"/>
        <v>79403349.981607139</v>
      </c>
      <c r="I36" s="38">
        <f t="shared" si="27"/>
        <v>89075747.939016253</v>
      </c>
      <c r="J36" s="38">
        <f t="shared" si="27"/>
        <v>100442000.56431921</v>
      </c>
      <c r="K36" s="38">
        <f t="shared" si="27"/>
        <v>107295582.31829515</v>
      </c>
      <c r="L36" s="38">
        <f t="shared" si="27"/>
        <v>102870422.33676381</v>
      </c>
      <c r="M36" s="38">
        <f t="shared" ref="M36:N36" si="28">M33+M34-M35</f>
        <v>120921718.59538537</v>
      </c>
      <c r="N36" s="38">
        <f t="shared" si="28"/>
        <v>136369700.9835676</v>
      </c>
      <c r="O36" s="38">
        <f t="shared" ref="O36" si="29">O33+O34-O35</f>
        <v>148562766.31932056</v>
      </c>
      <c r="P36" s="38">
        <f t="shared" ref="P36" si="30">P33+P34-P35</f>
        <v>163210405.76239398</v>
      </c>
      <c r="Q36" s="4"/>
      <c r="R36" s="4"/>
      <c r="S36" s="4"/>
      <c r="T36" s="4"/>
      <c r="U36" s="3"/>
      <c r="V36" s="4"/>
      <c r="W36" s="4"/>
      <c r="X36" s="3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</row>
    <row r="37" spans="1:193" s="20" customFormat="1" x14ac:dyDescent="0.25">
      <c r="A37" s="45" t="s">
        <v>36</v>
      </c>
      <c r="B37" s="46" t="s">
        <v>32</v>
      </c>
      <c r="C37" s="38">
        <f>GSVA_cur!C37</f>
        <v>918070</v>
      </c>
      <c r="D37" s="38">
        <f>GSVA_cur!D37</f>
        <v>927260</v>
      </c>
      <c r="E37" s="38">
        <f>GSVA_cur!E37</f>
        <v>936530</v>
      </c>
      <c r="F37" s="38">
        <f>GSVA_cur!F37</f>
        <v>945890</v>
      </c>
      <c r="G37" s="38">
        <f>GSVA_cur!G37</f>
        <v>955350</v>
      </c>
      <c r="H37" s="38">
        <f>GSVA_cur!H37</f>
        <v>964910</v>
      </c>
      <c r="I37" s="38">
        <f>GSVA_cur!I37</f>
        <v>974560</v>
      </c>
      <c r="J37" s="38">
        <f>GSVA_cur!J37</f>
        <v>966530</v>
      </c>
      <c r="K37" s="38">
        <f>GSVA_cur!K37</f>
        <v>972620</v>
      </c>
      <c r="L37" s="38">
        <f>GSVA_cur!L37</f>
        <v>978710</v>
      </c>
      <c r="M37" s="38">
        <f>GSVA_cur!M37</f>
        <v>984040</v>
      </c>
      <c r="N37" s="38">
        <f>GSVA_cur!N37</f>
        <v>988840</v>
      </c>
      <c r="O37" s="38">
        <f>GSVA_cur!O37</f>
        <v>993630</v>
      </c>
      <c r="P37" s="38">
        <f>GSVA_cur!P37</f>
        <v>998430</v>
      </c>
      <c r="Q37" s="2"/>
      <c r="R37" s="2"/>
      <c r="S37" s="2"/>
      <c r="T37" s="2"/>
      <c r="U37" s="1"/>
      <c r="V37" s="2"/>
      <c r="W37" s="2"/>
      <c r="X37" s="1"/>
      <c r="Y37" s="1"/>
      <c r="Z37" s="1"/>
      <c r="AA37" s="1"/>
      <c r="AB37" s="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</row>
    <row r="38" spans="1:193" s="20" customFormat="1" x14ac:dyDescent="0.25">
      <c r="A38" s="45" t="s">
        <v>37</v>
      </c>
      <c r="B38" s="46" t="s">
        <v>54</v>
      </c>
      <c r="C38" s="38">
        <f>C36/C37*1000</f>
        <v>51543.417758766678</v>
      </c>
      <c r="D38" s="38">
        <f t="shared" ref="D38:L38" si="31">D36/D37*1000</f>
        <v>58194.975426897821</v>
      </c>
      <c r="E38" s="38">
        <f t="shared" si="31"/>
        <v>65931.777976094585</v>
      </c>
      <c r="F38" s="38">
        <f t="shared" si="31"/>
        <v>68876.062625408696</v>
      </c>
      <c r="G38" s="38">
        <f t="shared" si="31"/>
        <v>75992.27388985717</v>
      </c>
      <c r="H38" s="38">
        <f t="shared" si="31"/>
        <v>82290.939032248745</v>
      </c>
      <c r="I38" s="38">
        <f t="shared" si="31"/>
        <v>91400.989101765168</v>
      </c>
      <c r="J38" s="38">
        <f t="shared" si="31"/>
        <v>103920.20999277747</v>
      </c>
      <c r="K38" s="38">
        <f t="shared" si="31"/>
        <v>110316.03536663359</v>
      </c>
      <c r="L38" s="38">
        <f t="shared" si="31"/>
        <v>105108.17539083469</v>
      </c>
      <c r="M38" s="38">
        <f t="shared" ref="M38:N38" si="32">M36/M37*1000</f>
        <v>122882.93016075096</v>
      </c>
      <c r="N38" s="38">
        <f t="shared" si="32"/>
        <v>137908.76277614941</v>
      </c>
      <c r="O38" s="38">
        <f t="shared" ref="O38" si="33">O36/O37*1000</f>
        <v>149515.17800320097</v>
      </c>
      <c r="P38" s="38">
        <f t="shared" ref="P38" si="34">P36/P37*1000</f>
        <v>163467.0490293701</v>
      </c>
      <c r="Q38" s="2"/>
      <c r="R38" s="2"/>
      <c r="S38" s="2"/>
      <c r="T38" s="2"/>
      <c r="U38" s="1"/>
      <c r="V38" s="2"/>
      <c r="W38" s="2"/>
      <c r="X38" s="3"/>
      <c r="Y38" s="3"/>
      <c r="Z38" s="3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CC38" s="21"/>
      <c r="CD38" s="21"/>
      <c r="CE38" s="21"/>
      <c r="CF38" s="21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</row>
    <row r="39" spans="1:193" x14ac:dyDescent="0.25">
      <c r="A39" s="11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8" max="1048575" man="1"/>
    <brk id="40" max="1048575" man="1"/>
    <brk id="56" max="1048575" man="1"/>
    <brk id="120" max="95" man="1"/>
    <brk id="156" max="1048575" man="1"/>
    <brk id="180" max="1048575" man="1"/>
    <brk id="188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tabSelected="1" zoomScale="53" zoomScaleNormal="53" zoomScaleSheetLayoutView="100" workbookViewId="0">
      <pane xSplit="2" ySplit="5" topLeftCell="C6" activePane="bottomRight" state="frozen"/>
      <selection activeCell="W21" sqref="W21"/>
      <selection pane="topRight" activeCell="W21" sqref="W21"/>
      <selection pane="bottomLeft" activeCell="W21" sqref="W21"/>
      <selection pane="bottomRight" activeCell="W21" sqref="W21"/>
    </sheetView>
  </sheetViews>
  <sheetFormatPr defaultColWidth="8.85546875" defaultRowHeight="14.25" x14ac:dyDescent="0.2"/>
  <cols>
    <col min="1" max="1" width="11" style="6" customWidth="1"/>
    <col min="2" max="2" width="36.85546875" style="6" customWidth="1"/>
    <col min="3" max="9" width="18.5703125" style="6" customWidth="1"/>
    <col min="10" max="16" width="18.5703125" style="7" customWidth="1"/>
    <col min="17" max="17" width="11.7109375" style="7" customWidth="1"/>
    <col min="18" max="18" width="9.140625" style="6" customWidth="1"/>
    <col min="19" max="19" width="10.85546875" style="6" customWidth="1"/>
    <col min="20" max="20" width="10.85546875" style="7" customWidth="1"/>
    <col min="21" max="21" width="11" style="6" customWidth="1"/>
    <col min="22" max="24" width="11.42578125" style="6" customWidth="1"/>
    <col min="25" max="52" width="9.140625" style="6" customWidth="1"/>
    <col min="53" max="53" width="12.42578125" style="6" customWidth="1"/>
    <col min="54" max="75" width="9.140625" style="6" customWidth="1"/>
    <col min="76" max="76" width="12.140625" style="6" customWidth="1"/>
    <col min="77" max="80" width="9.140625" style="6" customWidth="1"/>
    <col min="81" max="85" width="9.140625" style="6" hidden="1" customWidth="1"/>
    <col min="86" max="86" width="9.140625" style="6" customWidth="1"/>
    <col min="87" max="91" width="9.140625" style="6" hidden="1" customWidth="1"/>
    <col min="92" max="92" width="9.140625" style="6" customWidth="1"/>
    <col min="93" max="97" width="9.140625" style="6" hidden="1" customWidth="1"/>
    <col min="98" max="98" width="9.140625" style="6" customWidth="1"/>
    <col min="99" max="103" width="9.140625" style="6" hidden="1" customWidth="1"/>
    <col min="104" max="104" width="9.140625" style="6" customWidth="1"/>
    <col min="105" max="109" width="9.140625" style="6" hidden="1" customWidth="1"/>
    <col min="110" max="110" width="9.140625" style="7" customWidth="1"/>
    <col min="111" max="115" width="9.140625" style="7" hidden="1" customWidth="1"/>
    <col min="116" max="116" width="9.140625" style="7" customWidth="1"/>
    <col min="117" max="121" width="9.140625" style="7" hidden="1" customWidth="1"/>
    <col min="122" max="122" width="9.140625" style="7" customWidth="1"/>
    <col min="123" max="127" width="9.140625" style="7" hidden="1" customWidth="1"/>
    <col min="128" max="128" width="9.140625" style="7" customWidth="1"/>
    <col min="129" max="158" width="9.140625" style="6" customWidth="1"/>
    <col min="159" max="159" width="9.140625" style="6" hidden="1" customWidth="1"/>
    <col min="160" max="167" width="9.140625" style="6" customWidth="1"/>
    <col min="168" max="168" width="9.140625" style="6" hidden="1" customWidth="1"/>
    <col min="169" max="173" width="9.140625" style="6" customWidth="1"/>
    <col min="174" max="174" width="9.140625" style="6" hidden="1" customWidth="1"/>
    <col min="175" max="184" width="9.140625" style="6" customWidth="1"/>
    <col min="185" max="188" width="8.85546875" style="6"/>
    <col min="189" max="189" width="12.7109375" style="6" bestFit="1" customWidth="1"/>
    <col min="190" max="16384" width="8.85546875" style="6"/>
  </cols>
  <sheetData>
    <row r="1" spans="1:189" ht="18" x14ac:dyDescent="0.25">
      <c r="A1" s="11" t="s">
        <v>43</v>
      </c>
      <c r="B1" s="13" t="s">
        <v>56</v>
      </c>
      <c r="C1" s="11"/>
      <c r="D1" s="11"/>
      <c r="E1" s="11"/>
      <c r="F1" s="11"/>
      <c r="G1" s="11"/>
      <c r="H1" s="11"/>
      <c r="I1" s="11"/>
      <c r="S1" s="8"/>
    </row>
    <row r="2" spans="1:189" ht="18" x14ac:dyDescent="0.25">
      <c r="A2" s="14" t="s">
        <v>42</v>
      </c>
      <c r="B2" s="11"/>
      <c r="C2" s="11"/>
      <c r="D2" s="11"/>
      <c r="E2" s="11"/>
      <c r="F2" s="11"/>
      <c r="G2" s="11"/>
      <c r="H2" s="11"/>
      <c r="I2" s="11" t="str">
        <f>[1]GSVA_cur!$I$3</f>
        <v>01.08.2025</v>
      </c>
    </row>
    <row r="3" spans="1:189" ht="18" x14ac:dyDescent="0.25">
      <c r="A3" s="14"/>
      <c r="B3" s="11"/>
      <c r="C3" s="11"/>
      <c r="D3" s="11"/>
      <c r="E3" s="11"/>
      <c r="F3" s="11"/>
      <c r="G3" s="11"/>
      <c r="H3" s="11"/>
      <c r="I3" s="11"/>
    </row>
    <row r="4" spans="1:189" ht="18" x14ac:dyDescent="0.25">
      <c r="A4" s="14"/>
      <c r="B4" s="11"/>
      <c r="C4" s="11"/>
      <c r="D4" s="11"/>
      <c r="E4" s="15"/>
      <c r="F4" s="15" t="s">
        <v>47</v>
      </c>
      <c r="G4" s="15"/>
      <c r="H4" s="15"/>
      <c r="I4" s="15"/>
    </row>
    <row r="5" spans="1:189" ht="20.25" x14ac:dyDescent="0.3">
      <c r="A5" s="24" t="s">
        <v>0</v>
      </c>
      <c r="B5" s="25" t="s">
        <v>1</v>
      </c>
      <c r="C5" s="47" t="s">
        <v>21</v>
      </c>
      <c r="D5" s="47" t="s">
        <v>22</v>
      </c>
      <c r="E5" s="47" t="s">
        <v>23</v>
      </c>
      <c r="F5" s="47" t="s">
        <v>46</v>
      </c>
      <c r="G5" s="47" t="s">
        <v>55</v>
      </c>
      <c r="H5" s="47" t="s">
        <v>57</v>
      </c>
      <c r="I5" s="47" t="s">
        <v>58</v>
      </c>
      <c r="J5" s="48" t="s">
        <v>69</v>
      </c>
      <c r="K5" s="48" t="s">
        <v>70</v>
      </c>
      <c r="L5" s="48" t="s">
        <v>71</v>
      </c>
      <c r="M5" s="48" t="s">
        <v>72</v>
      </c>
      <c r="N5" s="48" t="s">
        <v>73</v>
      </c>
      <c r="O5" s="48" t="s">
        <v>74</v>
      </c>
      <c r="P5" s="48" t="s">
        <v>76</v>
      </c>
    </row>
    <row r="6" spans="1:189" s="16" customFormat="1" ht="36" x14ac:dyDescent="0.25">
      <c r="A6" s="28" t="s">
        <v>26</v>
      </c>
      <c r="B6" s="29" t="s">
        <v>2</v>
      </c>
      <c r="C6" s="30">
        <f>SUM(C7:C10)</f>
        <v>11166697</v>
      </c>
      <c r="D6" s="30">
        <f t="shared" ref="D6:F6" si="0">SUM(D7:D10)</f>
        <v>11581861</v>
      </c>
      <c r="E6" s="30">
        <f t="shared" si="0"/>
        <v>11518778</v>
      </c>
      <c r="F6" s="30">
        <f t="shared" si="0"/>
        <v>12037623</v>
      </c>
      <c r="G6" s="30">
        <f t="shared" ref="G6:N6" si="1">SUM(G7:G10)</f>
        <v>12090539</v>
      </c>
      <c r="H6" s="30">
        <f t="shared" si="1"/>
        <v>12547029</v>
      </c>
      <c r="I6" s="30">
        <f t="shared" si="1"/>
        <v>13163192</v>
      </c>
      <c r="J6" s="30">
        <f t="shared" si="1"/>
        <v>13295600.665603254</v>
      </c>
      <c r="K6" s="30">
        <f t="shared" si="1"/>
        <v>13562908.190479513</v>
      </c>
      <c r="L6" s="30">
        <f t="shared" si="1"/>
        <v>13729692.119511712</v>
      </c>
      <c r="M6" s="30">
        <f t="shared" si="1"/>
        <v>14095134.27887442</v>
      </c>
      <c r="N6" s="30">
        <f t="shared" si="1"/>
        <v>15001092.327783981</v>
      </c>
      <c r="O6" s="30">
        <f t="shared" ref="O6:P6" si="2">SUM(O7:O10)</f>
        <v>15589164.846190155</v>
      </c>
      <c r="P6" s="30">
        <f t="shared" si="2"/>
        <v>16265252.674403345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G6" s="18"/>
    </row>
    <row r="7" spans="1:189" ht="18.75" x14ac:dyDescent="0.3">
      <c r="A7" s="31">
        <v>1.1000000000000001</v>
      </c>
      <c r="B7" s="32" t="s">
        <v>49</v>
      </c>
      <c r="C7" s="49">
        <v>6939766</v>
      </c>
      <c r="D7" s="49">
        <v>7211011</v>
      </c>
      <c r="E7" s="49">
        <v>7039577</v>
      </c>
      <c r="F7" s="49">
        <v>7523872</v>
      </c>
      <c r="G7" s="49">
        <v>7450630</v>
      </c>
      <c r="H7" s="49">
        <v>7625248</v>
      </c>
      <c r="I7" s="49">
        <v>8017048</v>
      </c>
      <c r="J7" s="50">
        <v>7981555.665603254</v>
      </c>
      <c r="K7" s="50">
        <v>7926649.6417831788</v>
      </c>
      <c r="L7" s="50">
        <v>7893893.2193403253</v>
      </c>
      <c r="M7" s="49">
        <v>7968177.7254160391</v>
      </c>
      <c r="N7" s="50">
        <v>8058336.8981491374</v>
      </c>
      <c r="O7" s="50">
        <v>8033524.7630024645</v>
      </c>
      <c r="P7" s="50">
        <v>8080808.9983724207</v>
      </c>
      <c r="Q7" s="8"/>
      <c r="R7" s="9"/>
      <c r="S7" s="9"/>
      <c r="T7" s="8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7"/>
      <c r="GE7" s="7"/>
      <c r="GF7" s="7"/>
    </row>
    <row r="8" spans="1:189" ht="18.75" x14ac:dyDescent="0.3">
      <c r="A8" s="31">
        <v>1.2</v>
      </c>
      <c r="B8" s="32" t="s">
        <v>50</v>
      </c>
      <c r="C8" s="49">
        <v>2201029</v>
      </c>
      <c r="D8" s="49">
        <v>2328968</v>
      </c>
      <c r="E8" s="49">
        <v>2370422</v>
      </c>
      <c r="F8" s="49">
        <v>2389130</v>
      </c>
      <c r="G8" s="49">
        <v>2454952</v>
      </c>
      <c r="H8" s="49">
        <v>2576172</v>
      </c>
      <c r="I8" s="49">
        <v>2812968</v>
      </c>
      <c r="J8" s="50">
        <v>2867338</v>
      </c>
      <c r="K8" s="50">
        <v>3127630.0212523132</v>
      </c>
      <c r="L8" s="50">
        <v>3321712.7384944782</v>
      </c>
      <c r="M8" s="49">
        <v>3517113.3711189982</v>
      </c>
      <c r="N8" s="50">
        <v>4143326.4691937929</v>
      </c>
      <c r="O8" s="50">
        <v>4702666.0831876909</v>
      </c>
      <c r="P8" s="50">
        <v>5205367.6760309245</v>
      </c>
      <c r="Q8" s="8"/>
      <c r="R8" s="9"/>
      <c r="S8" s="9"/>
      <c r="T8" s="8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7"/>
      <c r="GE8" s="7"/>
      <c r="GF8" s="7"/>
    </row>
    <row r="9" spans="1:189" ht="18.75" x14ac:dyDescent="0.3">
      <c r="A9" s="31">
        <v>1.3</v>
      </c>
      <c r="B9" s="32" t="s">
        <v>51</v>
      </c>
      <c r="C9" s="49">
        <v>507546</v>
      </c>
      <c r="D9" s="49">
        <v>503917</v>
      </c>
      <c r="E9" s="49">
        <v>505586</v>
      </c>
      <c r="F9" s="49">
        <v>474844</v>
      </c>
      <c r="G9" s="49">
        <v>470311</v>
      </c>
      <c r="H9" s="49">
        <v>597340</v>
      </c>
      <c r="I9" s="49">
        <v>522343</v>
      </c>
      <c r="J9" s="50">
        <v>572366</v>
      </c>
      <c r="K9" s="50">
        <v>617876.87896203366</v>
      </c>
      <c r="L9" s="50">
        <v>654179.08963833179</v>
      </c>
      <c r="M9" s="49">
        <v>662596.42124837369</v>
      </c>
      <c r="N9" s="50">
        <v>667265.99370935874</v>
      </c>
      <c r="O9" s="50">
        <v>682869</v>
      </c>
      <c r="P9" s="50">
        <v>695311</v>
      </c>
      <c r="Q9" s="8"/>
      <c r="R9" s="9"/>
      <c r="S9" s="9"/>
      <c r="T9" s="8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7"/>
      <c r="GE9" s="7"/>
      <c r="GF9" s="7"/>
    </row>
    <row r="10" spans="1:189" ht="18.75" x14ac:dyDescent="0.3">
      <c r="A10" s="31">
        <v>1.4</v>
      </c>
      <c r="B10" s="32" t="s">
        <v>52</v>
      </c>
      <c r="C10" s="49">
        <v>1518356</v>
      </c>
      <c r="D10" s="49">
        <v>1537965</v>
      </c>
      <c r="E10" s="49">
        <v>1603193</v>
      </c>
      <c r="F10" s="49">
        <v>1649777</v>
      </c>
      <c r="G10" s="49">
        <v>1714646</v>
      </c>
      <c r="H10" s="49">
        <v>1748269</v>
      </c>
      <c r="I10" s="49">
        <v>1810833</v>
      </c>
      <c r="J10" s="50">
        <v>1874341</v>
      </c>
      <c r="K10" s="50">
        <v>1890751.6484819874</v>
      </c>
      <c r="L10" s="50">
        <v>1859907.0720385769</v>
      </c>
      <c r="M10" s="49">
        <v>1947246.7610910074</v>
      </c>
      <c r="N10" s="50">
        <v>2132162.9667316913</v>
      </c>
      <c r="O10" s="50">
        <v>2170105</v>
      </c>
      <c r="P10" s="50">
        <v>2283765</v>
      </c>
      <c r="Q10" s="8"/>
      <c r="R10" s="9"/>
      <c r="S10" s="9"/>
      <c r="T10" s="8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7"/>
      <c r="GE10" s="7"/>
      <c r="GF10" s="7"/>
    </row>
    <row r="11" spans="1:189" ht="18.75" x14ac:dyDescent="0.3">
      <c r="A11" s="35" t="s">
        <v>59</v>
      </c>
      <c r="B11" s="32" t="s">
        <v>3</v>
      </c>
      <c r="C11" s="49">
        <v>638489</v>
      </c>
      <c r="D11" s="49">
        <v>697431</v>
      </c>
      <c r="E11" s="49">
        <v>583566</v>
      </c>
      <c r="F11" s="49">
        <v>689600</v>
      </c>
      <c r="G11" s="49">
        <v>664679</v>
      </c>
      <c r="H11" s="49">
        <v>628831</v>
      </c>
      <c r="I11" s="49">
        <v>712738</v>
      </c>
      <c r="J11" s="50">
        <v>852196</v>
      </c>
      <c r="K11" s="50">
        <v>845261.32419794251</v>
      </c>
      <c r="L11" s="50">
        <v>630139.04360882798</v>
      </c>
      <c r="M11" s="49">
        <v>716697.40927184816</v>
      </c>
      <c r="N11" s="50">
        <v>1010587.2170757363</v>
      </c>
      <c r="O11" s="50">
        <v>1144843.6283636363</v>
      </c>
      <c r="P11" s="50">
        <v>1142949.6836363636</v>
      </c>
      <c r="Q11" s="8"/>
      <c r="R11" s="9"/>
      <c r="S11" s="9"/>
      <c r="T11" s="8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7"/>
      <c r="GE11" s="7"/>
      <c r="GF11" s="7"/>
    </row>
    <row r="12" spans="1:189" s="18" customFormat="1" ht="18.75" x14ac:dyDescent="0.25">
      <c r="A12" s="36"/>
      <c r="B12" s="37" t="s">
        <v>28</v>
      </c>
      <c r="C12" s="38">
        <f>C6+C11</f>
        <v>11805186</v>
      </c>
      <c r="D12" s="38">
        <f t="shared" ref="D12:F12" si="3">D6+D11</f>
        <v>12279292</v>
      </c>
      <c r="E12" s="38">
        <f t="shared" si="3"/>
        <v>12102344</v>
      </c>
      <c r="F12" s="38">
        <f t="shared" si="3"/>
        <v>12727223</v>
      </c>
      <c r="G12" s="38">
        <f t="shared" ref="G12:N12" si="4">G6+G11</f>
        <v>12755218</v>
      </c>
      <c r="H12" s="38">
        <f t="shared" si="4"/>
        <v>13175860</v>
      </c>
      <c r="I12" s="38">
        <f t="shared" si="4"/>
        <v>13875930</v>
      </c>
      <c r="J12" s="38">
        <f t="shared" si="4"/>
        <v>14147796.665603254</v>
      </c>
      <c r="K12" s="38">
        <f t="shared" si="4"/>
        <v>14408169.514677456</v>
      </c>
      <c r="L12" s="38">
        <f t="shared" si="4"/>
        <v>14359831.16312054</v>
      </c>
      <c r="M12" s="38">
        <f t="shared" si="4"/>
        <v>14811831.688146267</v>
      </c>
      <c r="N12" s="38">
        <f t="shared" si="4"/>
        <v>16011679.544859719</v>
      </c>
      <c r="O12" s="38">
        <f t="shared" ref="O12:P12" si="5">O6+O11</f>
        <v>16734008.47455379</v>
      </c>
      <c r="P12" s="38">
        <f t="shared" si="5"/>
        <v>17408202.358039707</v>
      </c>
      <c r="Q12" s="8"/>
      <c r="R12" s="9"/>
      <c r="S12" s="9"/>
      <c r="T12" s="8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6"/>
      <c r="GE12" s="16"/>
      <c r="GF12" s="16"/>
    </row>
    <row r="13" spans="1:189" s="7" customFormat="1" ht="18.75" x14ac:dyDescent="0.3">
      <c r="A13" s="39" t="s">
        <v>60</v>
      </c>
      <c r="B13" s="40" t="s">
        <v>4</v>
      </c>
      <c r="C13" s="50">
        <v>5780268.5369047113</v>
      </c>
      <c r="D13" s="50">
        <v>5876361.8640278466</v>
      </c>
      <c r="E13" s="50">
        <v>5943261.6260606898</v>
      </c>
      <c r="F13" s="50">
        <v>5274087.2650609929</v>
      </c>
      <c r="G13" s="50">
        <v>6729882.4200321045</v>
      </c>
      <c r="H13" s="50">
        <v>7883496.2356084753</v>
      </c>
      <c r="I13" s="50">
        <v>8778091.1828991715</v>
      </c>
      <c r="J13" s="50">
        <v>10462123.461183833</v>
      </c>
      <c r="K13" s="50">
        <v>10219329.454433326</v>
      </c>
      <c r="L13" s="50">
        <v>10905150.889189091</v>
      </c>
      <c r="M13" s="50">
        <v>12113911.553674899</v>
      </c>
      <c r="N13" s="50">
        <v>11717966.481489683</v>
      </c>
      <c r="O13" s="50">
        <v>12573849.244264936</v>
      </c>
      <c r="P13" s="50">
        <v>13286048.65799222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G13" s="6"/>
    </row>
    <row r="14" spans="1:189" ht="36" x14ac:dyDescent="0.3">
      <c r="A14" s="35" t="s">
        <v>61</v>
      </c>
      <c r="B14" s="32" t="s">
        <v>5</v>
      </c>
      <c r="C14" s="49">
        <v>773788</v>
      </c>
      <c r="D14" s="49">
        <v>815863</v>
      </c>
      <c r="E14" s="49">
        <v>925365</v>
      </c>
      <c r="F14" s="49">
        <v>915409</v>
      </c>
      <c r="G14" s="49">
        <v>1074518</v>
      </c>
      <c r="H14" s="49">
        <v>1083581</v>
      </c>
      <c r="I14" s="49">
        <v>1230913</v>
      </c>
      <c r="J14" s="50">
        <v>1152446</v>
      </c>
      <c r="K14" s="50">
        <v>1241599.4773531626</v>
      </c>
      <c r="L14" s="50">
        <v>1124939.8021102687</v>
      </c>
      <c r="M14" s="49">
        <v>1565604.0339882579</v>
      </c>
      <c r="N14" s="50">
        <v>1102440.4347605051</v>
      </c>
      <c r="O14" s="50">
        <v>1121399</v>
      </c>
      <c r="P14" s="50">
        <v>1201994</v>
      </c>
      <c r="Q14" s="8"/>
      <c r="R14" s="9"/>
      <c r="S14" s="9"/>
      <c r="T14" s="8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8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8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8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7"/>
      <c r="GE14" s="7"/>
      <c r="GF14" s="7"/>
    </row>
    <row r="15" spans="1:189" ht="18.75" x14ac:dyDescent="0.3">
      <c r="A15" s="35" t="s">
        <v>62</v>
      </c>
      <c r="B15" s="32" t="s">
        <v>6</v>
      </c>
      <c r="C15" s="49">
        <v>4233191</v>
      </c>
      <c r="D15" s="49">
        <v>4359136</v>
      </c>
      <c r="E15" s="49">
        <v>4746256</v>
      </c>
      <c r="F15" s="49">
        <v>4720111</v>
      </c>
      <c r="G15" s="49">
        <v>4235753</v>
      </c>
      <c r="H15" s="49">
        <v>5409242</v>
      </c>
      <c r="I15" s="49">
        <v>5592284</v>
      </c>
      <c r="J15" s="50">
        <v>5895912</v>
      </c>
      <c r="K15" s="50">
        <v>6027443.3926138692</v>
      </c>
      <c r="L15" s="50">
        <v>5256976.9557191581</v>
      </c>
      <c r="M15" s="49">
        <v>6018703.1792520685</v>
      </c>
      <c r="N15" s="50">
        <v>6855014.677744912</v>
      </c>
      <c r="O15" s="50">
        <v>7079131.0720105981</v>
      </c>
      <c r="P15" s="50">
        <v>7895810.3745762855</v>
      </c>
      <c r="Q15" s="8"/>
      <c r="R15" s="9"/>
      <c r="S15" s="9"/>
      <c r="T15" s="8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8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8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7"/>
      <c r="GE15" s="7"/>
      <c r="GF15" s="7"/>
    </row>
    <row r="16" spans="1:189" s="18" customFormat="1" ht="18.75" x14ac:dyDescent="0.25">
      <c r="A16" s="36"/>
      <c r="B16" s="37" t="s">
        <v>29</v>
      </c>
      <c r="C16" s="38">
        <f>+C13+C14+C15</f>
        <v>10787247.536904711</v>
      </c>
      <c r="D16" s="38">
        <f t="shared" ref="D16:F16" si="6">+D13+D14+D15</f>
        <v>11051360.864027847</v>
      </c>
      <c r="E16" s="38">
        <f t="shared" si="6"/>
        <v>11614882.626060691</v>
      </c>
      <c r="F16" s="38">
        <f t="shared" si="6"/>
        <v>10909607.265060993</v>
      </c>
      <c r="G16" s="38">
        <f t="shared" ref="G16:K16" si="7">+G13+G14+G15</f>
        <v>12040153.420032104</v>
      </c>
      <c r="H16" s="38">
        <f t="shared" si="7"/>
        <v>14376319.235608475</v>
      </c>
      <c r="I16" s="38">
        <f t="shared" si="7"/>
        <v>15601288.182899171</v>
      </c>
      <c r="J16" s="38">
        <f t="shared" si="7"/>
        <v>17510481.461183831</v>
      </c>
      <c r="K16" s="38">
        <f t="shared" si="7"/>
        <v>17488372.324400358</v>
      </c>
      <c r="L16" s="38">
        <f t="shared" ref="L16:N16" si="8">+L13+L14+L15</f>
        <v>17287067.647018518</v>
      </c>
      <c r="M16" s="38">
        <f t="shared" si="8"/>
        <v>19698218.766915224</v>
      </c>
      <c r="N16" s="38">
        <f t="shared" si="8"/>
        <v>19675421.593995102</v>
      </c>
      <c r="O16" s="38">
        <f t="shared" ref="O16:P16" si="9">+O13+O14+O15</f>
        <v>20774379.316275533</v>
      </c>
      <c r="P16" s="38">
        <f t="shared" si="9"/>
        <v>22383853.032568507</v>
      </c>
      <c r="Q16" s="8"/>
      <c r="R16" s="9"/>
      <c r="S16" s="9"/>
      <c r="T16" s="8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7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7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7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6"/>
      <c r="GE16" s="16"/>
      <c r="GF16" s="16"/>
    </row>
    <row r="17" spans="1:189" s="16" customFormat="1" ht="36" x14ac:dyDescent="0.25">
      <c r="A17" s="28" t="s">
        <v>63</v>
      </c>
      <c r="B17" s="29" t="s">
        <v>7</v>
      </c>
      <c r="C17" s="30">
        <f>C18+C19</f>
        <v>6547766</v>
      </c>
      <c r="D17" s="30">
        <f t="shared" ref="D17:F17" si="10">D18+D19</f>
        <v>6965916</v>
      </c>
      <c r="E17" s="30">
        <f t="shared" si="10"/>
        <v>7565789</v>
      </c>
      <c r="F17" s="30">
        <f t="shared" si="10"/>
        <v>7868965</v>
      </c>
      <c r="G17" s="30">
        <f t="shared" ref="G17:K17" si="11">G18+G19</f>
        <v>8298349</v>
      </c>
      <c r="H17" s="30">
        <f t="shared" si="11"/>
        <v>8600029</v>
      </c>
      <c r="I17" s="30">
        <f t="shared" si="11"/>
        <v>9584722</v>
      </c>
      <c r="J17" s="30">
        <f t="shared" si="11"/>
        <v>10527829</v>
      </c>
      <c r="K17" s="30">
        <f t="shared" si="11"/>
        <v>10934921.119999468</v>
      </c>
      <c r="L17" s="30">
        <f t="shared" ref="L17:N17" si="12">L18+L19</f>
        <v>7816647.7462023813</v>
      </c>
      <c r="M17" s="30">
        <f t="shared" si="12"/>
        <v>9344678.3981150575</v>
      </c>
      <c r="N17" s="30">
        <f t="shared" si="12"/>
        <v>10835999.690460652</v>
      </c>
      <c r="O17" s="30">
        <f t="shared" ref="O17:P17" si="13">O18+O19</f>
        <v>11703025.482000001</v>
      </c>
      <c r="P17" s="30">
        <f t="shared" si="13"/>
        <v>12491367.390865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G17" s="18"/>
    </row>
    <row r="18" spans="1:189" ht="18.75" x14ac:dyDescent="0.3">
      <c r="A18" s="31">
        <v>6.1</v>
      </c>
      <c r="B18" s="32" t="s">
        <v>8</v>
      </c>
      <c r="C18" s="49">
        <v>6171476</v>
      </c>
      <c r="D18" s="49">
        <v>6599559</v>
      </c>
      <c r="E18" s="49">
        <v>7213059</v>
      </c>
      <c r="F18" s="49">
        <v>7495998</v>
      </c>
      <c r="G18" s="49">
        <v>7886000</v>
      </c>
      <c r="H18" s="49">
        <v>8170994</v>
      </c>
      <c r="I18" s="49">
        <v>9127372</v>
      </c>
      <c r="J18" s="50">
        <v>10018375</v>
      </c>
      <c r="K18" s="50">
        <v>10426423.837182298</v>
      </c>
      <c r="L18" s="50">
        <v>7628989.1994168544</v>
      </c>
      <c r="M18" s="49">
        <v>9072204.1552958135</v>
      </c>
      <c r="N18" s="50">
        <v>10326004.239934215</v>
      </c>
      <c r="O18" s="50">
        <v>11091912</v>
      </c>
      <c r="P18" s="50">
        <v>11801016</v>
      </c>
      <c r="Q18" s="8"/>
      <c r="R18" s="9"/>
      <c r="S18" s="9"/>
      <c r="T18" s="8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7"/>
      <c r="GE18" s="7"/>
      <c r="GF18" s="7"/>
    </row>
    <row r="19" spans="1:189" ht="18.75" x14ac:dyDescent="0.3">
      <c r="A19" s="31">
        <v>6.2</v>
      </c>
      <c r="B19" s="32" t="s">
        <v>9</v>
      </c>
      <c r="C19" s="49">
        <v>376290</v>
      </c>
      <c r="D19" s="49">
        <v>366357</v>
      </c>
      <c r="E19" s="49">
        <v>352730</v>
      </c>
      <c r="F19" s="49">
        <v>372967</v>
      </c>
      <c r="G19" s="49">
        <v>412349</v>
      </c>
      <c r="H19" s="49">
        <v>429035</v>
      </c>
      <c r="I19" s="49">
        <v>457350</v>
      </c>
      <c r="J19" s="50">
        <v>509454</v>
      </c>
      <c r="K19" s="50">
        <v>508497.28281717037</v>
      </c>
      <c r="L19" s="50">
        <v>187658.54678552697</v>
      </c>
      <c r="M19" s="49">
        <v>272474.24281924334</v>
      </c>
      <c r="N19" s="50">
        <v>509995.45052643737</v>
      </c>
      <c r="O19" s="50">
        <v>611113.48200000008</v>
      </c>
      <c r="P19" s="50">
        <v>690351.39086499996</v>
      </c>
      <c r="Q19" s="8"/>
      <c r="R19" s="9"/>
      <c r="S19" s="9"/>
      <c r="T19" s="8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7"/>
      <c r="GE19" s="7"/>
      <c r="GF19" s="7"/>
    </row>
    <row r="20" spans="1:189" s="16" customFormat="1" ht="54" x14ac:dyDescent="0.25">
      <c r="A20" s="28" t="s">
        <v>64</v>
      </c>
      <c r="B20" s="41" t="s">
        <v>10</v>
      </c>
      <c r="C20" s="30">
        <f>SUM(C21:C27)</f>
        <v>2873704.3848862159</v>
      </c>
      <c r="D20" s="30">
        <f t="shared" ref="D20:F20" si="14">SUM(D21:D27)</f>
        <v>2856920.6163883456</v>
      </c>
      <c r="E20" s="30">
        <f t="shared" si="14"/>
        <v>2856604.7913701395</v>
      </c>
      <c r="F20" s="30">
        <f t="shared" si="14"/>
        <v>3103636.8175789635</v>
      </c>
      <c r="G20" s="30">
        <f t="shared" ref="G20:N20" si="15">SUM(G21:G27)</f>
        <v>3464800.0863320734</v>
      </c>
      <c r="H20" s="30">
        <f t="shared" si="15"/>
        <v>3254005.4926408478</v>
      </c>
      <c r="I20" s="30">
        <f t="shared" si="15"/>
        <v>3220719.0211663949</v>
      </c>
      <c r="J20" s="30">
        <f t="shared" si="15"/>
        <v>3179000.7590663219</v>
      </c>
      <c r="K20" s="30">
        <f t="shared" si="15"/>
        <v>3425447.283567505</v>
      </c>
      <c r="L20" s="30">
        <f t="shared" si="15"/>
        <v>2522796.053333391</v>
      </c>
      <c r="M20" s="30">
        <f t="shared" si="15"/>
        <v>3321712.9453749359</v>
      </c>
      <c r="N20" s="30">
        <f t="shared" si="15"/>
        <v>3750600.917184331</v>
      </c>
      <c r="O20" s="30">
        <f t="shared" ref="O20:P20" si="16">SUM(O21:O27)</f>
        <v>3951574.6180121768</v>
      </c>
      <c r="P20" s="30">
        <f t="shared" si="16"/>
        <v>4451537.2365275435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G20" s="18"/>
    </row>
    <row r="21" spans="1:189" ht="18.75" x14ac:dyDescent="0.3">
      <c r="A21" s="31">
        <v>7.1</v>
      </c>
      <c r="B21" s="32" t="s">
        <v>11</v>
      </c>
      <c r="C21" s="49">
        <v>612049</v>
      </c>
      <c r="D21" s="49">
        <v>697005</v>
      </c>
      <c r="E21" s="49">
        <v>660560</v>
      </c>
      <c r="F21" s="49">
        <v>720875</v>
      </c>
      <c r="G21" s="49">
        <v>745771</v>
      </c>
      <c r="H21" s="49">
        <v>630228</v>
      </c>
      <c r="I21" s="49">
        <v>635314</v>
      </c>
      <c r="J21" s="50">
        <v>634934</v>
      </c>
      <c r="K21" s="50">
        <v>688686.65664567286</v>
      </c>
      <c r="L21" s="50">
        <v>526659.56698767073</v>
      </c>
      <c r="M21" s="49">
        <v>545671.24626816437</v>
      </c>
      <c r="N21" s="50">
        <v>725713.51823544735</v>
      </c>
      <c r="O21" s="50">
        <v>769698</v>
      </c>
      <c r="P21" s="50">
        <v>816348</v>
      </c>
      <c r="Q21" s="8"/>
      <c r="R21" s="9"/>
      <c r="S21" s="9"/>
      <c r="T21" s="8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7"/>
      <c r="GE21" s="7"/>
      <c r="GF21" s="7"/>
    </row>
    <row r="22" spans="1:189" ht="18.75" x14ac:dyDescent="0.3">
      <c r="A22" s="31">
        <v>7.2</v>
      </c>
      <c r="B22" s="32" t="s">
        <v>12</v>
      </c>
      <c r="C22" s="49">
        <v>1088749</v>
      </c>
      <c r="D22" s="49">
        <v>1016498</v>
      </c>
      <c r="E22" s="49">
        <v>1026365</v>
      </c>
      <c r="F22" s="49">
        <v>1053185</v>
      </c>
      <c r="G22" s="49">
        <v>1160556</v>
      </c>
      <c r="H22" s="49">
        <v>1094426</v>
      </c>
      <c r="I22" s="49">
        <v>1169935</v>
      </c>
      <c r="J22" s="50">
        <v>1222697</v>
      </c>
      <c r="K22" s="50">
        <v>1359738.4505515145</v>
      </c>
      <c r="L22" s="50">
        <v>879407.12440136075</v>
      </c>
      <c r="M22" s="49">
        <v>1523520.6320981327</v>
      </c>
      <c r="N22" s="50">
        <v>1557661.2391089939</v>
      </c>
      <c r="O22" s="50">
        <v>1647282.3190000001</v>
      </c>
      <c r="P22" s="50">
        <v>1952089.7780150003</v>
      </c>
      <c r="Q22" s="8"/>
      <c r="R22" s="9"/>
      <c r="S22" s="9"/>
      <c r="T22" s="8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7"/>
      <c r="GE22" s="7"/>
      <c r="GF22" s="7"/>
    </row>
    <row r="23" spans="1:189" ht="18.75" x14ac:dyDescent="0.3">
      <c r="A23" s="31">
        <v>7.3</v>
      </c>
      <c r="B23" s="32" t="s">
        <v>13</v>
      </c>
      <c r="C23" s="49">
        <v>41377.947937573219</v>
      </c>
      <c r="D23" s="49">
        <v>30863</v>
      </c>
      <c r="E23" s="49">
        <v>15141</v>
      </c>
      <c r="F23" s="49">
        <v>19273</v>
      </c>
      <c r="G23" s="49">
        <v>17797</v>
      </c>
      <c r="H23" s="49">
        <v>27308</v>
      </c>
      <c r="I23" s="49">
        <v>29546</v>
      </c>
      <c r="J23" s="50">
        <v>42501</v>
      </c>
      <c r="K23" s="50">
        <v>39507.979386314793</v>
      </c>
      <c r="L23" s="50">
        <v>36800.886350976733</v>
      </c>
      <c r="M23" s="49">
        <v>47728.478345255964</v>
      </c>
      <c r="N23" s="50">
        <v>67701.93969915816</v>
      </c>
      <c r="O23" s="50">
        <v>69226.005999999994</v>
      </c>
      <c r="P23" s="50">
        <v>66667.585777999993</v>
      </c>
      <c r="Q23" s="8"/>
      <c r="R23" s="9"/>
      <c r="S23" s="9"/>
      <c r="T23" s="8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7"/>
      <c r="GE23" s="7"/>
      <c r="GF23" s="7"/>
    </row>
    <row r="24" spans="1:189" ht="18.75" x14ac:dyDescent="0.3">
      <c r="A24" s="31">
        <v>7.4</v>
      </c>
      <c r="B24" s="32" t="s">
        <v>14</v>
      </c>
      <c r="C24" s="49">
        <v>25780</v>
      </c>
      <c r="D24" s="49">
        <v>44226</v>
      </c>
      <c r="E24" s="49">
        <v>34117</v>
      </c>
      <c r="F24" s="49">
        <v>38616</v>
      </c>
      <c r="G24" s="49">
        <v>84828</v>
      </c>
      <c r="H24" s="49">
        <v>98005</v>
      </c>
      <c r="I24" s="49">
        <v>106854</v>
      </c>
      <c r="J24" s="50">
        <v>46273</v>
      </c>
      <c r="K24" s="50">
        <v>65626.85806202417</v>
      </c>
      <c r="L24" s="50">
        <v>-4476.8709016536595</v>
      </c>
      <c r="M24" s="49">
        <v>-9846.7651709694765</v>
      </c>
      <c r="N24" s="50">
        <v>6515.9575114323889</v>
      </c>
      <c r="O24" s="50">
        <v>7510.1199999999953</v>
      </c>
      <c r="P24" s="50">
        <v>8133.9609599999967</v>
      </c>
      <c r="Q24" s="8"/>
      <c r="R24" s="9"/>
      <c r="S24" s="9"/>
      <c r="T24" s="8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7"/>
      <c r="GE24" s="7"/>
      <c r="GF24" s="7"/>
    </row>
    <row r="25" spans="1:189" ht="36" x14ac:dyDescent="0.3">
      <c r="A25" s="31">
        <v>7.5</v>
      </c>
      <c r="B25" s="32" t="s">
        <v>15</v>
      </c>
      <c r="C25" s="49">
        <v>286242</v>
      </c>
      <c r="D25" s="49">
        <v>216005</v>
      </c>
      <c r="E25" s="49">
        <v>283378</v>
      </c>
      <c r="F25" s="49">
        <v>252205</v>
      </c>
      <c r="G25" s="49">
        <v>292252</v>
      </c>
      <c r="H25" s="49">
        <v>273380</v>
      </c>
      <c r="I25" s="49">
        <v>273879</v>
      </c>
      <c r="J25" s="50">
        <v>227696</v>
      </c>
      <c r="K25" s="50">
        <v>224002.70718177961</v>
      </c>
      <c r="L25" s="50">
        <v>169529.06829184073</v>
      </c>
      <c r="M25" s="49">
        <v>195550.78275764614</v>
      </c>
      <c r="N25" s="50">
        <v>235127.96533644942</v>
      </c>
      <c r="O25" s="50">
        <v>248943.09719999996</v>
      </c>
      <c r="P25" s="50">
        <v>292243.32120308001</v>
      </c>
      <c r="Q25" s="8"/>
      <c r="R25" s="9"/>
      <c r="S25" s="9"/>
      <c r="T25" s="8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7"/>
      <c r="GE25" s="7"/>
      <c r="GF25" s="7"/>
    </row>
    <row r="26" spans="1:189" ht="18.75" x14ac:dyDescent="0.3">
      <c r="A26" s="31">
        <v>7.6</v>
      </c>
      <c r="B26" s="32" t="s">
        <v>16</v>
      </c>
      <c r="C26" s="49">
        <v>37172</v>
      </c>
      <c r="D26" s="49">
        <v>35038.991452991453</v>
      </c>
      <c r="E26" s="49">
        <v>38328.109974424551</v>
      </c>
      <c r="F26" s="49">
        <v>39192.785540211211</v>
      </c>
      <c r="G26" s="49">
        <v>40484.111801242238</v>
      </c>
      <c r="H26" s="49">
        <v>40830.118694362012</v>
      </c>
      <c r="I26" s="49">
        <v>43733.543979320733</v>
      </c>
      <c r="J26" s="50">
        <v>128830.89931717768</v>
      </c>
      <c r="K26" s="50">
        <v>125603.36536346907</v>
      </c>
      <c r="L26" s="50">
        <v>118303.42622052858</v>
      </c>
      <c r="M26" s="49">
        <v>122468.86838277584</v>
      </c>
      <c r="N26" s="50">
        <v>131354.09353913821</v>
      </c>
      <c r="O26" s="50">
        <v>135766.01812546444</v>
      </c>
      <c r="P26" s="50">
        <v>139701.71076820284</v>
      </c>
      <c r="Q26" s="8"/>
      <c r="R26" s="9"/>
      <c r="S26" s="9"/>
      <c r="T26" s="8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7"/>
      <c r="GE26" s="7"/>
      <c r="GF26" s="7"/>
    </row>
    <row r="27" spans="1:189" ht="36" x14ac:dyDescent="0.3">
      <c r="A27" s="31">
        <v>7.7</v>
      </c>
      <c r="B27" s="32" t="s">
        <v>17</v>
      </c>
      <c r="C27" s="49">
        <v>782334.43694864272</v>
      </c>
      <c r="D27" s="49">
        <v>817284.62493535399</v>
      </c>
      <c r="E27" s="49">
        <v>798715.6813957151</v>
      </c>
      <c r="F27" s="49">
        <v>980290.03203875246</v>
      </c>
      <c r="G27" s="49">
        <v>1123111.9745308312</v>
      </c>
      <c r="H27" s="49">
        <v>1089828.3739464856</v>
      </c>
      <c r="I27" s="49">
        <v>961457.47718707426</v>
      </c>
      <c r="J27" s="50">
        <v>876068.85974914464</v>
      </c>
      <c r="K27" s="50">
        <v>922281.26637672982</v>
      </c>
      <c r="L27" s="50">
        <v>796572.85198266746</v>
      </c>
      <c r="M27" s="49">
        <v>896619.70269393059</v>
      </c>
      <c r="N27" s="50">
        <v>1026526.2037537111</v>
      </c>
      <c r="O27" s="50">
        <v>1073149.0576867126</v>
      </c>
      <c r="P27" s="50">
        <v>1176352.8798032603</v>
      </c>
      <c r="Q27" s="8"/>
      <c r="R27" s="9"/>
      <c r="S27" s="9"/>
      <c r="T27" s="8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7"/>
      <c r="GE27" s="7"/>
      <c r="GF27" s="7"/>
    </row>
    <row r="28" spans="1:189" ht="18.75" x14ac:dyDescent="0.3">
      <c r="A28" s="35" t="s">
        <v>65</v>
      </c>
      <c r="B28" s="32" t="s">
        <v>18</v>
      </c>
      <c r="C28" s="49">
        <v>3144514</v>
      </c>
      <c r="D28" s="49">
        <v>3423528</v>
      </c>
      <c r="E28" s="49">
        <v>3242476</v>
      </c>
      <c r="F28" s="49">
        <v>3462129</v>
      </c>
      <c r="G28" s="49">
        <v>3688429</v>
      </c>
      <c r="H28" s="49">
        <v>3836316</v>
      </c>
      <c r="I28" s="49">
        <v>3992632</v>
      </c>
      <c r="J28" s="50">
        <v>3991783</v>
      </c>
      <c r="K28" s="50">
        <v>4122254.7030678657</v>
      </c>
      <c r="L28" s="50">
        <v>4322405.4416997666</v>
      </c>
      <c r="M28" s="49">
        <v>4437927.4102731468</v>
      </c>
      <c r="N28" s="50">
        <v>4528974.8480809452</v>
      </c>
      <c r="O28" s="50">
        <v>4724293</v>
      </c>
      <c r="P28" s="50">
        <v>4947740</v>
      </c>
      <c r="Q28" s="8"/>
      <c r="R28" s="9"/>
      <c r="S28" s="9"/>
      <c r="T28" s="8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7"/>
      <c r="GE28" s="7"/>
      <c r="GF28" s="7"/>
    </row>
    <row r="29" spans="1:189" ht="54" x14ac:dyDescent="0.3">
      <c r="A29" s="35" t="s">
        <v>66</v>
      </c>
      <c r="B29" s="32" t="s">
        <v>19</v>
      </c>
      <c r="C29" s="49">
        <v>4860374</v>
      </c>
      <c r="D29" s="49">
        <v>5104128.5554353707</v>
      </c>
      <c r="E29" s="49">
        <v>5386272.519172594</v>
      </c>
      <c r="F29" s="49">
        <v>5822841.1449073004</v>
      </c>
      <c r="G29" s="49">
        <v>6026910</v>
      </c>
      <c r="H29" s="49">
        <v>6404619</v>
      </c>
      <c r="I29" s="49">
        <v>6799517</v>
      </c>
      <c r="J29" s="50">
        <v>6998596</v>
      </c>
      <c r="K29" s="50">
        <v>7218924.3601294532</v>
      </c>
      <c r="L29" s="50">
        <v>6414041.1649821503</v>
      </c>
      <c r="M29" s="49">
        <v>7075114.3085155897</v>
      </c>
      <c r="N29" s="50">
        <v>7813079.4236136377</v>
      </c>
      <c r="O29" s="50">
        <v>8346348</v>
      </c>
      <c r="P29" s="50">
        <v>8921794</v>
      </c>
      <c r="Q29" s="8"/>
      <c r="R29" s="9"/>
      <c r="S29" s="9"/>
      <c r="T29" s="8"/>
      <c r="U29" s="10"/>
      <c r="V29" s="10"/>
      <c r="W29" s="10"/>
      <c r="X29" s="10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7"/>
      <c r="GE29" s="7"/>
      <c r="GF29" s="7"/>
    </row>
    <row r="30" spans="1:189" ht="18.75" x14ac:dyDescent="0.3">
      <c r="A30" s="35" t="s">
        <v>67</v>
      </c>
      <c r="B30" s="32" t="s">
        <v>44</v>
      </c>
      <c r="C30" s="49">
        <v>2013735</v>
      </c>
      <c r="D30" s="49">
        <v>2206319</v>
      </c>
      <c r="E30" s="49">
        <v>2001695</v>
      </c>
      <c r="F30" s="49">
        <v>1940786</v>
      </c>
      <c r="G30" s="49">
        <v>2050581</v>
      </c>
      <c r="H30" s="49">
        <v>2159624</v>
      </c>
      <c r="I30" s="49">
        <v>2173077</v>
      </c>
      <c r="J30" s="50">
        <v>2437352</v>
      </c>
      <c r="K30" s="50">
        <v>2523302.833871719</v>
      </c>
      <c r="L30" s="50">
        <v>2630187.3330024919</v>
      </c>
      <c r="M30" s="49">
        <v>2747701.5707789874</v>
      </c>
      <c r="N30" s="50">
        <v>2653226.172935253</v>
      </c>
      <c r="O30" s="50">
        <v>2772778</v>
      </c>
      <c r="P30" s="50">
        <v>2893535</v>
      </c>
      <c r="Q30" s="8"/>
      <c r="R30" s="9"/>
      <c r="S30" s="9"/>
      <c r="T30" s="8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7"/>
      <c r="GE30" s="7"/>
      <c r="GF30" s="7"/>
    </row>
    <row r="31" spans="1:189" ht="18.75" x14ac:dyDescent="0.3">
      <c r="A31" s="35" t="s">
        <v>68</v>
      </c>
      <c r="B31" s="32" t="s">
        <v>20</v>
      </c>
      <c r="C31" s="49">
        <v>3086417.19</v>
      </c>
      <c r="D31" s="49">
        <v>3201348</v>
      </c>
      <c r="E31" s="49">
        <v>3563965</v>
      </c>
      <c r="F31" s="49">
        <v>3951209</v>
      </c>
      <c r="G31" s="49">
        <v>4112149</v>
      </c>
      <c r="H31" s="49">
        <v>4592107</v>
      </c>
      <c r="I31" s="49">
        <v>5237791</v>
      </c>
      <c r="J31" s="50">
        <v>5321496</v>
      </c>
      <c r="K31" s="50">
        <v>5981512.9476764556</v>
      </c>
      <c r="L31" s="50">
        <v>5225562.4918999188</v>
      </c>
      <c r="M31" s="49">
        <v>5934662.8694668729</v>
      </c>
      <c r="N31" s="50">
        <v>6520346.1410275958</v>
      </c>
      <c r="O31" s="50">
        <v>7314471</v>
      </c>
      <c r="P31" s="50">
        <v>8102017</v>
      </c>
      <c r="Q31" s="8"/>
      <c r="R31" s="9"/>
      <c r="S31" s="9"/>
      <c r="T31" s="8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7"/>
      <c r="GE31" s="7"/>
      <c r="GF31" s="7"/>
    </row>
    <row r="32" spans="1:189" s="18" customFormat="1" ht="18.75" x14ac:dyDescent="0.25">
      <c r="A32" s="36"/>
      <c r="B32" s="37" t="s">
        <v>30</v>
      </c>
      <c r="C32" s="38">
        <f>C17+C20+C28+C29+C30+C31</f>
        <v>22526510.574886218</v>
      </c>
      <c r="D32" s="38">
        <f t="shared" ref="D32:L32" si="17">D17+D20+D28+D29+D30+D31</f>
        <v>23758160.171823718</v>
      </c>
      <c r="E32" s="38">
        <f t="shared" si="17"/>
        <v>24616802.310542732</v>
      </c>
      <c r="F32" s="38">
        <f t="shared" si="17"/>
        <v>26149566.962486263</v>
      </c>
      <c r="G32" s="38">
        <f t="shared" si="17"/>
        <v>27641218.086332075</v>
      </c>
      <c r="H32" s="38">
        <f t="shared" si="17"/>
        <v>28846700.492640845</v>
      </c>
      <c r="I32" s="38">
        <f t="shared" si="17"/>
        <v>31008458.021166395</v>
      </c>
      <c r="J32" s="38">
        <f t="shared" si="17"/>
        <v>32456056.759066321</v>
      </c>
      <c r="K32" s="38">
        <f t="shared" si="17"/>
        <v>34206363.248312466</v>
      </c>
      <c r="L32" s="38">
        <f t="shared" si="17"/>
        <v>28931640.231120102</v>
      </c>
      <c r="M32" s="38">
        <f t="shared" ref="M32:N32" si="18">M17+M20+M28+M29+M30+M31</f>
        <v>32861797.502524592</v>
      </c>
      <c r="N32" s="38">
        <f t="shared" si="18"/>
        <v>36102227.193302408</v>
      </c>
      <c r="O32" s="38">
        <f t="shared" ref="O32" si="19">O17+O20+O28+O29+O30+O31</f>
        <v>38812490.100012176</v>
      </c>
      <c r="P32" s="38">
        <f t="shared" ref="P32" si="20">P17+P20+P28+P29+P30+P31</f>
        <v>41807990.627392545</v>
      </c>
      <c r="Q32" s="8"/>
      <c r="R32" s="9"/>
      <c r="S32" s="9"/>
      <c r="T32" s="8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6"/>
      <c r="GE32" s="16"/>
      <c r="GF32" s="16"/>
    </row>
    <row r="33" spans="1:189" s="16" customFormat="1" ht="36" x14ac:dyDescent="0.25">
      <c r="A33" s="28" t="s">
        <v>27</v>
      </c>
      <c r="B33" s="42" t="s">
        <v>41</v>
      </c>
      <c r="C33" s="30">
        <f>C6+C11+C13+C14+C15+C17+C20+C28+C29+C30+C31</f>
        <v>45118944.111790925</v>
      </c>
      <c r="D33" s="30">
        <f t="shared" ref="D33:L33" si="21">D6+D11+D13+D14+D15+D17+D20+D28+D29+D30+D31</f>
        <v>47088813.035851568</v>
      </c>
      <c r="E33" s="30">
        <f t="shared" si="21"/>
        <v>48334028.936603427</v>
      </c>
      <c r="F33" s="30">
        <f t="shared" si="21"/>
        <v>49786397.227547258</v>
      </c>
      <c r="G33" s="30">
        <f t="shared" si="21"/>
        <v>52436589.506364182</v>
      </c>
      <c r="H33" s="30">
        <f t="shared" si="21"/>
        <v>56398879.728249319</v>
      </c>
      <c r="I33" s="30">
        <f t="shared" si="21"/>
        <v>60485676.204065561</v>
      </c>
      <c r="J33" s="30">
        <f t="shared" si="21"/>
        <v>64114334.88585341</v>
      </c>
      <c r="K33" s="30">
        <f t="shared" si="21"/>
        <v>66102905.087390289</v>
      </c>
      <c r="L33" s="30">
        <f t="shared" si="21"/>
        <v>60578539.041259155</v>
      </c>
      <c r="M33" s="30">
        <f t="shared" ref="M33:N33" si="22">M6+M11+M13+M14+M15+M17+M20+M28+M29+M30+M31</f>
        <v>67371847.957586095</v>
      </c>
      <c r="N33" s="30">
        <f t="shared" si="22"/>
        <v>71789328.332157239</v>
      </c>
      <c r="O33" s="30">
        <f t="shared" ref="O33" si="23">O6+O11+O13+O14+O15+O17+O20+O28+O29+O30+O31</f>
        <v>76320877.890841499</v>
      </c>
      <c r="P33" s="30">
        <f t="shared" ref="P33" si="24">P6+P11+P13+P14+P15+P17+P20+P28+P29+P30+P31</f>
        <v>81600046.018000752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G33" s="18"/>
    </row>
    <row r="34" spans="1:189" s="18" customFormat="1" ht="18" x14ac:dyDescent="0.25">
      <c r="A34" s="45" t="s">
        <v>33</v>
      </c>
      <c r="B34" s="46" t="s">
        <v>25</v>
      </c>
      <c r="C34" s="38">
        <f>GSVA_const!C34</f>
        <v>3918617</v>
      </c>
      <c r="D34" s="38">
        <f>GSVA_const!D34</f>
        <v>4066461</v>
      </c>
      <c r="E34" s="38">
        <f>GSVA_const!E34</f>
        <v>4106120</v>
      </c>
      <c r="F34" s="38">
        <f>GSVA_const!F34</f>
        <v>3870358</v>
      </c>
      <c r="G34" s="38">
        <f>GSVA_const!G34</f>
        <v>4446239</v>
      </c>
      <c r="H34" s="38">
        <f>GSVA_const!H34</f>
        <v>4305304</v>
      </c>
      <c r="I34" s="38">
        <f>GSVA_const!I34</f>
        <v>4203109</v>
      </c>
      <c r="J34" s="38">
        <f>GSVA_const!J34</f>
        <v>4234458</v>
      </c>
      <c r="K34" s="38">
        <f>GSVA_const!K34</f>
        <v>4068700</v>
      </c>
      <c r="L34" s="38">
        <f>GSVA_const!L34</f>
        <v>3582008</v>
      </c>
      <c r="M34" s="38">
        <f>GSVA_const!M34</f>
        <v>4417849</v>
      </c>
      <c r="N34" s="38">
        <f>GSVA_const!N34</f>
        <v>4167841</v>
      </c>
      <c r="O34" s="38">
        <f>GSVA_const!O34</f>
        <v>4187042</v>
      </c>
      <c r="P34" s="38">
        <f>GSVA_const!P34</f>
        <v>4217607</v>
      </c>
      <c r="Q34" s="8"/>
      <c r="R34" s="9"/>
      <c r="S34" s="9"/>
      <c r="T34" s="8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</row>
    <row r="35" spans="1:189" s="18" customFormat="1" ht="18" x14ac:dyDescent="0.25">
      <c r="A35" s="45" t="s">
        <v>34</v>
      </c>
      <c r="B35" s="46" t="s">
        <v>24</v>
      </c>
      <c r="C35" s="38">
        <f>GSVA_const!C35</f>
        <v>1717096</v>
      </c>
      <c r="D35" s="38">
        <f>GSVA_const!D35</f>
        <v>1865135</v>
      </c>
      <c r="E35" s="38">
        <f>GSVA_const!E35</f>
        <v>2044937</v>
      </c>
      <c r="F35" s="38">
        <f>GSVA_const!F35</f>
        <v>2086597</v>
      </c>
      <c r="G35" s="38">
        <f>GSVA_const!G35</f>
        <v>2184012</v>
      </c>
      <c r="H35" s="38">
        <f>GSVA_const!H35</f>
        <v>2213101</v>
      </c>
      <c r="I35" s="38">
        <f>GSVA_const!I35</f>
        <v>2310085</v>
      </c>
      <c r="J35" s="38">
        <f>GSVA_const!J35</f>
        <v>2436152</v>
      </c>
      <c r="K35" s="38">
        <f>GSVA_const!K35</f>
        <v>2528175</v>
      </c>
      <c r="L35" s="38">
        <f>GSVA_const!L35</f>
        <v>2646462</v>
      </c>
      <c r="M35" s="38">
        <f>GSVA_const!M35</f>
        <v>2808101</v>
      </c>
      <c r="N35" s="38">
        <f>GSVA_const!N35</f>
        <v>2987717</v>
      </c>
      <c r="O35" s="38">
        <f>GSVA_const!O35</f>
        <v>3071334</v>
      </c>
      <c r="P35" s="38">
        <f>GSVA_const!P35</f>
        <v>3166488</v>
      </c>
      <c r="Q35" s="8"/>
      <c r="R35" s="9"/>
      <c r="S35" s="9"/>
      <c r="T35" s="8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</row>
    <row r="36" spans="1:189" s="18" customFormat="1" ht="18" x14ac:dyDescent="0.25">
      <c r="A36" s="45" t="s">
        <v>35</v>
      </c>
      <c r="B36" s="46" t="s">
        <v>53</v>
      </c>
      <c r="C36" s="38">
        <f>C33+C34-C35</f>
        <v>47320465.111790925</v>
      </c>
      <c r="D36" s="38">
        <f t="shared" ref="D36:L36" si="25">D33+D34-D35</f>
        <v>49290139.035851568</v>
      </c>
      <c r="E36" s="38">
        <f t="shared" si="25"/>
        <v>50395211.936603427</v>
      </c>
      <c r="F36" s="38">
        <f t="shared" si="25"/>
        <v>51570158.227547258</v>
      </c>
      <c r="G36" s="38">
        <f t="shared" si="25"/>
        <v>54698816.506364182</v>
      </c>
      <c r="H36" s="38">
        <f t="shared" si="25"/>
        <v>58491082.728249319</v>
      </c>
      <c r="I36" s="38">
        <f t="shared" si="25"/>
        <v>62378700.204065561</v>
      </c>
      <c r="J36" s="38">
        <f t="shared" si="25"/>
        <v>65912640.88585341</v>
      </c>
      <c r="K36" s="38">
        <f t="shared" si="25"/>
        <v>67643430.087390289</v>
      </c>
      <c r="L36" s="38">
        <f t="shared" si="25"/>
        <v>61514085.041259155</v>
      </c>
      <c r="M36" s="38">
        <f t="shared" ref="M36:N36" si="26">M33+M34-M35</f>
        <v>68981595.957586095</v>
      </c>
      <c r="N36" s="38">
        <f t="shared" si="26"/>
        <v>72969452.332157239</v>
      </c>
      <c r="O36" s="38">
        <f t="shared" ref="O36" si="27">O33+O34-O35</f>
        <v>77436585.890841499</v>
      </c>
      <c r="P36" s="38">
        <f t="shared" ref="P36" si="28">P33+P34-P35</f>
        <v>82651165.018000752</v>
      </c>
      <c r="Q36" s="8"/>
      <c r="R36" s="9"/>
      <c r="S36" s="9"/>
      <c r="T36" s="8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</row>
    <row r="37" spans="1:189" s="18" customFormat="1" ht="18" x14ac:dyDescent="0.25">
      <c r="A37" s="45" t="s">
        <v>36</v>
      </c>
      <c r="B37" s="46" t="s">
        <v>32</v>
      </c>
      <c r="C37" s="38">
        <f>GSVA_cur!C37</f>
        <v>918070</v>
      </c>
      <c r="D37" s="38">
        <f>GSVA_cur!D37</f>
        <v>927260</v>
      </c>
      <c r="E37" s="38">
        <f>GSVA_cur!E37</f>
        <v>936530</v>
      </c>
      <c r="F37" s="38">
        <f>GSVA_cur!F37</f>
        <v>945890</v>
      </c>
      <c r="G37" s="38">
        <f>GSVA_cur!G37</f>
        <v>955350</v>
      </c>
      <c r="H37" s="38">
        <f>GSVA_cur!H37</f>
        <v>964910</v>
      </c>
      <c r="I37" s="38">
        <f>GSVA_cur!I37</f>
        <v>974560</v>
      </c>
      <c r="J37" s="38">
        <f>GSVA_cur!J37</f>
        <v>966530</v>
      </c>
      <c r="K37" s="38">
        <f>GSVA_cur!K37</f>
        <v>972620</v>
      </c>
      <c r="L37" s="38">
        <f>GSVA_cur!L37</f>
        <v>978710</v>
      </c>
      <c r="M37" s="38">
        <f>GSVA_cur!M37</f>
        <v>984040</v>
      </c>
      <c r="N37" s="38">
        <f>GSVA_cur!N37</f>
        <v>988840</v>
      </c>
      <c r="O37" s="38">
        <f>GSVA_cur!O37</f>
        <v>993630</v>
      </c>
      <c r="P37" s="38">
        <f>GSVA_cur!P37</f>
        <v>998430</v>
      </c>
      <c r="Q37" s="7"/>
      <c r="R37" s="6"/>
      <c r="S37" s="6"/>
      <c r="T37" s="7"/>
      <c r="U37" s="7"/>
      <c r="V37" s="7"/>
      <c r="W37" s="7"/>
      <c r="X37" s="7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</row>
    <row r="38" spans="1:189" s="18" customFormat="1" ht="18" x14ac:dyDescent="0.25">
      <c r="A38" s="45" t="s">
        <v>37</v>
      </c>
      <c r="B38" s="46" t="s">
        <v>54</v>
      </c>
      <c r="C38" s="38">
        <f>C36/C37*1000</f>
        <v>51543.417290392812</v>
      </c>
      <c r="D38" s="38">
        <f t="shared" ref="D38:L38" si="29">D36/D37*1000</f>
        <v>53156.761896179683</v>
      </c>
      <c r="E38" s="38">
        <f t="shared" si="29"/>
        <v>53810.568734160595</v>
      </c>
      <c r="F38" s="38">
        <f t="shared" si="29"/>
        <v>54520.248895270335</v>
      </c>
      <c r="G38" s="38">
        <f t="shared" si="29"/>
        <v>57255.264046018929</v>
      </c>
      <c r="H38" s="38">
        <f t="shared" si="29"/>
        <v>60618.174470416219</v>
      </c>
      <c r="I38" s="38">
        <f t="shared" si="29"/>
        <v>64007.03928343617</v>
      </c>
      <c r="J38" s="38">
        <f t="shared" si="29"/>
        <v>68195.131952296782</v>
      </c>
      <c r="K38" s="38">
        <f t="shared" si="29"/>
        <v>69547.644596440834</v>
      </c>
      <c r="L38" s="38">
        <f t="shared" si="29"/>
        <v>62852.208561534222</v>
      </c>
      <c r="M38" s="38">
        <f t="shared" ref="M38:N38" si="30">M36/M37*1000</f>
        <v>70100.398314688515</v>
      </c>
      <c r="N38" s="38">
        <f t="shared" si="30"/>
        <v>73792.982011404514</v>
      </c>
      <c r="O38" s="38">
        <f t="shared" ref="O38" si="31">O36/O37*1000</f>
        <v>77933.019223293886</v>
      </c>
      <c r="P38" s="38">
        <f t="shared" ref="P38" si="32">P36/P37*1000</f>
        <v>82781.131394289783</v>
      </c>
      <c r="Q38" s="7"/>
      <c r="R38" s="6"/>
      <c r="S38" s="6"/>
      <c r="T38" s="8"/>
      <c r="U38" s="8"/>
      <c r="V38" s="8"/>
      <c r="W38" s="8"/>
      <c r="X38" s="8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9"/>
      <c r="BZ38" s="19"/>
      <c r="CA38" s="19"/>
      <c r="CB38" s="19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</row>
    <row r="39" spans="1:189" ht="18" x14ac:dyDescent="0.25">
      <c r="A39" s="11" t="s">
        <v>75</v>
      </c>
      <c r="B39" s="11"/>
      <c r="C39" s="11"/>
      <c r="D39" s="11"/>
      <c r="E39" s="11"/>
      <c r="F39" s="11"/>
      <c r="G39" s="11"/>
      <c r="H39" s="11"/>
      <c r="I39" s="11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4" max="1048575" man="1"/>
    <brk id="36" max="1048575" man="1"/>
    <brk id="52" max="1048575" man="1"/>
    <brk id="116" max="95" man="1"/>
    <brk id="152" max="1048575" man="1"/>
    <brk id="176" max="1048575" man="1"/>
    <brk id="184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2025-08-06T06:25:14Z</dcterms:modified>
</cp:coreProperties>
</file>