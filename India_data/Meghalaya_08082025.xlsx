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24226"/>
  <xr:revisionPtr revIDLastSave="0" documentId="13_ncr:1_{708D2AF1-DB7D-4820-8F6E-CCE0C0168E4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4" i="12" l="1"/>
  <c r="P35" i="12"/>
  <c r="P37" i="12"/>
  <c r="P34" i="11"/>
  <c r="P35" i="11"/>
  <c r="P37" i="11"/>
  <c r="P37" i="1"/>
  <c r="P20" i="1"/>
  <c r="P20" i="11"/>
  <c r="P20" i="12"/>
  <c r="P20" i="10"/>
  <c r="P16" i="1"/>
  <c r="P17" i="1"/>
  <c r="P16" i="11"/>
  <c r="P17" i="11"/>
  <c r="P16" i="12"/>
  <c r="P17" i="12"/>
  <c r="P16" i="10"/>
  <c r="P17" i="10"/>
  <c r="P6" i="1"/>
  <c r="P6" i="11"/>
  <c r="P12" i="11" s="1"/>
  <c r="P6" i="12"/>
  <c r="P6" i="10"/>
  <c r="P12" i="12" l="1"/>
  <c r="P32" i="12"/>
  <c r="P33" i="12"/>
  <c r="P32" i="11"/>
  <c r="P33" i="11"/>
  <c r="P32" i="1"/>
  <c r="P33" i="1"/>
  <c r="P33" i="10"/>
  <c r="P32" i="10"/>
  <c r="P12" i="10"/>
  <c r="P12" i="1"/>
  <c r="M16" i="12"/>
  <c r="N16" i="12"/>
  <c r="O16" i="12"/>
  <c r="M6" i="12"/>
  <c r="M12" i="12" s="1"/>
  <c r="N6" i="12"/>
  <c r="N12" i="12" s="1"/>
  <c r="O6" i="12"/>
  <c r="O12" i="12" s="1"/>
  <c r="P36" i="12" l="1"/>
  <c r="P36" i="1"/>
  <c r="P36" i="10"/>
  <c r="P36" i="11"/>
  <c r="O6" i="1"/>
  <c r="O16" i="1"/>
  <c r="O17" i="1"/>
  <c r="O20" i="1"/>
  <c r="O37" i="1"/>
  <c r="O6" i="11"/>
  <c r="O12" i="11" s="1"/>
  <c r="O16" i="11"/>
  <c r="O17" i="11"/>
  <c r="O20" i="11"/>
  <c r="O34" i="11"/>
  <c r="O35" i="11"/>
  <c r="O37" i="11"/>
  <c r="O17" i="12"/>
  <c r="O20" i="12"/>
  <c r="O34" i="12"/>
  <c r="O35" i="12"/>
  <c r="O37" i="12"/>
  <c r="O6" i="10"/>
  <c r="O12" i="10" s="1"/>
  <c r="O16" i="10"/>
  <c r="O17" i="10"/>
  <c r="O20" i="10"/>
  <c r="P38" i="12" l="1"/>
  <c r="O32" i="1"/>
  <c r="P38" i="1"/>
  <c r="P38" i="11"/>
  <c r="P38" i="10"/>
  <c r="O32" i="11"/>
  <c r="O33" i="1"/>
  <c r="O36" i="1" s="1"/>
  <c r="O12" i="1"/>
  <c r="O32" i="10"/>
  <c r="O33" i="10"/>
  <c r="O33" i="12"/>
  <c r="O36" i="12" s="1"/>
  <c r="O33" i="11"/>
  <c r="O36" i="11" s="1"/>
  <c r="O32" i="12"/>
  <c r="O36" i="10" l="1"/>
  <c r="O38" i="11"/>
  <c r="O38" i="1"/>
  <c r="O38" i="12"/>
  <c r="I2" i="1"/>
  <c r="I2" i="11"/>
  <c r="I2" i="12"/>
  <c r="I2" i="10"/>
  <c r="O38" i="10" l="1"/>
  <c r="N6" i="10"/>
  <c r="N16" i="10"/>
  <c r="N17" i="10"/>
  <c r="N20" i="10"/>
  <c r="N17" i="12"/>
  <c r="N20" i="12"/>
  <c r="N6" i="11"/>
  <c r="N16" i="11"/>
  <c r="N17" i="11"/>
  <c r="N20" i="11"/>
  <c r="N6" i="1"/>
  <c r="N12" i="1" s="1"/>
  <c r="N16" i="1"/>
  <c r="N17" i="1"/>
  <c r="N20" i="1"/>
  <c r="N12" i="11" l="1"/>
  <c r="N12" i="10"/>
  <c r="N37" i="1"/>
  <c r="N34" i="11"/>
  <c r="N35" i="11"/>
  <c r="N37" i="11"/>
  <c r="N34" i="12"/>
  <c r="N35" i="12"/>
  <c r="N37" i="12"/>
  <c r="N33" i="11" l="1"/>
  <c r="N32" i="1"/>
  <c r="N32" i="12"/>
  <c r="N32" i="11"/>
  <c r="N32" i="10"/>
  <c r="N33" i="10"/>
  <c r="N33" i="1"/>
  <c r="N33" i="12"/>
  <c r="D34" i="12"/>
  <c r="E34" i="12"/>
  <c r="F34" i="12"/>
  <c r="G34" i="12"/>
  <c r="H34" i="12"/>
  <c r="I34" i="12"/>
  <c r="J34" i="12"/>
  <c r="K34" i="12"/>
  <c r="L34" i="12"/>
  <c r="M34" i="12"/>
  <c r="D35" i="12"/>
  <c r="E35" i="12"/>
  <c r="F35" i="12"/>
  <c r="G35" i="12"/>
  <c r="H35" i="12"/>
  <c r="I35" i="12"/>
  <c r="J35" i="12"/>
  <c r="K35" i="12"/>
  <c r="L35" i="12"/>
  <c r="M35" i="12"/>
  <c r="D37" i="12"/>
  <c r="E37" i="12"/>
  <c r="F37" i="12"/>
  <c r="G37" i="12"/>
  <c r="H37" i="12"/>
  <c r="I37" i="12"/>
  <c r="J37" i="12"/>
  <c r="K37" i="12"/>
  <c r="L37" i="12"/>
  <c r="M37" i="12"/>
  <c r="D34" i="11"/>
  <c r="E34" i="11"/>
  <c r="F34" i="11"/>
  <c r="G34" i="11"/>
  <c r="H34" i="11"/>
  <c r="I34" i="11"/>
  <c r="J34" i="11"/>
  <c r="K34" i="11"/>
  <c r="L34" i="11"/>
  <c r="M34" i="11"/>
  <c r="D35" i="11"/>
  <c r="E35" i="11"/>
  <c r="F35" i="11"/>
  <c r="G35" i="11"/>
  <c r="H35" i="11"/>
  <c r="I35" i="11"/>
  <c r="J35" i="11"/>
  <c r="K35" i="11"/>
  <c r="L35" i="11"/>
  <c r="M35" i="11"/>
  <c r="D37" i="11"/>
  <c r="E37" i="11"/>
  <c r="F37" i="11"/>
  <c r="G37" i="11"/>
  <c r="H37" i="11"/>
  <c r="I37" i="11"/>
  <c r="J37" i="11"/>
  <c r="K37" i="11"/>
  <c r="L37" i="11"/>
  <c r="M37" i="11"/>
  <c r="D37" i="1"/>
  <c r="E37" i="1"/>
  <c r="F37" i="1"/>
  <c r="G37" i="1"/>
  <c r="H37" i="1"/>
  <c r="I37" i="1"/>
  <c r="J37" i="1"/>
  <c r="K37" i="1"/>
  <c r="L37" i="1"/>
  <c r="M37" i="1"/>
  <c r="N36" i="11" l="1"/>
  <c r="N36" i="10"/>
  <c r="N36" i="12"/>
  <c r="N36" i="1"/>
  <c r="M20" i="1"/>
  <c r="M20" i="11"/>
  <c r="M20" i="12"/>
  <c r="M20" i="10"/>
  <c r="M17" i="1"/>
  <c r="M17" i="11"/>
  <c r="M17" i="12"/>
  <c r="M17" i="10"/>
  <c r="M16" i="1"/>
  <c r="M16" i="11"/>
  <c r="M16" i="10"/>
  <c r="M6" i="1"/>
  <c r="M6" i="11"/>
  <c r="M6" i="10"/>
  <c r="N38" i="11" l="1"/>
  <c r="M12" i="1"/>
  <c r="N38" i="10"/>
  <c r="M12" i="10"/>
  <c r="N38" i="12"/>
  <c r="N38" i="1"/>
  <c r="M32" i="12"/>
  <c r="M32" i="11"/>
  <c r="M33" i="12"/>
  <c r="M33" i="11"/>
  <c r="M12" i="11"/>
  <c r="M32" i="1"/>
  <c r="M33" i="1"/>
  <c r="M32" i="10"/>
  <c r="M33" i="10"/>
  <c r="M36" i="1" l="1"/>
  <c r="M36" i="10"/>
  <c r="M36" i="12"/>
  <c r="M36" i="11"/>
  <c r="M38" i="12" l="1"/>
  <c r="M38" i="1"/>
  <c r="M38" i="10"/>
  <c r="M38" i="11"/>
  <c r="L20" i="1"/>
  <c r="L20" i="11"/>
  <c r="L20" i="12"/>
  <c r="L20" i="10"/>
  <c r="L16" i="1"/>
  <c r="L16" i="11"/>
  <c r="L16" i="12"/>
  <c r="L16" i="10"/>
  <c r="L17" i="1"/>
  <c r="L17" i="11"/>
  <c r="L17" i="12"/>
  <c r="L17" i="10"/>
  <c r="L6" i="1"/>
  <c r="L12" i="1" s="1"/>
  <c r="L6" i="11"/>
  <c r="L12" i="11" s="1"/>
  <c r="L6" i="12"/>
  <c r="L12" i="12" s="1"/>
  <c r="L6" i="10"/>
  <c r="L12" i="10" l="1"/>
  <c r="L32" i="12"/>
  <c r="L32" i="1"/>
  <c r="L32" i="11"/>
  <c r="L33" i="11"/>
  <c r="L36" i="11" s="1"/>
  <c r="L38" i="11" s="1"/>
  <c r="L33" i="1"/>
  <c r="L33" i="12"/>
  <c r="L36" i="12" s="1"/>
  <c r="L38" i="12" s="1"/>
  <c r="L32" i="10"/>
  <c r="L33" i="10"/>
  <c r="D20" i="12"/>
  <c r="E20" i="12"/>
  <c r="F20" i="12"/>
  <c r="G20" i="12"/>
  <c r="H20" i="12"/>
  <c r="I20" i="12"/>
  <c r="J20" i="12"/>
  <c r="K20" i="12"/>
  <c r="D16" i="12"/>
  <c r="E16" i="12"/>
  <c r="F16" i="12"/>
  <c r="G16" i="12"/>
  <c r="H16" i="12"/>
  <c r="I16" i="12"/>
  <c r="J16" i="12"/>
  <c r="K16" i="12"/>
  <c r="D17" i="12"/>
  <c r="E17" i="12"/>
  <c r="F17" i="12"/>
  <c r="G17" i="12"/>
  <c r="H17" i="12"/>
  <c r="I17" i="12"/>
  <c r="J17" i="12"/>
  <c r="K17" i="12"/>
  <c r="D6" i="12"/>
  <c r="E6" i="12"/>
  <c r="E12" i="12" s="1"/>
  <c r="F6" i="12"/>
  <c r="F12" i="12" s="1"/>
  <c r="G6" i="12"/>
  <c r="G12" i="12" s="1"/>
  <c r="H6" i="12"/>
  <c r="H12" i="12" s="1"/>
  <c r="I6" i="12"/>
  <c r="I12" i="12" s="1"/>
  <c r="J6" i="12"/>
  <c r="J12" i="12" s="1"/>
  <c r="K6" i="12"/>
  <c r="K12" i="12" s="1"/>
  <c r="D20" i="11"/>
  <c r="E20" i="11"/>
  <c r="F20" i="11"/>
  <c r="G20" i="11"/>
  <c r="H20" i="11"/>
  <c r="I20" i="11"/>
  <c r="J20" i="11"/>
  <c r="K20" i="11"/>
  <c r="D17" i="11"/>
  <c r="E17" i="11"/>
  <c r="F17" i="11"/>
  <c r="G17" i="11"/>
  <c r="H17" i="11"/>
  <c r="I17" i="11"/>
  <c r="J17" i="11"/>
  <c r="K17" i="11"/>
  <c r="D16" i="11"/>
  <c r="E16" i="11"/>
  <c r="F16" i="11"/>
  <c r="G16" i="11"/>
  <c r="H16" i="11"/>
  <c r="I16" i="11"/>
  <c r="J16" i="11"/>
  <c r="K16" i="11"/>
  <c r="D6" i="11"/>
  <c r="D12" i="11" s="1"/>
  <c r="E6" i="11"/>
  <c r="F6" i="11"/>
  <c r="G6" i="11"/>
  <c r="H6" i="11"/>
  <c r="H12" i="11" s="1"/>
  <c r="I6" i="11"/>
  <c r="J6" i="11"/>
  <c r="J12" i="11" s="1"/>
  <c r="K6" i="11"/>
  <c r="K12" i="11" s="1"/>
  <c r="D20" i="1"/>
  <c r="E20" i="1"/>
  <c r="F20" i="1"/>
  <c r="G20" i="1"/>
  <c r="H20" i="1"/>
  <c r="I20" i="1"/>
  <c r="J20" i="1"/>
  <c r="K20" i="1"/>
  <c r="D17" i="1"/>
  <c r="E17" i="1"/>
  <c r="F17" i="1"/>
  <c r="G17" i="1"/>
  <c r="H17" i="1"/>
  <c r="I17" i="1"/>
  <c r="J17" i="1"/>
  <c r="K17" i="1"/>
  <c r="D16" i="1"/>
  <c r="E16" i="1"/>
  <c r="F16" i="1"/>
  <c r="G16" i="1"/>
  <c r="H16" i="1"/>
  <c r="I16" i="1"/>
  <c r="J16" i="1"/>
  <c r="K16" i="1"/>
  <c r="D6" i="1"/>
  <c r="E6" i="1"/>
  <c r="F6" i="1"/>
  <c r="G6" i="1"/>
  <c r="H6" i="1"/>
  <c r="I6" i="1"/>
  <c r="I12" i="1" s="1"/>
  <c r="J6" i="1"/>
  <c r="J12" i="1" s="1"/>
  <c r="K6" i="1"/>
  <c r="K12" i="1" s="1"/>
  <c r="D20" i="10"/>
  <c r="E20" i="10"/>
  <c r="F20" i="10"/>
  <c r="G20" i="10"/>
  <c r="H20" i="10"/>
  <c r="I20" i="10"/>
  <c r="J20" i="10"/>
  <c r="K20" i="10"/>
  <c r="D16" i="10"/>
  <c r="E16" i="10"/>
  <c r="F16" i="10"/>
  <c r="G16" i="10"/>
  <c r="H16" i="10"/>
  <c r="I16" i="10"/>
  <c r="J16" i="10"/>
  <c r="K16" i="10"/>
  <c r="D17" i="10"/>
  <c r="E17" i="10"/>
  <c r="F17" i="10"/>
  <c r="G17" i="10"/>
  <c r="H17" i="10"/>
  <c r="I17" i="10"/>
  <c r="J17" i="10"/>
  <c r="K17" i="10"/>
  <c r="D6" i="10"/>
  <c r="E6" i="10"/>
  <c r="F6" i="10"/>
  <c r="G6" i="10"/>
  <c r="H6" i="10"/>
  <c r="I6" i="10"/>
  <c r="J6" i="10"/>
  <c r="J12" i="10" s="1"/>
  <c r="K6" i="10"/>
  <c r="K12" i="10" s="1"/>
  <c r="D12" i="12" l="1"/>
  <c r="H32" i="10"/>
  <c r="F32" i="10"/>
  <c r="F33" i="12"/>
  <c r="F36" i="12" s="1"/>
  <c r="F38" i="12" s="1"/>
  <c r="I32" i="11"/>
  <c r="J32" i="10"/>
  <c r="G32" i="10"/>
  <c r="K33" i="11"/>
  <c r="K36" i="11" s="1"/>
  <c r="K38" i="11" s="1"/>
  <c r="E32" i="10"/>
  <c r="K32" i="11"/>
  <c r="H32" i="12"/>
  <c r="G32" i="12"/>
  <c r="L36" i="10"/>
  <c r="E32" i="11"/>
  <c r="E32" i="12"/>
  <c r="L36" i="1"/>
  <c r="F32" i="12"/>
  <c r="E33" i="11"/>
  <c r="E36" i="11" s="1"/>
  <c r="E38" i="11" s="1"/>
  <c r="I32" i="10"/>
  <c r="D12" i="1"/>
  <c r="H33" i="12"/>
  <c r="H36" i="12" s="1"/>
  <c r="H38" i="12" s="1"/>
  <c r="I33" i="11"/>
  <c r="G33" i="12"/>
  <c r="G36" i="12" s="1"/>
  <c r="G38" i="12" s="1"/>
  <c r="E33" i="12"/>
  <c r="K32" i="10"/>
  <c r="D33" i="1"/>
  <c r="J33" i="1"/>
  <c r="J32" i="1"/>
  <c r="D32" i="10"/>
  <c r="I33" i="1"/>
  <c r="I32" i="1"/>
  <c r="I12" i="11"/>
  <c r="J33" i="11"/>
  <c r="J36" i="11" s="1"/>
  <c r="J38" i="11" s="1"/>
  <c r="J32" i="11"/>
  <c r="H32" i="1"/>
  <c r="G12" i="1"/>
  <c r="G33" i="1"/>
  <c r="G32" i="1"/>
  <c r="G12" i="11"/>
  <c r="H33" i="11"/>
  <c r="H36" i="11" s="1"/>
  <c r="H38" i="11" s="1"/>
  <c r="H32" i="11"/>
  <c r="H33" i="1"/>
  <c r="F12" i="1"/>
  <c r="F33" i="1"/>
  <c r="F32" i="1"/>
  <c r="F12" i="11"/>
  <c r="G33" i="11"/>
  <c r="G36" i="11" s="1"/>
  <c r="G38" i="11" s="1"/>
  <c r="G32" i="11"/>
  <c r="D33" i="12"/>
  <c r="D36" i="12" s="1"/>
  <c r="D38" i="12" s="1"/>
  <c r="D32" i="12"/>
  <c r="H12" i="1"/>
  <c r="E12" i="1"/>
  <c r="E33" i="1"/>
  <c r="E32" i="1"/>
  <c r="E12" i="11"/>
  <c r="F33" i="11"/>
  <c r="F36" i="11" s="1"/>
  <c r="F38" i="11" s="1"/>
  <c r="F32" i="11"/>
  <c r="K33" i="12"/>
  <c r="K36" i="12" s="1"/>
  <c r="K38" i="12" s="1"/>
  <c r="K32" i="12"/>
  <c r="D32" i="1"/>
  <c r="J33" i="12"/>
  <c r="J36" i="12" s="1"/>
  <c r="J38" i="12" s="1"/>
  <c r="J32" i="12"/>
  <c r="K33" i="1"/>
  <c r="K32" i="1"/>
  <c r="D33" i="11"/>
  <c r="D32" i="11"/>
  <c r="I33" i="12"/>
  <c r="I36" i="12" s="1"/>
  <c r="I38" i="12" s="1"/>
  <c r="I32" i="12"/>
  <c r="J33" i="10"/>
  <c r="F33" i="10"/>
  <c r="K33" i="10"/>
  <c r="D33" i="10"/>
  <c r="F12" i="10"/>
  <c r="G33" i="10"/>
  <c r="H33" i="10"/>
  <c r="I12" i="10"/>
  <c r="E33" i="10"/>
  <c r="I33" i="10"/>
  <c r="H12" i="10"/>
  <c r="G12" i="10"/>
  <c r="E12" i="10"/>
  <c r="D12" i="10"/>
  <c r="E36" i="12" l="1"/>
  <c r="E38" i="12" s="1"/>
  <c r="I36" i="11"/>
  <c r="I38" i="11" s="1"/>
  <c r="D36" i="11"/>
  <c r="D38" i="11" s="1"/>
  <c r="L38" i="10"/>
  <c r="L38" i="1"/>
  <c r="G36" i="1"/>
  <c r="E36" i="1"/>
  <c r="D36" i="1"/>
  <c r="K36" i="1"/>
  <c r="J36" i="1"/>
  <c r="H36" i="1"/>
  <c r="F36" i="1"/>
  <c r="I36" i="1"/>
  <c r="D36" i="10"/>
  <c r="F36" i="10"/>
  <c r="K36" i="10"/>
  <c r="J36" i="10"/>
  <c r="E36" i="10"/>
  <c r="H36" i="10"/>
  <c r="I36" i="10"/>
  <c r="G36" i="10"/>
  <c r="I38" i="1" l="1"/>
  <c r="E38" i="1"/>
  <c r="J38" i="1"/>
  <c r="H38" i="1"/>
  <c r="K38" i="1"/>
  <c r="F38" i="1"/>
  <c r="G38" i="1"/>
  <c r="D38" i="1"/>
  <c r="I38" i="10"/>
  <c r="E38" i="10"/>
  <c r="K38" i="10"/>
  <c r="D38" i="10"/>
  <c r="G38" i="10"/>
  <c r="H38" i="10"/>
  <c r="J38" i="10"/>
  <c r="F38" i="10"/>
  <c r="C37" i="12" l="1"/>
  <c r="C37" i="11"/>
  <c r="C37" i="1"/>
  <c r="C35" i="12" l="1"/>
  <c r="C34" i="12"/>
  <c r="C35" i="11"/>
  <c r="C34" i="11"/>
  <c r="C20" i="12" l="1"/>
  <c r="C17" i="12"/>
  <c r="C16" i="12"/>
  <c r="C6" i="12"/>
  <c r="C20" i="11"/>
  <c r="C17" i="11"/>
  <c r="C16" i="11"/>
  <c r="C6" i="11"/>
  <c r="C20" i="1"/>
  <c r="C17" i="1"/>
  <c r="C16" i="1"/>
  <c r="C6" i="1"/>
  <c r="C20" i="10"/>
  <c r="C17" i="10"/>
  <c r="C16" i="10"/>
  <c r="C6" i="10"/>
  <c r="C12" i="12" l="1"/>
  <c r="C33" i="12"/>
  <c r="C32" i="12"/>
  <c r="C32" i="11"/>
  <c r="C33" i="11"/>
  <c r="C32" i="1"/>
  <c r="C33" i="1"/>
  <c r="C12" i="10"/>
  <c r="C12" i="11"/>
  <c r="C12" i="1"/>
  <c r="C33" i="10"/>
  <c r="C32" i="10"/>
  <c r="C36" i="12" l="1"/>
  <c r="C36" i="1"/>
  <c r="C38" i="1" s="1"/>
  <c r="C36" i="11"/>
  <c r="C36" i="10"/>
  <c r="C38" i="12" l="1"/>
  <c r="C38" i="11"/>
  <c r="C38" i="10"/>
</calcChain>
</file>

<file path=xl/sharedStrings.xml><?xml version="1.0" encoding="utf-8"?>
<sst xmlns="http://schemas.openxmlformats.org/spreadsheetml/2006/main" count="284" uniqueCount="77">
  <si>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</si>
  <si>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</si>
  <si>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</si>
  <si>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</si>
  <si>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</si>
  <si>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</si>
  <si>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</si>
  <si>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</si>
  <si>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</si>
  <si>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</si>
  <si>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</si>
  <si>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</si>
  <si>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</si>
  <si>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</si>
  <si>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</si>
  <si>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</si>
  <si>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</si>
  <si>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</si>
  <si>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</si>
  <si>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</si>
  <si>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</si>
  <si>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</si>
  <si>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</si>
  <si>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</si>
  <si>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</si>
  <si>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</si>
  <si>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</si>
  <si>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</si>
  <si>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</si>
  <si>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</si>
  <si>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</si>
  <si>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</si>
  <si>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</si>
  <si>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</si>
  <si>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</si>
  <si>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</si>
  <si>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</si>
  <si>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</si>
  <si>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</si>
  <si>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</si>
  <si>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</si>
  <si>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</si>
  <si>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</si>
  <si>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</si>
  <si>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</si>
  <si>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</si>
  <si>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</si>
  <si>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</si>
  <si>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</si>
  <si>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</si>
  <si>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</si>
  <si>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</si>
  <si>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</si>
  <si>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</si>
  <si>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</si>
  <si>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</si>
  <si>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</si>
  <si>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</si>
  <si>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</si>
  <si>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</si>
  <si>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</si>
  <si>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</si>
  <si>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</si>
  <si>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</si>
  <si>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</si>
  <si>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</si>
  <si>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Meghalaya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</si>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</sst>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14"/>
      <name val="Calibri"/>
      <family val="2"/>
      <scheme val="minor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1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1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39">
    <xf numFmtId="0" fontId="0" fillId="0" borderId="0" xfId="0"/>
    <xf numFmtId="0" fontId="7" fillId="0" borderId="0" xfId="0" applyFont="1"/>
    <xf numFmtId="0" fontId="7" fillId="0" borderId="0" xfId="0" applyFont="1" applyProtection="1">
      <protection locked="0"/>
    </xf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16" fillId="0" borderId="0" xfId="0" applyFont="1" applyProtection="1">
      <protection locked="0"/>
    </xf>
    <xf numFmtId="0" fontId="1" fillId="0" borderId="0" xfId="0" applyFont="1" applyAlignment="1">
      <alignment horizontal="left" vertical="center"/>
    </xf>
    <xf numFmtId="0" fontId="7" fillId="0" borderId="0" xfId="0" quotePrefix="1" applyFont="1" applyProtection="1">
      <protection locked="0"/>
    </xf>
    <xf numFmtId="1" fontId="7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Protection="1">
      <protection locked="0"/>
    </xf>
    <xf numFmtId="1" fontId="7" fillId="3" borderId="0" xfId="0" applyNumberFormat="1" applyFont="1" applyFill="1" applyProtection="1">
      <protection locked="0"/>
    </xf>
    <xf numFmtId="49" fontId="11" fillId="0" borderId="2" xfId="0" applyNumberFormat="1" applyFont="1" applyBorder="1" applyAlignment="1" applyProtection="1">
      <alignment vertical="center" wrapText="1"/>
      <protection locked="0"/>
    </xf>
    <xf numFmtId="0" fontId="11" fillId="0" borderId="2" xfId="0" applyFont="1" applyBorder="1" applyAlignment="1" applyProtection="1">
      <alignment vertical="center" wrapText="1"/>
      <protection locked="0"/>
    </xf>
    <xf numFmtId="0" fontId="7" fillId="0" borderId="2" xfId="0" applyFont="1" applyBorder="1" applyProtection="1">
      <protection locked="0"/>
    </xf>
    <xf numFmtId="0" fontId="7" fillId="0" borderId="2" xfId="0" applyFont="1" applyBorder="1"/>
    <xf numFmtId="49" fontId="12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/>
    </xf>
    <xf numFmtId="1" fontId="7" fillId="3" borderId="2" xfId="0" applyNumberFormat="1" applyFont="1" applyFill="1" applyBorder="1"/>
    <xf numFmtId="49" fontId="12" fillId="0" borderId="2" xfId="0" applyNumberFormat="1" applyFont="1" applyBorder="1" applyAlignment="1" applyProtection="1">
      <alignment horizontal="righ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1" fontId="7" fillId="0" borderId="2" xfId="0" applyNumberFormat="1" applyFont="1" applyBorder="1" applyProtection="1">
      <protection locked="0"/>
    </xf>
    <xf numFmtId="0" fontId="7" fillId="4" borderId="2" xfId="0" applyFont="1" applyFill="1" applyBorder="1" applyAlignment="1" applyProtection="1">
      <alignment horizontal="left" vertical="center" wrapText="1"/>
      <protection locked="0"/>
    </xf>
    <xf numFmtId="49" fontId="12" fillId="0" borderId="2" xfId="0" applyNumberFormat="1" applyFont="1" applyBorder="1" applyAlignment="1" applyProtection="1">
      <alignment vertical="center" wrapText="1"/>
      <protection locked="0"/>
    </xf>
    <xf numFmtId="49" fontId="12" fillId="3" borderId="2" xfId="0" applyNumberFormat="1" applyFont="1" applyFill="1" applyBorder="1" applyAlignment="1" applyProtection="1">
      <alignment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1" fontId="7" fillId="3" borderId="2" xfId="0" applyNumberFormat="1" applyFont="1" applyFill="1" applyBorder="1" applyProtection="1">
      <protection locked="0"/>
    </xf>
    <xf numFmtId="49" fontId="12" fillId="0" borderId="2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1" fontId="7" fillId="0" borderId="2" xfId="0" applyNumberFormat="1" applyFont="1" applyBorder="1"/>
    <xf numFmtId="49" fontId="14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center" wrapText="1"/>
    </xf>
    <xf numFmtId="49" fontId="12" fillId="0" borderId="2" xfId="0" quotePrefix="1" applyNumberFormat="1" applyFont="1" applyBorder="1" applyAlignment="1">
      <alignment vertical="center" wrapText="1"/>
    </xf>
    <xf numFmtId="0" fontId="7" fillId="0" borderId="2" xfId="0" applyFont="1" applyBorder="1" applyAlignment="1" applyProtection="1">
      <alignment vertical="center" wrapText="1"/>
      <protection locked="0"/>
    </xf>
    <xf numFmtId="49" fontId="12" fillId="3" borderId="2" xfId="0" quotePrefix="1" applyNumberFormat="1" applyFont="1" applyFill="1" applyBorder="1" applyAlignment="1">
      <alignment vertical="center" wrapText="1"/>
    </xf>
    <xf numFmtId="0" fontId="7" fillId="3" borderId="2" xfId="0" applyFont="1" applyFill="1" applyBorder="1" applyAlignment="1" applyProtection="1">
      <alignment vertical="center" wrapText="1"/>
      <protection locked="0"/>
    </xf>
    <xf numFmtId="1" fontId="17" fillId="0" borderId="2" xfId="0" applyNumberFormat="1" applyFont="1" applyBorder="1" applyAlignment="1">
      <alignment horizontal="right" vertical="center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W39"/>
  <sheetViews>
    <sheetView zoomScale="80" zoomScaleNormal="80" zoomScaleSheetLayoutView="100" workbookViewId="0">
      <pane xSplit="2" ySplit="5" topLeftCell="C10" activePane="bottomRight" state="frozen"/>
      <selection activeCell="H1" sqref="H1:K1048576"/>
      <selection pane="topRight" activeCell="H1" sqref="H1:K1048576"/>
      <selection pane="bottomLeft" activeCell="H1" sqref="H1:K1048576"/>
      <selection pane="bottomRight" activeCell="R24" sqref="R24"/>
    </sheetView>
  </sheetViews>
  <sheetFormatPr defaultColWidth="8.85546875" defaultRowHeight="15" x14ac:dyDescent="0.25"/>
  <cols>
    <col min="1" max="1" width="11" style="2" customWidth="1"/>
    <col min="2" max="2" width="36" style="2" customWidth="1"/>
    <col min="3" max="6" width="10.7109375" style="2" customWidth="1"/>
    <col min="7" max="16" width="11.85546875" style="1" customWidth="1"/>
    <col min="17" max="17" width="11.5703125" style="1" customWidth="1"/>
    <col min="18" max="19" width="9.140625" style="2" customWidth="1"/>
    <col min="20" max="20" width="11.85546875" style="2" customWidth="1"/>
    <col min="21" max="21" width="11.28515625" style="2" customWidth="1"/>
    <col min="22" max="22" width="11.7109375" style="1" customWidth="1"/>
    <col min="23" max="23" width="9.140625" style="2" customWidth="1"/>
    <col min="24" max="24" width="10.85546875" style="2" customWidth="1"/>
    <col min="25" max="25" width="10.85546875" style="1" customWidth="1"/>
    <col min="26" max="26" width="11" style="2" customWidth="1"/>
    <col min="27" max="29" width="11.42578125" style="2" customWidth="1"/>
    <col min="30" max="57" width="9.140625" style="2" customWidth="1"/>
    <col min="58" max="58" width="12.42578125" style="2" customWidth="1"/>
    <col min="59" max="80" width="9.140625" style="2" customWidth="1"/>
    <col min="81" max="81" width="12.140625" style="2" customWidth="1"/>
    <col min="82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2" customWidth="1"/>
    <col min="110" max="114" width="9.140625" style="2" hidden="1" customWidth="1"/>
    <col min="115" max="115" width="9.140625" style="1" customWidth="1"/>
    <col min="116" max="120" width="9.140625" style="1" hidden="1" customWidth="1"/>
    <col min="121" max="121" width="9.140625" style="1" customWidth="1"/>
    <col min="122" max="126" width="9.140625" style="1" hidden="1" customWidth="1"/>
    <col min="127" max="127" width="9.140625" style="1" customWidth="1"/>
    <col min="128" max="132" width="9.140625" style="1" hidden="1" customWidth="1"/>
    <col min="133" max="133" width="9.140625" style="1" customWidth="1"/>
    <col min="134" max="163" width="9.140625" style="2" customWidth="1"/>
    <col min="164" max="164" width="9.140625" style="2" hidden="1" customWidth="1"/>
    <col min="165" max="172" width="9.140625" style="2" customWidth="1"/>
    <col min="173" max="173" width="9.140625" style="2" hidden="1" customWidth="1"/>
    <col min="174" max="178" width="9.140625" style="2" customWidth="1"/>
    <col min="179" max="179" width="9.140625" style="2" hidden="1" customWidth="1"/>
    <col min="180" max="189" width="9.140625" style="2" customWidth="1"/>
    <col min="190" max="193" width="8.85546875" style="2"/>
    <col min="194" max="194" width="12.7109375" style="2" bestFit="1" customWidth="1"/>
    <col min="195" max="16384" width="8.85546875" style="2"/>
  </cols>
  <sheetData>
    <row r="1" spans="1:194" ht="18.75" x14ac:dyDescent="0.3">
      <c r="A1" s="2" t="s">
        <v>53</v>
      </c>
      <c r="B1" s="6" t="s">
        <v>66</v>
      </c>
      <c r="X1" s="3"/>
    </row>
    <row r="2" spans="1:194" ht="15.75" x14ac:dyDescent="0.25">
      <c r="A2" s="7" t="s">
        <v>48</v>
      </c>
      <c r="I2" s="1" t="str">
        <f>[1]GSVA_cur!$I$3</f>
        <v>01.08.2025</v>
      </c>
    </row>
    <row r="3" spans="1:194" ht="15.75" x14ac:dyDescent="0.25">
      <c r="A3" s="7"/>
    </row>
    <row r="4" spans="1:194" ht="15.75" x14ac:dyDescent="0.25">
      <c r="A4" s="7"/>
      <c r="E4" s="8"/>
      <c r="F4" s="8" t="s">
        <v>57</v>
      </c>
    </row>
    <row r="5" spans="1:194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  <c r="P5" s="16" t="s">
        <v>76</v>
      </c>
    </row>
    <row r="6" spans="1:194" s="10" customFormat="1" ht="15.75" x14ac:dyDescent="0.25">
      <c r="A6" s="17" t="s">
        <v>26</v>
      </c>
      <c r="B6" s="18" t="s">
        <v>2</v>
      </c>
      <c r="C6" s="19">
        <f>SUM(C7:C10)</f>
        <v>282868.4394423748</v>
      </c>
      <c r="D6" s="19">
        <f t="shared" ref="D6:M6" si="0">SUM(D7:D10)</f>
        <v>322670.39228157571</v>
      </c>
      <c r="E6" s="19">
        <f t="shared" si="0"/>
        <v>344514.3558648125</v>
      </c>
      <c r="F6" s="19">
        <f t="shared" si="0"/>
        <v>409746</v>
      </c>
      <c r="G6" s="19">
        <f t="shared" si="0"/>
        <v>472392.30528724531</v>
      </c>
      <c r="H6" s="19">
        <f t="shared" si="0"/>
        <v>525823</v>
      </c>
      <c r="I6" s="19">
        <f t="shared" si="0"/>
        <v>556097</v>
      </c>
      <c r="J6" s="19">
        <f t="shared" si="0"/>
        <v>597791</v>
      </c>
      <c r="K6" s="19">
        <f t="shared" si="0"/>
        <v>633937</v>
      </c>
      <c r="L6" s="19">
        <f t="shared" si="0"/>
        <v>719948.17783804366</v>
      </c>
      <c r="M6" s="19">
        <f t="shared" si="0"/>
        <v>836508.77241063106</v>
      </c>
      <c r="N6" s="19">
        <f t="shared" ref="N6" si="1">SUM(N7:N10)</f>
        <v>952907.08199792507</v>
      </c>
      <c r="O6" s="19">
        <f t="shared" ref="O6:P6" si="2">SUM(O7:O10)</f>
        <v>1087752.9247838571</v>
      </c>
      <c r="P6" s="19">
        <f t="shared" si="2"/>
        <v>1233225.6179159007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L6" s="11"/>
    </row>
    <row r="7" spans="1:194" ht="15.75" x14ac:dyDescent="0.25">
      <c r="A7" s="20">
        <v>1.1000000000000001</v>
      </c>
      <c r="B7" s="21" t="s">
        <v>59</v>
      </c>
      <c r="C7" s="22">
        <v>163103.15717972827</v>
      </c>
      <c r="D7" s="22">
        <v>198590.68566690301</v>
      </c>
      <c r="E7" s="22">
        <v>208494</v>
      </c>
      <c r="F7" s="22">
        <v>226434</v>
      </c>
      <c r="G7" s="22">
        <v>252188.08643215321</v>
      </c>
      <c r="H7" s="22">
        <v>268160</v>
      </c>
      <c r="I7" s="22">
        <v>287304</v>
      </c>
      <c r="J7" s="22">
        <v>316280</v>
      </c>
      <c r="K7" s="22">
        <v>327968</v>
      </c>
      <c r="L7" s="22">
        <v>403400.59868547658</v>
      </c>
      <c r="M7" s="22">
        <v>483395.13489110034</v>
      </c>
      <c r="N7" s="22">
        <v>532043.82157434709</v>
      </c>
      <c r="O7" s="22">
        <v>624578.78201918618</v>
      </c>
      <c r="P7" s="22">
        <v>722554.79779496067</v>
      </c>
      <c r="Q7" s="3"/>
      <c r="R7" s="4"/>
      <c r="S7" s="4"/>
      <c r="T7" s="4"/>
      <c r="U7" s="4"/>
      <c r="V7" s="3"/>
      <c r="W7" s="4"/>
      <c r="X7" s="4"/>
      <c r="Y7" s="3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1"/>
      <c r="GJ7" s="1"/>
      <c r="GK7" s="1"/>
    </row>
    <row r="8" spans="1:194" ht="15.75" x14ac:dyDescent="0.25">
      <c r="A8" s="20">
        <v>1.2</v>
      </c>
      <c r="B8" s="23" t="s">
        <v>60</v>
      </c>
      <c r="C8" s="22">
        <v>59593.165535754502</v>
      </c>
      <c r="D8" s="22">
        <v>60863.312803462104</v>
      </c>
      <c r="E8" s="22">
        <v>69345</v>
      </c>
      <c r="F8" s="22">
        <v>72442</v>
      </c>
      <c r="G8" s="22">
        <v>74863.279355092091</v>
      </c>
      <c r="H8" s="22">
        <v>79741</v>
      </c>
      <c r="I8" s="22">
        <v>83317</v>
      </c>
      <c r="J8" s="22">
        <v>91588</v>
      </c>
      <c r="K8" s="22">
        <v>100196</v>
      </c>
      <c r="L8" s="22">
        <v>110777.06519728941</v>
      </c>
      <c r="M8" s="22">
        <v>124892.67403150731</v>
      </c>
      <c r="N8" s="22">
        <v>175703.40777446117</v>
      </c>
      <c r="O8" s="22">
        <v>197939.84962797619</v>
      </c>
      <c r="P8" s="22">
        <v>221665.17910810726</v>
      </c>
      <c r="Q8" s="3"/>
      <c r="R8" s="4"/>
      <c r="S8" s="4"/>
      <c r="T8" s="4"/>
      <c r="U8" s="4"/>
      <c r="V8" s="3"/>
      <c r="W8" s="4"/>
      <c r="X8" s="4"/>
      <c r="Y8" s="3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1"/>
      <c r="GJ8" s="1"/>
      <c r="GK8" s="1"/>
    </row>
    <row r="9" spans="1:194" ht="15.75" x14ac:dyDescent="0.25">
      <c r="A9" s="20">
        <v>1.3</v>
      </c>
      <c r="B9" s="21" t="s">
        <v>61</v>
      </c>
      <c r="C9" s="22">
        <v>56090.351648320611</v>
      </c>
      <c r="D9" s="22">
        <v>55730.171108023089</v>
      </c>
      <c r="E9" s="22">
        <v>58137</v>
      </c>
      <c r="F9" s="22">
        <v>101286</v>
      </c>
      <c r="G9" s="22">
        <v>127348.1395</v>
      </c>
      <c r="H9" s="22">
        <v>155664</v>
      </c>
      <c r="I9" s="22">
        <v>158081</v>
      </c>
      <c r="J9" s="22">
        <v>160052</v>
      </c>
      <c r="K9" s="22">
        <v>168979</v>
      </c>
      <c r="L9" s="22">
        <v>166153.83904048495</v>
      </c>
      <c r="M9" s="22">
        <v>181020.97217021175</v>
      </c>
      <c r="N9" s="22">
        <v>190708.56093887857</v>
      </c>
      <c r="O9" s="22">
        <v>206337.29609812115</v>
      </c>
      <c r="P9" s="22">
        <v>221785.68939006256</v>
      </c>
      <c r="Q9" s="3"/>
      <c r="R9" s="4"/>
      <c r="S9" s="4"/>
      <c r="T9" s="4"/>
      <c r="U9" s="4"/>
      <c r="V9" s="3"/>
      <c r="W9" s="4"/>
      <c r="X9" s="4"/>
      <c r="Y9" s="3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1"/>
      <c r="GJ9" s="1"/>
      <c r="GK9" s="1"/>
    </row>
    <row r="10" spans="1:194" ht="15.75" x14ac:dyDescent="0.25">
      <c r="A10" s="20">
        <v>1.4</v>
      </c>
      <c r="B10" s="21" t="s">
        <v>62</v>
      </c>
      <c r="C10" s="22">
        <v>4081.7650785714286</v>
      </c>
      <c r="D10" s="22">
        <v>7486.2227031875</v>
      </c>
      <c r="E10" s="22">
        <v>8538.3558648125017</v>
      </c>
      <c r="F10" s="22">
        <v>9584</v>
      </c>
      <c r="G10" s="22">
        <v>17992.8</v>
      </c>
      <c r="H10" s="22">
        <v>22258</v>
      </c>
      <c r="I10" s="22">
        <v>27395</v>
      </c>
      <c r="J10" s="22">
        <v>29871</v>
      </c>
      <c r="K10" s="22">
        <v>36794</v>
      </c>
      <c r="L10" s="22">
        <v>39616.674914792784</v>
      </c>
      <c r="M10" s="22">
        <v>47199.991317811604</v>
      </c>
      <c r="N10" s="22">
        <v>54451.291710238213</v>
      </c>
      <c r="O10" s="22">
        <v>58896.9970385735</v>
      </c>
      <c r="P10" s="22">
        <v>67219.951622770095</v>
      </c>
      <c r="Q10" s="3"/>
      <c r="R10" s="4"/>
      <c r="S10" s="4"/>
      <c r="T10" s="4"/>
      <c r="U10" s="4"/>
      <c r="V10" s="3"/>
      <c r="W10" s="4"/>
      <c r="X10" s="4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1"/>
      <c r="GJ10" s="1"/>
      <c r="GK10" s="1"/>
    </row>
    <row r="11" spans="1:194" ht="15.75" x14ac:dyDescent="0.25">
      <c r="A11" s="24" t="s">
        <v>31</v>
      </c>
      <c r="B11" s="21" t="s">
        <v>3</v>
      </c>
      <c r="C11" s="22">
        <v>139436</v>
      </c>
      <c r="D11" s="22">
        <v>122745</v>
      </c>
      <c r="E11" s="22">
        <v>188716</v>
      </c>
      <c r="F11" s="22">
        <v>76817</v>
      </c>
      <c r="G11" s="22">
        <v>124097.5148</v>
      </c>
      <c r="H11" s="22">
        <v>96028</v>
      </c>
      <c r="I11" s="22">
        <v>89620</v>
      </c>
      <c r="J11" s="22">
        <v>39934</v>
      </c>
      <c r="K11" s="22">
        <v>34086</v>
      </c>
      <c r="L11" s="22">
        <v>38681.000168648825</v>
      </c>
      <c r="M11" s="22">
        <v>51566.366542417833</v>
      </c>
      <c r="N11" s="22">
        <v>65994.348228200135</v>
      </c>
      <c r="O11" s="22">
        <v>86863.150053993682</v>
      </c>
      <c r="P11" s="22">
        <v>113749.16083303551</v>
      </c>
      <c r="Q11" s="3"/>
      <c r="R11" s="4"/>
      <c r="S11" s="4"/>
      <c r="T11" s="4"/>
      <c r="U11" s="4"/>
      <c r="V11" s="3"/>
      <c r="W11" s="4"/>
      <c r="X11" s="4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1"/>
      <c r="GJ11" s="1"/>
      <c r="GK11" s="1"/>
    </row>
    <row r="12" spans="1:194" s="11" customFormat="1" ht="15.75" x14ac:dyDescent="0.25">
      <c r="A12" s="25"/>
      <c r="B12" s="26" t="s">
        <v>28</v>
      </c>
      <c r="C12" s="27">
        <f>C6+C11</f>
        <v>422304.4394423748</v>
      </c>
      <c r="D12" s="27">
        <f t="shared" ref="D12:J12" si="3">D6+D11</f>
        <v>445415.39228157571</v>
      </c>
      <c r="E12" s="27">
        <f t="shared" si="3"/>
        <v>533230.3558648125</v>
      </c>
      <c r="F12" s="27">
        <f t="shared" si="3"/>
        <v>486563</v>
      </c>
      <c r="G12" s="27">
        <f t="shared" si="3"/>
        <v>596489.82008724532</v>
      </c>
      <c r="H12" s="27">
        <f t="shared" si="3"/>
        <v>621851</v>
      </c>
      <c r="I12" s="27">
        <f t="shared" si="3"/>
        <v>645717</v>
      </c>
      <c r="J12" s="27">
        <f t="shared" si="3"/>
        <v>637725</v>
      </c>
      <c r="K12" s="27">
        <f t="shared" ref="K12:M12" si="4">K6+K11</f>
        <v>668023</v>
      </c>
      <c r="L12" s="27">
        <f t="shared" si="4"/>
        <v>758629.17800669244</v>
      </c>
      <c r="M12" s="27">
        <f t="shared" si="4"/>
        <v>888075.13895304885</v>
      </c>
      <c r="N12" s="27">
        <f t="shared" ref="N12" si="5">N6+N11</f>
        <v>1018901.4302261252</v>
      </c>
      <c r="O12" s="27">
        <f t="shared" ref="O12:P12" si="6">O6+O11</f>
        <v>1174616.0748378509</v>
      </c>
      <c r="P12" s="27">
        <f t="shared" si="6"/>
        <v>1346974.7787489363</v>
      </c>
      <c r="Q12" s="3"/>
      <c r="R12" s="4"/>
      <c r="S12" s="4"/>
      <c r="T12" s="4"/>
      <c r="U12" s="4"/>
      <c r="V12" s="3"/>
      <c r="W12" s="4"/>
      <c r="X12" s="4"/>
      <c r="Y12" s="3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0"/>
      <c r="GJ12" s="10"/>
      <c r="GK12" s="10"/>
    </row>
    <row r="13" spans="1:194" s="1" customFormat="1" ht="15.75" x14ac:dyDescent="0.25">
      <c r="A13" s="28" t="s">
        <v>32</v>
      </c>
      <c r="B13" s="29" t="s">
        <v>4</v>
      </c>
      <c r="C13" s="30">
        <v>464602.96308200946</v>
      </c>
      <c r="D13" s="30">
        <v>493213.96717335033</v>
      </c>
      <c r="E13" s="30">
        <v>399384.30581016</v>
      </c>
      <c r="F13" s="30">
        <v>358995.14055929478</v>
      </c>
      <c r="G13" s="30">
        <v>174253.57810108646</v>
      </c>
      <c r="H13" s="30">
        <v>202964.21</v>
      </c>
      <c r="I13" s="30">
        <v>257315.83443245461</v>
      </c>
      <c r="J13" s="30">
        <v>275531.01903224812</v>
      </c>
      <c r="K13" s="30">
        <v>314305.75866770418</v>
      </c>
      <c r="L13" s="30">
        <v>263792.6506883605</v>
      </c>
      <c r="M13" s="30">
        <v>348480.2189337266</v>
      </c>
      <c r="N13" s="30">
        <v>412208.47206436965</v>
      </c>
      <c r="O13" s="30">
        <v>448259.39782743755</v>
      </c>
      <c r="P13" s="30">
        <v>489861.90794481366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L13" s="2"/>
    </row>
    <row r="14" spans="1:194" ht="30" x14ac:dyDescent="0.25">
      <c r="A14" s="24" t="s">
        <v>33</v>
      </c>
      <c r="B14" s="21" t="s">
        <v>5</v>
      </c>
      <c r="C14" s="22">
        <v>45558</v>
      </c>
      <c r="D14" s="22">
        <v>70063</v>
      </c>
      <c r="E14" s="22">
        <v>42869.700661834686</v>
      </c>
      <c r="F14" s="22">
        <v>45273</v>
      </c>
      <c r="G14" s="22">
        <v>52011.285000000003</v>
      </c>
      <c r="H14" s="22">
        <v>48475</v>
      </c>
      <c r="I14" s="22">
        <v>49833.4064</v>
      </c>
      <c r="J14" s="22">
        <v>77092</v>
      </c>
      <c r="K14" s="22">
        <v>54504</v>
      </c>
      <c r="L14" s="22">
        <v>62033.626799999998</v>
      </c>
      <c r="M14" s="22">
        <v>86090.784500000009</v>
      </c>
      <c r="N14" s="22">
        <v>98937</v>
      </c>
      <c r="O14" s="22">
        <v>115031</v>
      </c>
      <c r="P14" s="22">
        <v>134951.27638788213</v>
      </c>
      <c r="Q14" s="3"/>
      <c r="R14" s="4"/>
      <c r="S14" s="4"/>
      <c r="T14" s="4"/>
      <c r="U14" s="4"/>
      <c r="V14" s="3"/>
      <c r="W14" s="4"/>
      <c r="X14" s="4"/>
      <c r="Y14" s="3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3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3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3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1"/>
      <c r="GJ14" s="1"/>
      <c r="GK14" s="1"/>
    </row>
    <row r="15" spans="1:194" ht="15.75" x14ac:dyDescent="0.25">
      <c r="A15" s="24" t="s">
        <v>34</v>
      </c>
      <c r="B15" s="21" t="s">
        <v>6</v>
      </c>
      <c r="C15" s="22">
        <v>113619.36356436624</v>
      </c>
      <c r="D15" s="22">
        <v>103722.99774511208</v>
      </c>
      <c r="E15" s="22">
        <v>117094</v>
      </c>
      <c r="F15" s="22">
        <v>135269</v>
      </c>
      <c r="G15" s="22">
        <v>181822.24849999999</v>
      </c>
      <c r="H15" s="22">
        <v>172996</v>
      </c>
      <c r="I15" s="22">
        <v>201222</v>
      </c>
      <c r="J15" s="22">
        <v>175643</v>
      </c>
      <c r="K15" s="22">
        <v>202368</v>
      </c>
      <c r="L15" s="22">
        <v>192196.10716952811</v>
      </c>
      <c r="M15" s="22">
        <v>241554.85665774153</v>
      </c>
      <c r="N15" s="22">
        <v>268339</v>
      </c>
      <c r="O15" s="22">
        <v>283467</v>
      </c>
      <c r="P15" s="22">
        <v>308384.59445377585</v>
      </c>
      <c r="Q15" s="3"/>
      <c r="R15" s="4"/>
      <c r="S15" s="4"/>
      <c r="T15" s="4"/>
      <c r="U15" s="4"/>
      <c r="V15" s="3"/>
      <c r="W15" s="4"/>
      <c r="X15" s="4"/>
      <c r="Y15" s="3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3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3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3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1"/>
      <c r="GJ15" s="1"/>
      <c r="GK15" s="1"/>
    </row>
    <row r="16" spans="1:194" s="11" customFormat="1" ht="15.75" x14ac:dyDescent="0.25">
      <c r="A16" s="25"/>
      <c r="B16" s="26" t="s">
        <v>29</v>
      </c>
      <c r="C16" s="27">
        <f>+C13+C14+C15</f>
        <v>623780.3266463757</v>
      </c>
      <c r="D16" s="27">
        <f t="shared" ref="D16:M16" si="7">+D13+D14+D15</f>
        <v>666999.96491846233</v>
      </c>
      <c r="E16" s="27">
        <f t="shared" si="7"/>
        <v>559348.00647199468</v>
      </c>
      <c r="F16" s="27">
        <f t="shared" si="7"/>
        <v>539537.14055929473</v>
      </c>
      <c r="G16" s="27">
        <f t="shared" si="7"/>
        <v>408087.11160108645</v>
      </c>
      <c r="H16" s="27">
        <f t="shared" si="7"/>
        <v>424435.20999999996</v>
      </c>
      <c r="I16" s="27">
        <f t="shared" si="7"/>
        <v>508371.24083245458</v>
      </c>
      <c r="J16" s="27">
        <f t="shared" si="7"/>
        <v>528266.01903224806</v>
      </c>
      <c r="K16" s="27">
        <f t="shared" si="7"/>
        <v>571177.75866770418</v>
      </c>
      <c r="L16" s="27">
        <f t="shared" si="7"/>
        <v>518022.38465788867</v>
      </c>
      <c r="M16" s="27">
        <f t="shared" si="7"/>
        <v>676125.86009146809</v>
      </c>
      <c r="N16" s="27">
        <f t="shared" ref="N16" si="8">+N13+N14+N15</f>
        <v>779484.47206436959</v>
      </c>
      <c r="O16" s="27">
        <f t="shared" ref="O16:P16" si="9">+O13+O14+O15</f>
        <v>846757.39782743761</v>
      </c>
      <c r="P16" s="27">
        <f t="shared" si="9"/>
        <v>933197.77878647158</v>
      </c>
      <c r="Q16" s="3"/>
      <c r="R16" s="4"/>
      <c r="S16" s="4"/>
      <c r="T16" s="4"/>
      <c r="U16" s="4"/>
      <c r="V16" s="3"/>
      <c r="W16" s="4"/>
      <c r="X16" s="4"/>
      <c r="Y16" s="3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9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9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9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0"/>
      <c r="GJ16" s="10"/>
      <c r="GK16" s="10"/>
    </row>
    <row r="17" spans="1:194" s="10" customFormat="1" ht="15.75" x14ac:dyDescent="0.25">
      <c r="A17" s="17" t="s">
        <v>35</v>
      </c>
      <c r="B17" s="18" t="s">
        <v>7</v>
      </c>
      <c r="C17" s="19">
        <f>C18+C19</f>
        <v>258057.6466255764</v>
      </c>
      <c r="D17" s="19">
        <f t="shared" ref="D17:M17" si="10">D18+D19</f>
        <v>321598.05255341413</v>
      </c>
      <c r="E17" s="19">
        <f t="shared" si="10"/>
        <v>374564</v>
      </c>
      <c r="F17" s="19">
        <f t="shared" si="10"/>
        <v>384432.79615752993</v>
      </c>
      <c r="G17" s="19">
        <f t="shared" si="10"/>
        <v>433196.5625787254</v>
      </c>
      <c r="H17" s="19">
        <f t="shared" si="10"/>
        <v>498801.94808019383</v>
      </c>
      <c r="I17" s="19">
        <f t="shared" si="10"/>
        <v>573626.7737233073</v>
      </c>
      <c r="J17" s="19">
        <f t="shared" si="10"/>
        <v>685332.82419380778</v>
      </c>
      <c r="K17" s="19">
        <f t="shared" si="10"/>
        <v>764762.49057299679</v>
      </c>
      <c r="L17" s="19">
        <f t="shared" si="10"/>
        <v>647296.23170819576</v>
      </c>
      <c r="M17" s="19">
        <f t="shared" si="10"/>
        <v>752789.9575929112</v>
      </c>
      <c r="N17" s="19">
        <f t="shared" ref="N17" si="11">N18+N19</f>
        <v>926110.03708844469</v>
      </c>
      <c r="O17" s="19">
        <f t="shared" ref="O17:P17" si="12">O18+O19</f>
        <v>1026495.381040269</v>
      </c>
      <c r="P17" s="19">
        <f t="shared" si="12"/>
        <v>1137496.4411819426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L17" s="11"/>
    </row>
    <row r="18" spans="1:194" ht="15.75" x14ac:dyDescent="0.25">
      <c r="A18" s="20">
        <v>6.1</v>
      </c>
      <c r="B18" s="21" t="s">
        <v>8</v>
      </c>
      <c r="C18" s="22">
        <v>239039.63090231718</v>
      </c>
      <c r="D18" s="22">
        <v>300757.67080649082</v>
      </c>
      <c r="E18" s="22">
        <v>351794</v>
      </c>
      <c r="F18" s="22">
        <v>361001.19003211579</v>
      </c>
      <c r="G18" s="22">
        <v>407710.84907262947</v>
      </c>
      <c r="H18" s="22">
        <v>470633.25558019383</v>
      </c>
      <c r="I18" s="22">
        <v>542039.48422822636</v>
      </c>
      <c r="J18" s="22">
        <v>648918.85039454862</v>
      </c>
      <c r="K18" s="22">
        <v>725237.75351377414</v>
      </c>
      <c r="L18" s="22">
        <v>630172.74690098781</v>
      </c>
      <c r="M18" s="22">
        <v>725818.74069443904</v>
      </c>
      <c r="N18" s="22">
        <v>872370.43960000004</v>
      </c>
      <c r="O18" s="22">
        <v>962277.37084283098</v>
      </c>
      <c r="P18" s="22">
        <v>1064993.8031829537</v>
      </c>
      <c r="Q18" s="3"/>
      <c r="R18" s="4"/>
      <c r="S18" s="4"/>
      <c r="T18" s="4"/>
      <c r="U18" s="4"/>
      <c r="V18" s="3"/>
      <c r="W18" s="4"/>
      <c r="X18" s="4"/>
      <c r="Y18" s="3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1"/>
      <c r="GJ18" s="1"/>
      <c r="GK18" s="1"/>
    </row>
    <row r="19" spans="1:194" ht="15.75" x14ac:dyDescent="0.25">
      <c r="A19" s="20">
        <v>6.2</v>
      </c>
      <c r="B19" s="21" t="s">
        <v>9</v>
      </c>
      <c r="C19" s="22">
        <v>19018.01572325921</v>
      </c>
      <c r="D19" s="22">
        <v>20840.381746923304</v>
      </c>
      <c r="E19" s="22">
        <v>22770</v>
      </c>
      <c r="F19" s="22">
        <v>23431.606125414153</v>
      </c>
      <c r="G19" s="22">
        <v>25485.713506095944</v>
      </c>
      <c r="H19" s="22">
        <v>28168.692500000001</v>
      </c>
      <c r="I19" s="22">
        <v>31587.289495080939</v>
      </c>
      <c r="J19" s="22">
        <v>36413.973799259125</v>
      </c>
      <c r="K19" s="22">
        <v>39524.737059222694</v>
      </c>
      <c r="L19" s="22">
        <v>17123.484807207933</v>
      </c>
      <c r="M19" s="22">
        <v>26971.216898472125</v>
      </c>
      <c r="N19" s="22">
        <v>53739.59748844459</v>
      </c>
      <c r="O19" s="22">
        <v>64218.010197438023</v>
      </c>
      <c r="P19" s="22">
        <v>72502.637998988794</v>
      </c>
      <c r="Q19" s="3"/>
      <c r="R19" s="4"/>
      <c r="S19" s="4"/>
      <c r="T19" s="4"/>
      <c r="U19" s="4"/>
      <c r="V19" s="3"/>
      <c r="W19" s="4"/>
      <c r="X19" s="4"/>
      <c r="Y19" s="3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1"/>
      <c r="GJ19" s="1"/>
      <c r="GK19" s="1"/>
    </row>
    <row r="20" spans="1:194" s="10" customFormat="1" ht="30" x14ac:dyDescent="0.25">
      <c r="A20" s="31" t="s">
        <v>36</v>
      </c>
      <c r="B20" s="32" t="s">
        <v>10</v>
      </c>
      <c r="C20" s="19">
        <f>SUM(C21:C27)</f>
        <v>95614.657820414403</v>
      </c>
      <c r="D20" s="19">
        <f t="shared" ref="D20:M20" si="13">SUM(D21:D27)</f>
        <v>114540.80182799636</v>
      </c>
      <c r="E20" s="19">
        <f t="shared" si="13"/>
        <v>129656.76987111973</v>
      </c>
      <c r="F20" s="19">
        <f t="shared" si="13"/>
        <v>138940.01646790077</v>
      </c>
      <c r="G20" s="19">
        <f t="shared" si="13"/>
        <v>152845.28888734558</v>
      </c>
      <c r="H20" s="19">
        <f t="shared" si="13"/>
        <v>161444.22730000003</v>
      </c>
      <c r="I20" s="19">
        <f t="shared" si="13"/>
        <v>169416.47317623949</v>
      </c>
      <c r="J20" s="19">
        <f t="shared" si="13"/>
        <v>183641.36686678638</v>
      </c>
      <c r="K20" s="19">
        <f t="shared" si="13"/>
        <v>198590.86551901631</v>
      </c>
      <c r="L20" s="19">
        <f t="shared" si="13"/>
        <v>178029.21449877939</v>
      </c>
      <c r="M20" s="19">
        <f t="shared" si="13"/>
        <v>246986.15563802214</v>
      </c>
      <c r="N20" s="19">
        <f t="shared" ref="N20" si="14">SUM(N21:N27)</f>
        <v>275383.96257920342</v>
      </c>
      <c r="O20" s="19">
        <f t="shared" ref="O20:P20" si="15">SUM(O21:O27)</f>
        <v>298454.56389290898</v>
      </c>
      <c r="P20" s="19">
        <f t="shared" si="15"/>
        <v>324674.27000888961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L20" s="11"/>
    </row>
    <row r="21" spans="1:194" ht="15.75" x14ac:dyDescent="0.25">
      <c r="A21" s="20">
        <v>7.1</v>
      </c>
      <c r="B21" s="21" t="s">
        <v>11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3"/>
      <c r="R21" s="4"/>
      <c r="S21" s="4"/>
      <c r="T21" s="4"/>
      <c r="U21" s="4"/>
      <c r="V21" s="3"/>
      <c r="W21" s="4"/>
      <c r="X21" s="4"/>
      <c r="Y21" s="3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1"/>
      <c r="GJ21" s="1"/>
      <c r="GK21" s="1"/>
    </row>
    <row r="22" spans="1:194" ht="15.75" x14ac:dyDescent="0.25">
      <c r="A22" s="20">
        <v>7.2</v>
      </c>
      <c r="B22" s="21" t="s">
        <v>12</v>
      </c>
      <c r="C22" s="22">
        <v>70234.566679508818</v>
      </c>
      <c r="D22" s="22">
        <v>82989.972275785462</v>
      </c>
      <c r="E22" s="22">
        <v>90558.76987111973</v>
      </c>
      <c r="F22" s="22">
        <v>93623.350374839996</v>
      </c>
      <c r="G22" s="22">
        <v>100892.6191873456</v>
      </c>
      <c r="H22" s="22">
        <v>107960.85400000001</v>
      </c>
      <c r="I22" s="22">
        <v>113474.33774749516</v>
      </c>
      <c r="J22" s="22">
        <v>125997.89705922488</v>
      </c>
      <c r="K22" s="22">
        <v>132490.6218512773</v>
      </c>
      <c r="L22" s="22">
        <v>104517.93618796355</v>
      </c>
      <c r="M22" s="22">
        <v>162694.10041023299</v>
      </c>
      <c r="N22" s="22">
        <v>176079.16049335065</v>
      </c>
      <c r="O22" s="22">
        <v>185422.26742246002</v>
      </c>
      <c r="P22" s="22">
        <v>196451.78684777697</v>
      </c>
      <c r="Q22" s="3"/>
      <c r="R22" s="4"/>
      <c r="S22" s="4"/>
      <c r="T22" s="4"/>
      <c r="U22" s="4"/>
      <c r="V22" s="3"/>
      <c r="W22" s="4"/>
      <c r="X22" s="4"/>
      <c r="Y22" s="3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1"/>
      <c r="GJ22" s="1"/>
      <c r="GK22" s="1"/>
    </row>
    <row r="23" spans="1:194" ht="15.75" x14ac:dyDescent="0.25">
      <c r="A23" s="20">
        <v>7.3</v>
      </c>
      <c r="B23" s="21" t="s">
        <v>13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3"/>
      <c r="R23" s="4"/>
      <c r="S23" s="4"/>
      <c r="T23" s="4"/>
      <c r="U23" s="4"/>
      <c r="V23" s="3"/>
      <c r="W23" s="4"/>
      <c r="X23" s="4"/>
      <c r="Y23" s="3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1"/>
      <c r="GJ23" s="1"/>
      <c r="GK23" s="1"/>
    </row>
    <row r="24" spans="1:194" ht="15.75" x14ac:dyDescent="0.25">
      <c r="A24" s="20">
        <v>7.4</v>
      </c>
      <c r="B24" s="21" t="s">
        <v>14</v>
      </c>
      <c r="C24" s="22">
        <v>325.07151749767206</v>
      </c>
      <c r="D24" s="22">
        <v>605.44484461526611</v>
      </c>
      <c r="E24" s="22">
        <v>525</v>
      </c>
      <c r="F24" s="22">
        <v>839.68169999999998</v>
      </c>
      <c r="G24" s="22">
        <v>105.502</v>
      </c>
      <c r="H24" s="22">
        <v>112.4952</v>
      </c>
      <c r="I24" s="22">
        <v>94.608000000000004</v>
      </c>
      <c r="J24" s="22">
        <v>46.076503397868422</v>
      </c>
      <c r="K24" s="22">
        <v>201.34467367440783</v>
      </c>
      <c r="L24" s="22">
        <v>53.498267018026887</v>
      </c>
      <c r="M24" s="22">
        <v>369.69446604761413</v>
      </c>
      <c r="N24" s="22">
        <v>608.57889612786505</v>
      </c>
      <c r="O24" s="22">
        <v>1360.2743448212132</v>
      </c>
      <c r="P24" s="22">
        <v>1977.4132495392391</v>
      </c>
      <c r="Q24" s="3"/>
      <c r="R24" s="4"/>
      <c r="S24" s="4"/>
      <c r="T24" s="4"/>
      <c r="U24" s="4"/>
      <c r="V24" s="3"/>
      <c r="W24" s="4"/>
      <c r="X24" s="4"/>
      <c r="Y24" s="3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1"/>
      <c r="GJ24" s="1"/>
      <c r="GK24" s="1"/>
    </row>
    <row r="25" spans="1:194" ht="15.75" x14ac:dyDescent="0.25">
      <c r="A25" s="20">
        <v>7.5</v>
      </c>
      <c r="B25" s="21" t="s">
        <v>15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1425.9259999999999</v>
      </c>
      <c r="I25" s="22">
        <v>1529.4960000000001</v>
      </c>
      <c r="J25" s="22">
        <v>1949.297</v>
      </c>
      <c r="K25" s="22">
        <v>1935.9202</v>
      </c>
      <c r="L25" s="22">
        <v>646.93200000000002</v>
      </c>
      <c r="M25" s="22">
        <v>1103.1102000000001</v>
      </c>
      <c r="N25" s="22">
        <v>1750.9465259185804</v>
      </c>
      <c r="O25" s="22">
        <v>2295.079362984945</v>
      </c>
      <c r="P25" s="22">
        <v>2798.366261275929</v>
      </c>
      <c r="Q25" s="3"/>
      <c r="R25" s="4"/>
      <c r="S25" s="4"/>
      <c r="T25" s="4"/>
      <c r="U25" s="4"/>
      <c r="V25" s="3"/>
      <c r="W25" s="4"/>
      <c r="X25" s="4"/>
      <c r="Y25" s="3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1"/>
      <c r="GJ25" s="1"/>
      <c r="GK25" s="1"/>
    </row>
    <row r="26" spans="1:194" ht="15.75" x14ac:dyDescent="0.25">
      <c r="A26" s="20">
        <v>7.6</v>
      </c>
      <c r="B26" s="21" t="s">
        <v>16</v>
      </c>
      <c r="C26" s="22">
        <v>287.69563004000031</v>
      </c>
      <c r="D26" s="22">
        <v>320.45350851557362</v>
      </c>
      <c r="E26" s="22">
        <v>364</v>
      </c>
      <c r="F26" s="22">
        <v>420.98439306077648</v>
      </c>
      <c r="G26" s="22">
        <v>464.54450000000003</v>
      </c>
      <c r="H26" s="22">
        <v>497.95209999999997</v>
      </c>
      <c r="I26" s="22">
        <v>536.43979999999999</v>
      </c>
      <c r="J26" s="22">
        <v>1935.6441</v>
      </c>
      <c r="K26" s="22">
        <v>2005.2546088267356</v>
      </c>
      <c r="L26" s="22">
        <v>2055.3474910766399</v>
      </c>
      <c r="M26" s="22">
        <v>2279.680282707287</v>
      </c>
      <c r="N26" s="22">
        <v>2620.1698000000001</v>
      </c>
      <c r="O26" s="22">
        <v>3046.2833999999998</v>
      </c>
      <c r="P26" s="22">
        <v>3335.4870823257056</v>
      </c>
      <c r="Q26" s="3"/>
      <c r="R26" s="4"/>
      <c r="S26" s="4"/>
      <c r="T26" s="4"/>
      <c r="U26" s="4"/>
      <c r="V26" s="3"/>
      <c r="W26" s="4"/>
      <c r="X26" s="4"/>
      <c r="Y26" s="3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1"/>
      <c r="GJ26" s="1"/>
      <c r="GK26" s="1"/>
    </row>
    <row r="27" spans="1:194" ht="30" x14ac:dyDescent="0.25">
      <c r="A27" s="20">
        <v>7.7</v>
      </c>
      <c r="B27" s="21" t="s">
        <v>17</v>
      </c>
      <c r="C27" s="22">
        <v>24767.323993367922</v>
      </c>
      <c r="D27" s="22">
        <v>30624.931199080042</v>
      </c>
      <c r="E27" s="22">
        <v>38209</v>
      </c>
      <c r="F27" s="22">
        <v>44056</v>
      </c>
      <c r="G27" s="22">
        <v>51382.623200000002</v>
      </c>
      <c r="H27" s="22">
        <v>51447</v>
      </c>
      <c r="I27" s="22">
        <v>53781.591628744362</v>
      </c>
      <c r="J27" s="22">
        <v>53712.45220416363</v>
      </c>
      <c r="K27" s="22">
        <v>61957.724185237865</v>
      </c>
      <c r="L27" s="22">
        <v>70755.500552721176</v>
      </c>
      <c r="M27" s="22">
        <v>80539.570279034262</v>
      </c>
      <c r="N27" s="22">
        <v>94325.106863806315</v>
      </c>
      <c r="O27" s="22">
        <v>106330.65936264282</v>
      </c>
      <c r="P27" s="22">
        <v>120111.2165679718</v>
      </c>
      <c r="Q27" s="3"/>
      <c r="R27" s="4"/>
      <c r="S27" s="4"/>
      <c r="T27" s="4"/>
      <c r="U27" s="4"/>
      <c r="V27" s="3"/>
      <c r="W27" s="4"/>
      <c r="X27" s="4"/>
      <c r="Y27" s="3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1"/>
      <c r="GJ27" s="1"/>
      <c r="GK27" s="1"/>
    </row>
    <row r="28" spans="1:194" ht="15.75" x14ac:dyDescent="0.25">
      <c r="A28" s="24" t="s">
        <v>37</v>
      </c>
      <c r="B28" s="21" t="s">
        <v>18</v>
      </c>
      <c r="C28" s="22">
        <v>55825</v>
      </c>
      <c r="D28" s="22">
        <v>56562</v>
      </c>
      <c r="E28" s="22">
        <v>60603.514569334606</v>
      </c>
      <c r="F28" s="22">
        <v>64090.516617256115</v>
      </c>
      <c r="G28" s="22">
        <v>70078</v>
      </c>
      <c r="H28" s="22">
        <v>71547</v>
      </c>
      <c r="I28" s="22">
        <v>81406.968443506586</v>
      </c>
      <c r="J28" s="22">
        <v>75655.366173452436</v>
      </c>
      <c r="K28" s="22">
        <v>89412</v>
      </c>
      <c r="L28" s="22">
        <v>92569.597928870935</v>
      </c>
      <c r="M28" s="22">
        <v>96895</v>
      </c>
      <c r="N28" s="22">
        <v>117478.12829031688</v>
      </c>
      <c r="O28" s="22">
        <v>147325.17381319831</v>
      </c>
      <c r="P28" s="22">
        <v>164867.96045260379</v>
      </c>
      <c r="Q28" s="3"/>
      <c r="R28" s="4"/>
      <c r="S28" s="4"/>
      <c r="T28" s="4"/>
      <c r="U28" s="4"/>
      <c r="V28" s="3"/>
      <c r="W28" s="4"/>
      <c r="X28" s="4"/>
      <c r="Y28" s="3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1"/>
      <c r="GJ28" s="1"/>
      <c r="GK28" s="1"/>
    </row>
    <row r="29" spans="1:194" ht="30" x14ac:dyDescent="0.25">
      <c r="A29" s="24" t="s">
        <v>38</v>
      </c>
      <c r="B29" s="21" t="s">
        <v>19</v>
      </c>
      <c r="C29" s="22">
        <v>115442.7543756775</v>
      </c>
      <c r="D29" s="22">
        <v>127013.72511899708</v>
      </c>
      <c r="E29" s="22">
        <v>137834.64015986011</v>
      </c>
      <c r="F29" s="22">
        <v>151159</v>
      </c>
      <c r="G29" s="22">
        <v>152153.17169148952</v>
      </c>
      <c r="H29" s="22">
        <v>156993</v>
      </c>
      <c r="I29" s="22">
        <v>161450.89325580336</v>
      </c>
      <c r="J29" s="22">
        <v>171776</v>
      </c>
      <c r="K29" s="22">
        <v>182312</v>
      </c>
      <c r="L29" s="22">
        <v>177481.16072461475</v>
      </c>
      <c r="M29" s="22">
        <v>193377.84021666195</v>
      </c>
      <c r="N29" s="22">
        <v>219910</v>
      </c>
      <c r="O29" s="22">
        <v>238643</v>
      </c>
      <c r="P29" s="22">
        <v>259647.14432509037</v>
      </c>
      <c r="Q29" s="3"/>
      <c r="R29" s="4"/>
      <c r="S29" s="4"/>
      <c r="T29" s="4"/>
      <c r="U29" s="4"/>
      <c r="V29" s="3"/>
      <c r="W29" s="4"/>
      <c r="X29" s="4"/>
      <c r="Y29" s="3"/>
      <c r="Z29" s="5"/>
      <c r="AA29" s="5"/>
      <c r="AB29" s="5"/>
      <c r="AC29" s="5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1"/>
      <c r="GJ29" s="1"/>
      <c r="GK29" s="1"/>
    </row>
    <row r="30" spans="1:194" ht="15.75" x14ac:dyDescent="0.25">
      <c r="A30" s="24" t="s">
        <v>39</v>
      </c>
      <c r="B30" s="21" t="s">
        <v>54</v>
      </c>
      <c r="C30" s="22">
        <v>177913</v>
      </c>
      <c r="D30" s="22">
        <v>183125</v>
      </c>
      <c r="E30" s="22">
        <v>208108</v>
      </c>
      <c r="F30" s="22">
        <v>242577</v>
      </c>
      <c r="G30" s="22">
        <v>248856.97743788053</v>
      </c>
      <c r="H30" s="22">
        <v>268757</v>
      </c>
      <c r="I30" s="22">
        <v>302408</v>
      </c>
      <c r="J30" s="22">
        <v>366072</v>
      </c>
      <c r="K30" s="22">
        <v>399443</v>
      </c>
      <c r="L30" s="22">
        <v>407290</v>
      </c>
      <c r="M30" s="22">
        <v>433802</v>
      </c>
      <c r="N30" s="22">
        <v>469520</v>
      </c>
      <c r="O30" s="22">
        <v>551183</v>
      </c>
      <c r="P30" s="22">
        <v>598193.4794401559</v>
      </c>
      <c r="Q30" s="3"/>
      <c r="R30" s="4"/>
      <c r="S30" s="4"/>
      <c r="T30" s="4"/>
      <c r="U30" s="4"/>
      <c r="V30" s="3"/>
      <c r="W30" s="4"/>
      <c r="X30" s="4"/>
      <c r="Y30" s="3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1"/>
      <c r="GJ30" s="1"/>
      <c r="GK30" s="1"/>
    </row>
    <row r="31" spans="1:194" ht="15.75" x14ac:dyDescent="0.25">
      <c r="A31" s="24" t="s">
        <v>40</v>
      </c>
      <c r="B31" s="21" t="s">
        <v>20</v>
      </c>
      <c r="C31" s="22">
        <v>143244</v>
      </c>
      <c r="D31" s="22">
        <v>158611.69348443096</v>
      </c>
      <c r="E31" s="22">
        <v>181083</v>
      </c>
      <c r="F31" s="22">
        <v>195469</v>
      </c>
      <c r="G31" s="22">
        <v>225520.4418</v>
      </c>
      <c r="H31" s="22">
        <v>263284</v>
      </c>
      <c r="I31" s="22">
        <v>298765</v>
      </c>
      <c r="J31" s="22">
        <v>354300</v>
      </c>
      <c r="K31" s="22">
        <v>370683</v>
      </c>
      <c r="L31" s="22">
        <v>357985</v>
      </c>
      <c r="M31" s="22">
        <v>420796.87130257994</v>
      </c>
      <c r="N31" s="22">
        <v>490405</v>
      </c>
      <c r="O31" s="22">
        <v>549360</v>
      </c>
      <c r="P31" s="22">
        <v>607982.28410236514</v>
      </c>
      <c r="Q31" s="3"/>
      <c r="R31" s="4"/>
      <c r="S31" s="4"/>
      <c r="T31" s="4"/>
      <c r="U31" s="4"/>
      <c r="V31" s="3"/>
      <c r="W31" s="4"/>
      <c r="X31" s="4"/>
      <c r="Y31" s="3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1"/>
      <c r="GJ31" s="1"/>
      <c r="GK31" s="1"/>
    </row>
    <row r="32" spans="1:194" s="11" customFormat="1" ht="15.75" x14ac:dyDescent="0.25">
      <c r="A32" s="25"/>
      <c r="B32" s="26" t="s">
        <v>30</v>
      </c>
      <c r="C32" s="27">
        <f>C17+C20+C28+C29+C30+C31</f>
        <v>846097.05882166838</v>
      </c>
      <c r="D32" s="27">
        <f t="shared" ref="D32:K32" si="16">D17+D20+D28+D29+D30+D31</f>
        <v>961451.27298483858</v>
      </c>
      <c r="E32" s="27">
        <f t="shared" si="16"/>
        <v>1091849.9246003143</v>
      </c>
      <c r="F32" s="27">
        <f t="shared" si="16"/>
        <v>1176668.3292426867</v>
      </c>
      <c r="G32" s="27">
        <f t="shared" si="16"/>
        <v>1282650.442395441</v>
      </c>
      <c r="H32" s="27">
        <f t="shared" si="16"/>
        <v>1420827.1753801939</v>
      </c>
      <c r="I32" s="27">
        <f t="shared" si="16"/>
        <v>1587074.1085988567</v>
      </c>
      <c r="J32" s="27">
        <f t="shared" si="16"/>
        <v>1836777.5572340465</v>
      </c>
      <c r="K32" s="27">
        <f t="shared" si="16"/>
        <v>2005203.356092013</v>
      </c>
      <c r="L32" s="27">
        <f t="shared" ref="L32:M32" si="17">L17+L20+L28+L29+L30+L31</f>
        <v>1860651.2048604609</v>
      </c>
      <c r="M32" s="27">
        <f t="shared" si="17"/>
        <v>2144647.8247501752</v>
      </c>
      <c r="N32" s="27">
        <f t="shared" ref="N32" si="18">N17+N20+N28+N29+N30+N31</f>
        <v>2498807.1279579652</v>
      </c>
      <c r="O32" s="27">
        <f t="shared" ref="O32:P32" si="19">O17+O20+O28+O29+O30+O31</f>
        <v>2811461.1187463761</v>
      </c>
      <c r="P32" s="27">
        <f t="shared" si="19"/>
        <v>3092861.5795110473</v>
      </c>
      <c r="Q32" s="3"/>
      <c r="R32" s="4"/>
      <c r="S32" s="4"/>
      <c r="T32" s="4"/>
      <c r="U32" s="4"/>
      <c r="V32" s="3"/>
      <c r="W32" s="4"/>
      <c r="X32" s="4"/>
      <c r="Y32" s="3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0"/>
      <c r="GJ32" s="10"/>
      <c r="GK32" s="10"/>
    </row>
    <row r="33" spans="1:194" s="10" customFormat="1" ht="15.75" x14ac:dyDescent="0.25">
      <c r="A33" s="17" t="s">
        <v>27</v>
      </c>
      <c r="B33" s="33" t="s">
        <v>41</v>
      </c>
      <c r="C33" s="19">
        <f t="shared" ref="C33" si="20">C6+C11+C13+C14+C15+C17+C20+C28+C29+C30+C31</f>
        <v>1892181.8249104186</v>
      </c>
      <c r="D33" s="19">
        <f t="shared" ref="D33:K33" si="21">D6+D11+D13+D14+D15+D17+D20+D28+D29+D30+D31</f>
        <v>2073866.6301848765</v>
      </c>
      <c r="E33" s="30">
        <f t="shared" si="21"/>
        <v>2184428.2869371213</v>
      </c>
      <c r="F33" s="19">
        <f t="shared" si="21"/>
        <v>2202768.4698019819</v>
      </c>
      <c r="G33" s="19">
        <f t="shared" si="21"/>
        <v>2287227.3740837728</v>
      </c>
      <c r="H33" s="19">
        <f t="shared" si="21"/>
        <v>2467113.3853801936</v>
      </c>
      <c r="I33" s="19">
        <f t="shared" si="21"/>
        <v>2741162.3494313112</v>
      </c>
      <c r="J33" s="19">
        <f t="shared" si="21"/>
        <v>3002768.5762662943</v>
      </c>
      <c r="K33" s="19">
        <f t="shared" si="21"/>
        <v>3244404.1147597176</v>
      </c>
      <c r="L33" s="19">
        <f t="shared" ref="L33:M33" si="22">L6+L11+L13+L14+L15+L17+L20+L28+L29+L30+L31</f>
        <v>3137302.7675250419</v>
      </c>
      <c r="M33" s="19">
        <f t="shared" si="22"/>
        <v>3708848.8237946923</v>
      </c>
      <c r="N33" s="19">
        <f t="shared" ref="N33" si="23">N6+N11+N13+N14+N15+N17+N20+N28+N29+N30+N31</f>
        <v>4297193.0302484594</v>
      </c>
      <c r="O33" s="19">
        <f t="shared" ref="O33:P33" si="24">O6+O11+O13+O14+O15+O17+O20+O28+O29+O30+O31</f>
        <v>4832834.5914116651</v>
      </c>
      <c r="P33" s="19">
        <f t="shared" si="24"/>
        <v>5373034.1370464563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L33" s="11"/>
    </row>
    <row r="34" spans="1:194" ht="15.75" x14ac:dyDescent="0.25">
      <c r="A34" s="34" t="s">
        <v>43</v>
      </c>
      <c r="B34" s="35" t="s">
        <v>25</v>
      </c>
      <c r="C34" s="22">
        <v>152456.01298907335</v>
      </c>
      <c r="D34" s="22">
        <v>183012.74252035917</v>
      </c>
      <c r="E34" s="22">
        <v>175549.3215234626</v>
      </c>
      <c r="F34" s="22">
        <v>181289</v>
      </c>
      <c r="G34" s="22">
        <v>271497</v>
      </c>
      <c r="H34" s="22">
        <v>313769</v>
      </c>
      <c r="I34" s="22">
        <v>235389</v>
      </c>
      <c r="J34" s="22">
        <v>243239</v>
      </c>
      <c r="K34" s="22">
        <v>260633</v>
      </c>
      <c r="L34" s="22">
        <v>294914.50337942631</v>
      </c>
      <c r="M34" s="22">
        <v>396339.22881179827</v>
      </c>
      <c r="N34" s="22">
        <v>464132.20441964373</v>
      </c>
      <c r="O34" s="22">
        <v>545741.85502269049</v>
      </c>
      <c r="P34" s="22">
        <v>656487.90282281581</v>
      </c>
      <c r="Q34" s="3"/>
      <c r="R34" s="4"/>
      <c r="S34" s="4"/>
      <c r="T34" s="4"/>
      <c r="U34" s="4"/>
      <c r="V34" s="3"/>
      <c r="W34" s="4"/>
      <c r="X34" s="4"/>
      <c r="Y34" s="3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</row>
    <row r="35" spans="1:194" ht="15.75" x14ac:dyDescent="0.25">
      <c r="A35" s="34" t="s">
        <v>44</v>
      </c>
      <c r="B35" s="35" t="s">
        <v>24</v>
      </c>
      <c r="C35" s="22">
        <v>52863</v>
      </c>
      <c r="D35" s="22">
        <v>69677</v>
      </c>
      <c r="E35" s="22">
        <v>66154</v>
      </c>
      <c r="F35" s="22">
        <v>60604</v>
      </c>
      <c r="G35" s="22">
        <v>46988</v>
      </c>
      <c r="H35" s="22">
        <v>37020</v>
      </c>
      <c r="I35" s="22">
        <v>25721</v>
      </c>
      <c r="J35" s="22">
        <v>28426</v>
      </c>
      <c r="K35" s="22">
        <v>27997.000000000004</v>
      </c>
      <c r="L35" s="22">
        <v>54601</v>
      </c>
      <c r="M35" s="22">
        <v>82984</v>
      </c>
      <c r="N35" s="22">
        <v>77945</v>
      </c>
      <c r="O35" s="22">
        <v>56243.000000000007</v>
      </c>
      <c r="P35" s="22">
        <v>66958.80943129136</v>
      </c>
      <c r="Q35" s="3"/>
      <c r="R35" s="4"/>
      <c r="S35" s="4"/>
      <c r="T35" s="4"/>
      <c r="U35" s="4"/>
      <c r="V35" s="3"/>
      <c r="W35" s="4"/>
      <c r="X35" s="4"/>
      <c r="Y35" s="3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</row>
    <row r="36" spans="1:194" s="11" customFormat="1" ht="15.75" x14ac:dyDescent="0.25">
      <c r="A36" s="36" t="s">
        <v>45</v>
      </c>
      <c r="B36" s="37" t="s">
        <v>55</v>
      </c>
      <c r="C36" s="27">
        <f>C33+C34-C35</f>
        <v>1991774.8378994919</v>
      </c>
      <c r="D36" s="27">
        <f t="shared" ref="D36:M36" si="25">D33+D34-D35</f>
        <v>2187202.3727052356</v>
      </c>
      <c r="E36" s="27">
        <f t="shared" si="25"/>
        <v>2293823.6084605837</v>
      </c>
      <c r="F36" s="27">
        <f t="shared" si="25"/>
        <v>2323453.4698019819</v>
      </c>
      <c r="G36" s="27">
        <f t="shared" si="25"/>
        <v>2511736.3740837728</v>
      </c>
      <c r="H36" s="27">
        <f t="shared" si="25"/>
        <v>2743862.3853801936</v>
      </c>
      <c r="I36" s="27">
        <f t="shared" si="25"/>
        <v>2950830.3494313112</v>
      </c>
      <c r="J36" s="27">
        <f t="shared" si="25"/>
        <v>3217581.5762662943</v>
      </c>
      <c r="K36" s="27">
        <f t="shared" si="25"/>
        <v>3477040.1147597176</v>
      </c>
      <c r="L36" s="27">
        <f t="shared" si="25"/>
        <v>3377616.2709044684</v>
      </c>
      <c r="M36" s="27">
        <f t="shared" si="25"/>
        <v>4022204.0526064904</v>
      </c>
      <c r="N36" s="27">
        <f t="shared" ref="N36" si="26">N33+N34-N35</f>
        <v>4683380.234668103</v>
      </c>
      <c r="O36" s="27">
        <f t="shared" ref="O36:P36" si="27">O33+O34-O35</f>
        <v>5322333.4464343553</v>
      </c>
      <c r="P36" s="27">
        <f t="shared" si="27"/>
        <v>5962563.230437981</v>
      </c>
      <c r="Q36" s="3"/>
      <c r="R36" s="4"/>
      <c r="S36" s="4"/>
      <c r="T36" s="4"/>
      <c r="U36" s="4"/>
      <c r="V36" s="3"/>
      <c r="W36" s="4"/>
      <c r="X36" s="4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</row>
    <row r="37" spans="1:194" ht="15.75" x14ac:dyDescent="0.25">
      <c r="A37" s="34" t="s">
        <v>46</v>
      </c>
      <c r="B37" s="35" t="s">
        <v>42</v>
      </c>
      <c r="C37" s="22">
        <v>30150</v>
      </c>
      <c r="D37" s="22">
        <v>30480</v>
      </c>
      <c r="E37" s="22">
        <v>30800</v>
      </c>
      <c r="F37" s="22">
        <v>31130</v>
      </c>
      <c r="G37" s="22">
        <v>31450</v>
      </c>
      <c r="H37" s="22">
        <v>31760</v>
      </c>
      <c r="I37" s="22">
        <v>32080</v>
      </c>
      <c r="J37" s="22">
        <v>32400</v>
      </c>
      <c r="K37" s="22">
        <v>32720</v>
      </c>
      <c r="L37" s="22">
        <v>33030</v>
      </c>
      <c r="M37" s="22">
        <v>33330</v>
      </c>
      <c r="N37" s="22">
        <v>33640</v>
      </c>
      <c r="O37" s="22">
        <v>33940</v>
      </c>
      <c r="P37" s="22">
        <v>34250</v>
      </c>
      <c r="Z37" s="1"/>
      <c r="AA37" s="1"/>
      <c r="AB37" s="1"/>
      <c r="AC37" s="1"/>
    </row>
    <row r="38" spans="1:194" s="11" customFormat="1" ht="15.75" x14ac:dyDescent="0.25">
      <c r="A38" s="36" t="s">
        <v>47</v>
      </c>
      <c r="B38" s="37" t="s">
        <v>58</v>
      </c>
      <c r="C38" s="27">
        <f>C36/C37*1000</f>
        <v>66062.183678258429</v>
      </c>
      <c r="D38" s="27">
        <f t="shared" ref="D38:M38" si="28">D36/D37*1000</f>
        <v>71758.608028386996</v>
      </c>
      <c r="E38" s="27">
        <f t="shared" si="28"/>
        <v>74474.792482486475</v>
      </c>
      <c r="F38" s="27">
        <f t="shared" si="28"/>
        <v>74637.117565113454</v>
      </c>
      <c r="G38" s="27">
        <f t="shared" si="28"/>
        <v>79864.431608387051</v>
      </c>
      <c r="H38" s="27">
        <f t="shared" si="28"/>
        <v>86393.65193262574</v>
      </c>
      <c r="I38" s="27">
        <f t="shared" si="28"/>
        <v>91983.489695489756</v>
      </c>
      <c r="J38" s="27">
        <f t="shared" si="28"/>
        <v>99308.073341552299</v>
      </c>
      <c r="K38" s="27">
        <f t="shared" si="28"/>
        <v>106266.50717480799</v>
      </c>
      <c r="L38" s="27">
        <f t="shared" si="28"/>
        <v>102259.04544064391</v>
      </c>
      <c r="M38" s="27">
        <f t="shared" si="28"/>
        <v>120678.18939713443</v>
      </c>
      <c r="N38" s="27">
        <f t="shared" ref="N38" si="29">N36/N37*1000</f>
        <v>139220.57772497335</v>
      </c>
      <c r="O38" s="27">
        <f t="shared" ref="O38:P38" si="30">O36/O37*1000</f>
        <v>156815.95304756498</v>
      </c>
      <c r="P38" s="27">
        <f t="shared" si="30"/>
        <v>174089.43738505052</v>
      </c>
      <c r="Q38" s="3"/>
      <c r="R38" s="2"/>
      <c r="S38" s="2"/>
      <c r="T38" s="2"/>
      <c r="U38" s="2"/>
      <c r="V38" s="1"/>
      <c r="W38" s="2"/>
      <c r="X38" s="2"/>
      <c r="Y38" s="3"/>
      <c r="Z38" s="3"/>
      <c r="AA38" s="3"/>
      <c r="AB38" s="3"/>
      <c r="AC38" s="3"/>
      <c r="AD38" s="2"/>
      <c r="AE38" s="2"/>
      <c r="AF38" s="2"/>
      <c r="AG38" s="2"/>
      <c r="AH38" s="2"/>
      <c r="AI38" s="2"/>
      <c r="AJ38" s="2"/>
      <c r="AK38" s="2"/>
      <c r="AL38" s="2"/>
      <c r="AM38" s="2"/>
      <c r="CD38" s="12"/>
      <c r="CE38" s="12"/>
      <c r="CF38" s="12"/>
      <c r="CG38" s="12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</row>
    <row r="39" spans="1:194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9" max="1048575" man="1"/>
    <brk id="41" max="1048575" man="1"/>
    <brk id="57" max="1048575" man="1"/>
    <brk id="121" max="95" man="1"/>
    <brk id="157" max="1048575" man="1"/>
    <brk id="181" max="1048575" man="1"/>
    <brk id="189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R39"/>
  <sheetViews>
    <sheetView zoomScale="80" zoomScaleNormal="80" zoomScaleSheetLayoutView="100" workbookViewId="0">
      <pane xSplit="2" ySplit="5" topLeftCell="C15" activePane="bottomRight" state="frozen"/>
      <selection activeCell="R24" sqref="R24"/>
      <selection pane="topRight" activeCell="R24" sqref="R24"/>
      <selection pane="bottomLeft" activeCell="R24" sqref="R24"/>
      <selection pane="bottomRight" activeCell="R24" sqref="R24"/>
    </sheetView>
  </sheetViews>
  <sheetFormatPr defaultColWidth="8.85546875" defaultRowHeight="15" x14ac:dyDescent="0.25"/>
  <cols>
    <col min="1" max="1" width="11" style="2" customWidth="1"/>
    <col min="2" max="2" width="36.140625" style="2" customWidth="1"/>
    <col min="3" max="6" width="11.140625" style="2" customWidth="1"/>
    <col min="7" max="16" width="11.85546875" style="1" customWidth="1"/>
    <col min="17" max="17" width="11.7109375" style="1" customWidth="1"/>
    <col min="18" max="18" width="9.140625" style="2" customWidth="1"/>
    <col min="19" max="19" width="10.85546875" style="2" customWidth="1"/>
    <col min="20" max="20" width="10.85546875" style="1" customWidth="1"/>
    <col min="21" max="21" width="11" style="2" customWidth="1"/>
    <col min="22" max="24" width="11.42578125" style="2" customWidth="1"/>
    <col min="25" max="52" width="9.140625" style="2" customWidth="1"/>
    <col min="53" max="53" width="12.42578125" style="2" customWidth="1"/>
    <col min="54" max="75" width="9.140625" style="2" customWidth="1"/>
    <col min="76" max="76" width="12.140625" style="2" customWidth="1"/>
    <col min="77" max="80" width="9.140625" style="2" customWidth="1"/>
    <col min="81" max="85" width="9.140625" style="2" hidden="1" customWidth="1"/>
    <col min="86" max="86" width="9.140625" style="2" customWidth="1"/>
    <col min="87" max="91" width="9.140625" style="2" hidden="1" customWidth="1"/>
    <col min="92" max="92" width="9.140625" style="2" customWidth="1"/>
    <col min="93" max="97" width="9.140625" style="2" hidden="1" customWidth="1"/>
    <col min="98" max="98" width="9.140625" style="2" customWidth="1"/>
    <col min="99" max="103" width="9.140625" style="2" hidden="1" customWidth="1"/>
    <col min="104" max="104" width="9.140625" style="2" customWidth="1"/>
    <col min="105" max="109" width="9.140625" style="2" hidden="1" customWidth="1"/>
    <col min="110" max="110" width="9.140625" style="1" customWidth="1"/>
    <col min="111" max="115" width="9.140625" style="1" hidden="1" customWidth="1"/>
    <col min="116" max="116" width="9.140625" style="1" customWidth="1"/>
    <col min="117" max="121" width="9.140625" style="1" hidden="1" customWidth="1"/>
    <col min="122" max="122" width="9.140625" style="1" customWidth="1"/>
    <col min="123" max="127" width="9.140625" style="1" hidden="1" customWidth="1"/>
    <col min="128" max="128" width="9.140625" style="1" customWidth="1"/>
    <col min="129" max="158" width="9.140625" style="2" customWidth="1"/>
    <col min="159" max="159" width="9.140625" style="2" hidden="1" customWidth="1"/>
    <col min="160" max="167" width="9.140625" style="2" customWidth="1"/>
    <col min="168" max="168" width="9.140625" style="2" hidden="1" customWidth="1"/>
    <col min="169" max="173" width="9.140625" style="2" customWidth="1"/>
    <col min="174" max="174" width="9.140625" style="2" hidden="1" customWidth="1"/>
    <col min="175" max="184" width="9.140625" style="2" customWidth="1"/>
    <col min="185" max="185" width="9.140625" style="2"/>
    <col min="186" max="188" width="8.85546875" style="2"/>
    <col min="189" max="189" width="12.7109375" style="2" bestFit="1" customWidth="1"/>
    <col min="190" max="16384" width="8.85546875" style="2"/>
  </cols>
  <sheetData>
    <row r="1" spans="1:189" ht="18.75" x14ac:dyDescent="0.3">
      <c r="A1" s="2" t="s">
        <v>53</v>
      </c>
      <c r="B1" s="6" t="s">
        <v>66</v>
      </c>
      <c r="S1" s="3"/>
    </row>
    <row r="2" spans="1:189" ht="15.75" x14ac:dyDescent="0.25">
      <c r="A2" s="7" t="s">
        <v>49</v>
      </c>
      <c r="I2" s="1" t="str">
        <f>[1]GSVA_cur!$I$3</f>
        <v>01.08.2025</v>
      </c>
    </row>
    <row r="3" spans="1:189" ht="15.75" x14ac:dyDescent="0.25">
      <c r="A3" s="7"/>
    </row>
    <row r="4" spans="1:189" ht="15.75" x14ac:dyDescent="0.25">
      <c r="A4" s="7"/>
      <c r="E4" s="8"/>
      <c r="F4" s="8" t="s">
        <v>57</v>
      </c>
    </row>
    <row r="5" spans="1:189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  <c r="P5" s="16" t="s">
        <v>76</v>
      </c>
    </row>
    <row r="6" spans="1:189" s="10" customFormat="1" ht="15.75" x14ac:dyDescent="0.25">
      <c r="A6" s="17" t="s">
        <v>26</v>
      </c>
      <c r="B6" s="18" t="s">
        <v>2</v>
      </c>
      <c r="C6" s="19">
        <f>SUM(C7:C10)</f>
        <v>282868.4394423748</v>
      </c>
      <c r="D6" s="19">
        <f t="shared" ref="D6:M6" si="0">SUM(D7:D10)</f>
        <v>313890.35661660315</v>
      </c>
      <c r="E6" s="19">
        <f t="shared" si="0"/>
        <v>326926.553016875</v>
      </c>
      <c r="F6" s="19">
        <f t="shared" si="0"/>
        <v>376920</v>
      </c>
      <c r="G6" s="19">
        <f t="shared" si="0"/>
        <v>359195.8492912291</v>
      </c>
      <c r="H6" s="19">
        <f t="shared" si="0"/>
        <v>373430</v>
      </c>
      <c r="I6" s="19">
        <f t="shared" si="0"/>
        <v>378643</v>
      </c>
      <c r="J6" s="19">
        <f t="shared" si="0"/>
        <v>375848</v>
      </c>
      <c r="K6" s="19">
        <f t="shared" si="0"/>
        <v>381777</v>
      </c>
      <c r="L6" s="19">
        <f t="shared" si="0"/>
        <v>426515.04181515967</v>
      </c>
      <c r="M6" s="19">
        <f t="shared" si="0"/>
        <v>392521.58938480885</v>
      </c>
      <c r="N6" s="19">
        <f t="shared" ref="N6" si="1">SUM(N7:N10)</f>
        <v>403126.40389686124</v>
      </c>
      <c r="O6" s="19">
        <f t="shared" ref="O6:P6" si="2">SUM(O7:O10)</f>
        <v>429248.32090542139</v>
      </c>
      <c r="P6" s="19">
        <f t="shared" si="2"/>
        <v>458726.35608771781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G6" s="11"/>
    </row>
    <row r="7" spans="1:189" ht="15.75" x14ac:dyDescent="0.25">
      <c r="A7" s="20">
        <v>1.1000000000000001</v>
      </c>
      <c r="B7" s="21" t="s">
        <v>59</v>
      </c>
      <c r="C7" s="22">
        <v>163103.15717972827</v>
      </c>
      <c r="D7" s="22">
        <v>194210.89075310194</v>
      </c>
      <c r="E7" s="22">
        <v>198256</v>
      </c>
      <c r="F7" s="22">
        <v>207953</v>
      </c>
      <c r="G7" s="22">
        <v>213302.08006180276</v>
      </c>
      <c r="H7" s="22">
        <v>213317</v>
      </c>
      <c r="I7" s="22">
        <v>216247</v>
      </c>
      <c r="J7" s="22">
        <v>210187</v>
      </c>
      <c r="K7" s="22">
        <v>203712</v>
      </c>
      <c r="L7" s="22">
        <v>206157.75541481623</v>
      </c>
      <c r="M7" s="22">
        <v>220013.91883592625</v>
      </c>
      <c r="N7" s="22">
        <v>222266.91054870814</v>
      </c>
      <c r="O7" s="22">
        <v>232837.38093428576</v>
      </c>
      <c r="P7" s="22">
        <v>242476.90589553036</v>
      </c>
      <c r="Q7" s="3"/>
      <c r="R7" s="4"/>
      <c r="S7" s="4"/>
      <c r="T7" s="3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1"/>
      <c r="GE7" s="1"/>
      <c r="GF7" s="1"/>
    </row>
    <row r="8" spans="1:189" ht="15.75" x14ac:dyDescent="0.25">
      <c r="A8" s="20">
        <v>1.2</v>
      </c>
      <c r="B8" s="23" t="s">
        <v>60</v>
      </c>
      <c r="C8" s="22">
        <v>59593.165535754502</v>
      </c>
      <c r="D8" s="22">
        <v>59885.41619203845</v>
      </c>
      <c r="E8" s="22">
        <v>67018</v>
      </c>
      <c r="F8" s="22">
        <v>67447</v>
      </c>
      <c r="G8" s="22">
        <v>68832.048244111342</v>
      </c>
      <c r="H8" s="22">
        <v>70878</v>
      </c>
      <c r="I8" s="22">
        <v>73045</v>
      </c>
      <c r="J8" s="22">
        <v>75620</v>
      </c>
      <c r="K8" s="22">
        <v>73576</v>
      </c>
      <c r="L8" s="22">
        <v>69269.242835620185</v>
      </c>
      <c r="M8" s="22">
        <v>25316.628650926799</v>
      </c>
      <c r="N8" s="22">
        <v>36411.679554167771</v>
      </c>
      <c r="O8" s="22">
        <v>39158.087441191885</v>
      </c>
      <c r="P8" s="22">
        <v>41821.80885386288</v>
      </c>
      <c r="Q8" s="3"/>
      <c r="R8" s="4"/>
      <c r="S8" s="4"/>
      <c r="T8" s="3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1"/>
      <c r="GE8" s="1"/>
      <c r="GF8" s="1"/>
    </row>
    <row r="9" spans="1:189" ht="15.75" x14ac:dyDescent="0.25">
      <c r="A9" s="20">
        <v>1.3</v>
      </c>
      <c r="B9" s="21" t="s">
        <v>61</v>
      </c>
      <c r="C9" s="22">
        <v>56090.351648320611</v>
      </c>
      <c r="D9" s="22">
        <v>54645.108129587752</v>
      </c>
      <c r="E9" s="22">
        <v>56185</v>
      </c>
      <c r="F9" s="22">
        <v>95779</v>
      </c>
      <c r="G9" s="22">
        <v>65904.54239696826</v>
      </c>
      <c r="H9" s="22">
        <v>75796</v>
      </c>
      <c r="I9" s="22">
        <v>77581</v>
      </c>
      <c r="J9" s="22">
        <v>77235</v>
      </c>
      <c r="K9" s="22">
        <v>90586</v>
      </c>
      <c r="L9" s="22">
        <v>135762.62989176466</v>
      </c>
      <c r="M9" s="22">
        <v>129857.22537317916</v>
      </c>
      <c r="N9" s="22">
        <v>125054.79405828103</v>
      </c>
      <c r="O9" s="22">
        <v>136286.19293138781</v>
      </c>
      <c r="P9" s="22">
        <v>151152.00353704349</v>
      </c>
      <c r="Q9" s="3"/>
      <c r="R9" s="4"/>
      <c r="S9" s="4"/>
      <c r="T9" s="3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1"/>
      <c r="GE9" s="1"/>
      <c r="GF9" s="1"/>
    </row>
    <row r="10" spans="1:189" ht="15.75" x14ac:dyDescent="0.25">
      <c r="A10" s="20">
        <v>1.4</v>
      </c>
      <c r="B10" s="21" t="s">
        <v>62</v>
      </c>
      <c r="C10" s="22">
        <v>4081.7650785714286</v>
      </c>
      <c r="D10" s="22">
        <v>5148.9415418749995</v>
      </c>
      <c r="E10" s="22">
        <v>5467.5530168750001</v>
      </c>
      <c r="F10" s="22">
        <v>5741</v>
      </c>
      <c r="G10" s="22">
        <v>11157.178588346755</v>
      </c>
      <c r="H10" s="22">
        <v>13439</v>
      </c>
      <c r="I10" s="22">
        <v>11770</v>
      </c>
      <c r="J10" s="22">
        <v>12806</v>
      </c>
      <c r="K10" s="22">
        <v>13903</v>
      </c>
      <c r="L10" s="22">
        <v>15325.413672958621</v>
      </c>
      <c r="M10" s="22">
        <v>17333.816524776623</v>
      </c>
      <c r="N10" s="22">
        <v>19393.019735704296</v>
      </c>
      <c r="O10" s="22">
        <v>20966.65959855594</v>
      </c>
      <c r="P10" s="22">
        <v>23275.637801281046</v>
      </c>
      <c r="Q10" s="3"/>
      <c r="R10" s="4"/>
      <c r="S10" s="4"/>
      <c r="T10" s="3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1"/>
      <c r="GE10" s="1"/>
      <c r="GF10" s="1"/>
    </row>
    <row r="11" spans="1:189" ht="15.75" x14ac:dyDescent="0.25">
      <c r="A11" s="24" t="s">
        <v>31</v>
      </c>
      <c r="B11" s="21" t="s">
        <v>3</v>
      </c>
      <c r="C11" s="22">
        <v>139436</v>
      </c>
      <c r="D11" s="22">
        <v>114240</v>
      </c>
      <c r="E11" s="22">
        <v>165813.06019528094</v>
      </c>
      <c r="F11" s="22">
        <v>67388</v>
      </c>
      <c r="G11" s="22">
        <v>113094.89316982236</v>
      </c>
      <c r="H11" s="22">
        <v>81806</v>
      </c>
      <c r="I11" s="22">
        <v>72816</v>
      </c>
      <c r="J11" s="22">
        <v>33341</v>
      </c>
      <c r="K11" s="22">
        <v>29382</v>
      </c>
      <c r="L11" s="22">
        <v>31368.791946329609</v>
      </c>
      <c r="M11" s="22">
        <v>36991.654621533591</v>
      </c>
      <c r="N11" s="22">
        <v>43274.98244472139</v>
      </c>
      <c r="O11" s="22">
        <v>57373.282730511019</v>
      </c>
      <c r="P11" s="22">
        <v>70163.891495516029</v>
      </c>
      <c r="Q11" s="3"/>
      <c r="R11" s="4"/>
      <c r="S11" s="4"/>
      <c r="T11" s="3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1"/>
      <c r="GE11" s="1"/>
      <c r="GF11" s="1"/>
    </row>
    <row r="12" spans="1:189" s="11" customFormat="1" ht="15.75" x14ac:dyDescent="0.25">
      <c r="A12" s="25"/>
      <c r="B12" s="26" t="s">
        <v>28</v>
      </c>
      <c r="C12" s="27">
        <f>C6+C11</f>
        <v>422304.4394423748</v>
      </c>
      <c r="D12" s="27">
        <f t="shared" ref="D12:M12" si="3">D6+D11</f>
        <v>428130.35661660315</v>
      </c>
      <c r="E12" s="27">
        <f t="shared" si="3"/>
        <v>492739.61321215593</v>
      </c>
      <c r="F12" s="27">
        <f t="shared" si="3"/>
        <v>444308</v>
      </c>
      <c r="G12" s="27">
        <f t="shared" si="3"/>
        <v>472290.74246105144</v>
      </c>
      <c r="H12" s="27">
        <f t="shared" si="3"/>
        <v>455236</v>
      </c>
      <c r="I12" s="27">
        <f t="shared" si="3"/>
        <v>451459</v>
      </c>
      <c r="J12" s="27">
        <f t="shared" si="3"/>
        <v>409189</v>
      </c>
      <c r="K12" s="27">
        <f t="shared" si="3"/>
        <v>411159</v>
      </c>
      <c r="L12" s="27">
        <f t="shared" si="3"/>
        <v>457883.83376148925</v>
      </c>
      <c r="M12" s="27">
        <f t="shared" si="3"/>
        <v>429513.24400634243</v>
      </c>
      <c r="N12" s="27">
        <f t="shared" ref="N12" si="4">N6+N11</f>
        <v>446401.38634158263</v>
      </c>
      <c r="O12" s="27">
        <f t="shared" ref="O12:P12" si="5">O6+O11</f>
        <v>486621.60363593244</v>
      </c>
      <c r="P12" s="27">
        <f t="shared" si="5"/>
        <v>528890.24758323387</v>
      </c>
      <c r="Q12" s="3"/>
      <c r="R12" s="4"/>
      <c r="S12" s="4"/>
      <c r="T12" s="3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0"/>
      <c r="GE12" s="10"/>
      <c r="GF12" s="10"/>
    </row>
    <row r="13" spans="1:189" s="1" customFormat="1" ht="15.75" x14ac:dyDescent="0.25">
      <c r="A13" s="28" t="s">
        <v>32</v>
      </c>
      <c r="B13" s="29" t="s">
        <v>4</v>
      </c>
      <c r="C13" s="30">
        <v>464602.96308200946</v>
      </c>
      <c r="D13" s="30">
        <v>466489.98538283492</v>
      </c>
      <c r="E13" s="30">
        <v>382775.81312985078</v>
      </c>
      <c r="F13" s="30">
        <v>316380.45580077462</v>
      </c>
      <c r="G13" s="30">
        <v>156142.26591804146</v>
      </c>
      <c r="H13" s="30">
        <v>182347.36141549182</v>
      </c>
      <c r="I13" s="30">
        <v>223499.05498379047</v>
      </c>
      <c r="J13" s="30">
        <v>233341.2612784981</v>
      </c>
      <c r="K13" s="30">
        <v>268229.54758585111</v>
      </c>
      <c r="L13" s="30">
        <v>224013.53791054667</v>
      </c>
      <c r="M13" s="30">
        <v>271701.51714154665</v>
      </c>
      <c r="N13" s="30">
        <v>301920.98678444733</v>
      </c>
      <c r="O13" s="30">
        <v>328035.12470742175</v>
      </c>
      <c r="P13" s="30">
        <v>351160.86512192397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G13" s="2"/>
    </row>
    <row r="14" spans="1:189" ht="30" x14ac:dyDescent="0.25">
      <c r="A14" s="24" t="s">
        <v>33</v>
      </c>
      <c r="B14" s="21" t="s">
        <v>5</v>
      </c>
      <c r="C14" s="22">
        <v>45558</v>
      </c>
      <c r="D14" s="22">
        <v>45903</v>
      </c>
      <c r="E14" s="22">
        <v>51283</v>
      </c>
      <c r="F14" s="22">
        <v>50725</v>
      </c>
      <c r="G14" s="22">
        <v>39704.473740679678</v>
      </c>
      <c r="H14" s="22">
        <v>33769</v>
      </c>
      <c r="I14" s="22">
        <v>33180.183973543266</v>
      </c>
      <c r="J14" s="22">
        <v>49229</v>
      </c>
      <c r="K14" s="22">
        <v>34759</v>
      </c>
      <c r="L14" s="22">
        <v>35426.436197801682</v>
      </c>
      <c r="M14" s="22">
        <v>47796.437488622978</v>
      </c>
      <c r="N14" s="22">
        <v>52649</v>
      </c>
      <c r="O14" s="22">
        <v>56482</v>
      </c>
      <c r="P14" s="22">
        <v>60474.790823980788</v>
      </c>
      <c r="Q14" s="3"/>
      <c r="R14" s="4"/>
      <c r="S14" s="4"/>
      <c r="T14" s="3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3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3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3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1"/>
      <c r="GE14" s="1"/>
      <c r="GF14" s="1"/>
    </row>
    <row r="15" spans="1:189" ht="15.75" x14ac:dyDescent="0.25">
      <c r="A15" s="24" t="s">
        <v>34</v>
      </c>
      <c r="B15" s="21" t="s">
        <v>6</v>
      </c>
      <c r="C15" s="22">
        <v>113619.36356436624</v>
      </c>
      <c r="D15" s="22">
        <v>97027.271998373995</v>
      </c>
      <c r="E15" s="22">
        <v>100372</v>
      </c>
      <c r="F15" s="22">
        <v>105083</v>
      </c>
      <c r="G15" s="22">
        <v>126077.10800568451</v>
      </c>
      <c r="H15" s="22">
        <v>113894</v>
      </c>
      <c r="I15" s="22">
        <v>124560</v>
      </c>
      <c r="J15" s="22">
        <v>120674</v>
      </c>
      <c r="K15" s="22">
        <v>115221</v>
      </c>
      <c r="L15" s="22">
        <v>105942.48056364435</v>
      </c>
      <c r="M15" s="22">
        <v>123859.52357464339</v>
      </c>
      <c r="N15" s="22">
        <v>124039</v>
      </c>
      <c r="O15" s="22">
        <v>132591</v>
      </c>
      <c r="P15" s="22">
        <v>141752.40803660679</v>
      </c>
      <c r="Q15" s="3"/>
      <c r="R15" s="4"/>
      <c r="S15" s="4"/>
      <c r="T15" s="3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3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3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3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1"/>
      <c r="GE15" s="1"/>
      <c r="GF15" s="1"/>
    </row>
    <row r="16" spans="1:189" s="11" customFormat="1" ht="15.75" x14ac:dyDescent="0.25">
      <c r="A16" s="25"/>
      <c r="B16" s="26" t="s">
        <v>29</v>
      </c>
      <c r="C16" s="27">
        <f>+C13+C14+C15</f>
        <v>623780.3266463757</v>
      </c>
      <c r="D16" s="27">
        <f t="shared" ref="D16:M16" si="6">+D13+D14+D15</f>
        <v>609420.25738120894</v>
      </c>
      <c r="E16" s="27">
        <f t="shared" si="6"/>
        <v>534430.81312985078</v>
      </c>
      <c r="F16" s="27">
        <f t="shared" si="6"/>
        <v>472188.45580077462</v>
      </c>
      <c r="G16" s="27">
        <f t="shared" si="6"/>
        <v>321923.84766440565</v>
      </c>
      <c r="H16" s="27">
        <f t="shared" si="6"/>
        <v>330010.36141549179</v>
      </c>
      <c r="I16" s="27">
        <f t="shared" si="6"/>
        <v>381239.23895733373</v>
      </c>
      <c r="J16" s="27">
        <f t="shared" si="6"/>
        <v>403244.2612784981</v>
      </c>
      <c r="K16" s="27">
        <f t="shared" si="6"/>
        <v>418209.54758585111</v>
      </c>
      <c r="L16" s="27">
        <f t="shared" si="6"/>
        <v>365382.45467199269</v>
      </c>
      <c r="M16" s="27">
        <f t="shared" si="6"/>
        <v>443357.47820481297</v>
      </c>
      <c r="N16" s="27">
        <f t="shared" ref="N16" si="7">+N13+N14+N15</f>
        <v>478608.98678444733</v>
      </c>
      <c r="O16" s="27">
        <f t="shared" ref="O16:P16" si="8">+O13+O14+O15</f>
        <v>517108.12470742175</v>
      </c>
      <c r="P16" s="27">
        <f t="shared" si="8"/>
        <v>553388.06398251164</v>
      </c>
      <c r="Q16" s="3"/>
      <c r="R16" s="4"/>
      <c r="S16" s="4"/>
      <c r="T16" s="3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9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9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9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0"/>
      <c r="GE16" s="10"/>
      <c r="GF16" s="10"/>
    </row>
    <row r="17" spans="1:189" s="10" customFormat="1" ht="15.75" x14ac:dyDescent="0.25">
      <c r="A17" s="17" t="s">
        <v>35</v>
      </c>
      <c r="B17" s="18" t="s">
        <v>7</v>
      </c>
      <c r="C17" s="19">
        <f>C18+C19</f>
        <v>258057.6466255764</v>
      </c>
      <c r="D17" s="19">
        <f t="shared" ref="D17:M17" si="9">D18+D19</f>
        <v>298977.5992739416</v>
      </c>
      <c r="E17" s="19">
        <f t="shared" si="9"/>
        <v>328737.50910511828</v>
      </c>
      <c r="F17" s="19">
        <f t="shared" si="9"/>
        <v>336505.20133436134</v>
      </c>
      <c r="G17" s="19">
        <f t="shared" si="9"/>
        <v>394421.95503598254</v>
      </c>
      <c r="H17" s="19">
        <f t="shared" si="9"/>
        <v>446270.09966690303</v>
      </c>
      <c r="I17" s="19">
        <f t="shared" si="9"/>
        <v>498906.23787697143</v>
      </c>
      <c r="J17" s="19">
        <f t="shared" si="9"/>
        <v>572363.228758201</v>
      </c>
      <c r="K17" s="19">
        <f t="shared" si="9"/>
        <v>628937.75943055796</v>
      </c>
      <c r="L17" s="19">
        <f t="shared" si="9"/>
        <v>525772.63196214824</v>
      </c>
      <c r="M17" s="19">
        <f t="shared" si="9"/>
        <v>540262.62920485577</v>
      </c>
      <c r="N17" s="19">
        <f t="shared" ref="N17" si="10">N18+N19</f>
        <v>607956.70772636845</v>
      </c>
      <c r="O17" s="19">
        <f t="shared" ref="O17:P17" si="11">O18+O19</f>
        <v>663599.5408214397</v>
      </c>
      <c r="P17" s="19">
        <f t="shared" si="11"/>
        <v>712269.23382039741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G17" s="11"/>
    </row>
    <row r="18" spans="1:189" ht="15.75" x14ac:dyDescent="0.25">
      <c r="A18" s="20">
        <v>6.1</v>
      </c>
      <c r="B18" s="21" t="s">
        <v>8</v>
      </c>
      <c r="C18" s="22">
        <v>239039.63090231718</v>
      </c>
      <c r="D18" s="22">
        <v>279603.08113499009</v>
      </c>
      <c r="E18" s="22">
        <v>308764.79054346518</v>
      </c>
      <c r="F18" s="22">
        <v>316020.96311338618</v>
      </c>
      <c r="G18" s="22">
        <v>371229.6114691752</v>
      </c>
      <c r="H18" s="22">
        <v>421087.96781086031</v>
      </c>
      <c r="I18" s="22">
        <v>471442.27103518753</v>
      </c>
      <c r="J18" s="22">
        <v>541934.49500631576</v>
      </c>
      <c r="K18" s="22">
        <v>596406.94460991037</v>
      </c>
      <c r="L18" s="22">
        <v>511837.80768542632</v>
      </c>
      <c r="M18" s="22">
        <v>520900.11123505241</v>
      </c>
      <c r="N18" s="22">
        <v>572664.38071513851</v>
      </c>
      <c r="O18" s="22">
        <v>622065.75787435181</v>
      </c>
      <c r="P18" s="22">
        <v>663851.49915442686</v>
      </c>
      <c r="Q18" s="3"/>
      <c r="R18" s="4"/>
      <c r="S18" s="4"/>
      <c r="T18" s="3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1"/>
      <c r="GE18" s="1"/>
      <c r="GF18" s="1"/>
    </row>
    <row r="19" spans="1:189" ht="15.75" x14ac:dyDescent="0.25">
      <c r="A19" s="20">
        <v>6.2</v>
      </c>
      <c r="B19" s="21" t="s">
        <v>9</v>
      </c>
      <c r="C19" s="22">
        <v>19018.01572325921</v>
      </c>
      <c r="D19" s="22">
        <v>19374.518138951498</v>
      </c>
      <c r="E19" s="22">
        <v>19972.71856165311</v>
      </c>
      <c r="F19" s="22">
        <v>20484.238220975123</v>
      </c>
      <c r="G19" s="22">
        <v>23192.343566807318</v>
      </c>
      <c r="H19" s="22">
        <v>25182.131856042746</v>
      </c>
      <c r="I19" s="22">
        <v>27463.966841783909</v>
      </c>
      <c r="J19" s="22">
        <v>30428.733751885222</v>
      </c>
      <c r="K19" s="22">
        <v>32530.814820647636</v>
      </c>
      <c r="L19" s="22">
        <v>13934.824276721916</v>
      </c>
      <c r="M19" s="22">
        <v>19362.517969803332</v>
      </c>
      <c r="N19" s="22">
        <v>35292.327011229907</v>
      </c>
      <c r="O19" s="22">
        <v>41533.782947087842</v>
      </c>
      <c r="P19" s="22">
        <v>48417.734665970507</v>
      </c>
      <c r="Q19" s="3"/>
      <c r="R19" s="4"/>
      <c r="S19" s="4"/>
      <c r="T19" s="3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1"/>
      <c r="GE19" s="1"/>
      <c r="GF19" s="1"/>
    </row>
    <row r="20" spans="1:189" s="10" customFormat="1" ht="30" x14ac:dyDescent="0.25">
      <c r="A20" s="31" t="s">
        <v>36</v>
      </c>
      <c r="B20" s="32" t="s">
        <v>10</v>
      </c>
      <c r="C20" s="19">
        <f>SUM(C21:C27)</f>
        <v>95614.657820414403</v>
      </c>
      <c r="D20" s="19">
        <f t="shared" ref="D20:M20" si="12">SUM(D21:D27)</f>
        <v>106249.77350912002</v>
      </c>
      <c r="E20" s="19">
        <f t="shared" si="12"/>
        <v>112657.10560018726</v>
      </c>
      <c r="F20" s="19">
        <f t="shared" si="12"/>
        <v>118599.85934941423</v>
      </c>
      <c r="G20" s="19">
        <f t="shared" si="12"/>
        <v>127467.31583997296</v>
      </c>
      <c r="H20" s="19">
        <f t="shared" si="12"/>
        <v>132695.08569475112</v>
      </c>
      <c r="I20" s="19">
        <f t="shared" si="12"/>
        <v>135324.26114799088</v>
      </c>
      <c r="J20" s="19">
        <f t="shared" si="12"/>
        <v>138628.88884118159</v>
      </c>
      <c r="K20" s="19">
        <f t="shared" si="12"/>
        <v>144411.60084759502</v>
      </c>
      <c r="L20" s="19">
        <f t="shared" si="12"/>
        <v>115922.50299000161</v>
      </c>
      <c r="M20" s="19">
        <f t="shared" si="12"/>
        <v>176801.64570159197</v>
      </c>
      <c r="N20" s="19">
        <f t="shared" ref="N20" si="13">SUM(N21:N27)</f>
        <v>192594.44955868195</v>
      </c>
      <c r="O20" s="19">
        <f t="shared" ref="O20:P20" si="14">SUM(O21:O27)</f>
        <v>210635.01630590591</v>
      </c>
      <c r="P20" s="19">
        <f t="shared" si="14"/>
        <v>260083.22099234228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G20" s="11"/>
    </row>
    <row r="21" spans="1:189" ht="15.75" x14ac:dyDescent="0.25">
      <c r="A21" s="20">
        <v>7.1</v>
      </c>
      <c r="B21" s="21" t="s">
        <v>11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3"/>
      <c r="R21" s="4"/>
      <c r="S21" s="4"/>
      <c r="T21" s="3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1"/>
      <c r="GE21" s="1"/>
      <c r="GF21" s="1"/>
    </row>
    <row r="22" spans="1:189" ht="15.75" x14ac:dyDescent="0.25">
      <c r="A22" s="20">
        <v>7.2</v>
      </c>
      <c r="B22" s="21" t="s">
        <v>12</v>
      </c>
      <c r="C22" s="22">
        <v>70234.566679508818</v>
      </c>
      <c r="D22" s="22">
        <v>76905.568614577438</v>
      </c>
      <c r="E22" s="22">
        <v>78595.212284805166</v>
      </c>
      <c r="F22" s="22">
        <v>79844</v>
      </c>
      <c r="G22" s="22">
        <v>84056</v>
      </c>
      <c r="H22" s="22">
        <v>88292.423850141888</v>
      </c>
      <c r="I22" s="22">
        <v>90508.196116618332</v>
      </c>
      <c r="J22" s="22">
        <v>94888.168865481086</v>
      </c>
      <c r="K22" s="22">
        <v>96047.627080180406</v>
      </c>
      <c r="L22" s="22">
        <v>67568.531434073433</v>
      </c>
      <c r="M22" s="22">
        <v>125875.08498736104</v>
      </c>
      <c r="N22" s="22">
        <v>135174.75322271037</v>
      </c>
      <c r="O22" s="22">
        <v>146006.31365765393</v>
      </c>
      <c r="P22" s="22">
        <v>188761.7615232204</v>
      </c>
      <c r="Q22" s="3"/>
      <c r="R22" s="4"/>
      <c r="S22" s="4"/>
      <c r="T22" s="3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1"/>
      <c r="GE22" s="1"/>
      <c r="GF22" s="1"/>
    </row>
    <row r="23" spans="1:189" ht="15.75" x14ac:dyDescent="0.25">
      <c r="A23" s="20">
        <v>7.3</v>
      </c>
      <c r="B23" s="21" t="s">
        <v>13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3"/>
      <c r="R23" s="4"/>
      <c r="S23" s="4"/>
      <c r="T23" s="3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1"/>
      <c r="GE23" s="1"/>
      <c r="GF23" s="1"/>
    </row>
    <row r="24" spans="1:189" ht="15.75" x14ac:dyDescent="0.25">
      <c r="A24" s="20">
        <v>7.4</v>
      </c>
      <c r="B24" s="21" t="s">
        <v>14</v>
      </c>
      <c r="C24" s="22">
        <v>325.07151749767206</v>
      </c>
      <c r="D24" s="22">
        <v>561.05670074416003</v>
      </c>
      <c r="E24" s="22">
        <v>455.62458087653511</v>
      </c>
      <c r="F24" s="22">
        <v>716.09986723418285</v>
      </c>
      <c r="G24" s="22">
        <v>87.896293285271753</v>
      </c>
      <c r="H24" s="22">
        <v>92.00069758161122</v>
      </c>
      <c r="I24" s="22">
        <v>75.460228172955709</v>
      </c>
      <c r="J24" s="22">
        <v>34.699904817401467</v>
      </c>
      <c r="K24" s="22">
        <v>145.96261879854481</v>
      </c>
      <c r="L24" s="22">
        <v>34.585445029982232</v>
      </c>
      <c r="M24" s="22">
        <v>220.69531810847607</v>
      </c>
      <c r="N24" s="22">
        <v>349.30561708788031</v>
      </c>
      <c r="O24" s="22">
        <v>772.10079687012637</v>
      </c>
      <c r="P24" s="22">
        <v>1041.918679634337</v>
      </c>
      <c r="Q24" s="3"/>
      <c r="R24" s="4"/>
      <c r="S24" s="4"/>
      <c r="T24" s="3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1"/>
      <c r="GE24" s="1"/>
      <c r="GF24" s="1"/>
    </row>
    <row r="25" spans="1:189" ht="15.75" x14ac:dyDescent="0.25">
      <c r="A25" s="20">
        <v>7.5</v>
      </c>
      <c r="B25" s="21" t="s">
        <v>15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1167.0436509090398</v>
      </c>
      <c r="I25" s="22">
        <v>1220.3973790110872</v>
      </c>
      <c r="J25" s="22">
        <v>1467.3102530938183</v>
      </c>
      <c r="K25" s="22">
        <v>1403.4241731864561</v>
      </c>
      <c r="L25" s="22">
        <v>418.22721316556152</v>
      </c>
      <c r="M25" s="22">
        <v>658.52015341325068</v>
      </c>
      <c r="N25" s="22">
        <v>1004.9895923360559</v>
      </c>
      <c r="O25" s="22">
        <v>1302.70236426003</v>
      </c>
      <c r="P25" s="22">
        <v>1902.4919994711831</v>
      </c>
      <c r="Q25" s="3"/>
      <c r="R25" s="4"/>
      <c r="S25" s="4"/>
      <c r="T25" s="3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1"/>
      <c r="GE25" s="1"/>
      <c r="GF25" s="1"/>
    </row>
    <row r="26" spans="1:189" ht="15.75" x14ac:dyDescent="0.25">
      <c r="A26" s="20">
        <v>7.6</v>
      </c>
      <c r="B26" s="21" t="s">
        <v>16</v>
      </c>
      <c r="C26" s="22">
        <v>287.69563004000031</v>
      </c>
      <c r="D26" s="22">
        <v>297.11600839815452</v>
      </c>
      <c r="E26" s="22">
        <v>319.75448850139128</v>
      </c>
      <c r="F26" s="22">
        <v>369.1919099948355</v>
      </c>
      <c r="G26" s="22">
        <v>423.30840408383057</v>
      </c>
      <c r="H26" s="22">
        <v>446.14449767557403</v>
      </c>
      <c r="I26" s="22">
        <v>466.84368449137014</v>
      </c>
      <c r="J26" s="22">
        <v>1616.758332353264</v>
      </c>
      <c r="K26" s="22">
        <v>1646.3974376797628</v>
      </c>
      <c r="L26" s="22">
        <v>1665.7794435568414</v>
      </c>
      <c r="M26" s="22">
        <v>1635.4160639013362</v>
      </c>
      <c r="N26" s="22">
        <v>1718.3911110168158</v>
      </c>
      <c r="O26" s="22">
        <v>2012.3489018224093</v>
      </c>
      <c r="P26" s="22">
        <v>2143.2123768040642</v>
      </c>
      <c r="Q26" s="3"/>
      <c r="R26" s="4"/>
      <c r="S26" s="4"/>
      <c r="T26" s="3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1"/>
      <c r="GE26" s="1"/>
      <c r="GF26" s="1"/>
    </row>
    <row r="27" spans="1:189" ht="30" x14ac:dyDescent="0.25">
      <c r="A27" s="20">
        <v>7.7</v>
      </c>
      <c r="B27" s="21" t="s">
        <v>17</v>
      </c>
      <c r="C27" s="22">
        <v>24767.323993367922</v>
      </c>
      <c r="D27" s="22">
        <v>28486.032185400276</v>
      </c>
      <c r="E27" s="22">
        <v>33286.514246004168</v>
      </c>
      <c r="F27" s="22">
        <v>37670.567572185202</v>
      </c>
      <c r="G27" s="22">
        <v>42900.111142603848</v>
      </c>
      <c r="H27" s="22">
        <v>42697.472998443001</v>
      </c>
      <c r="I27" s="22">
        <v>43053.363739697132</v>
      </c>
      <c r="J27" s="22">
        <v>40621.951485436024</v>
      </c>
      <c r="K27" s="22">
        <v>45168.189537749873</v>
      </c>
      <c r="L27" s="22">
        <v>46235.379454175803</v>
      </c>
      <c r="M27" s="22">
        <v>48411.929178807841</v>
      </c>
      <c r="N27" s="22">
        <v>54347.010015530839</v>
      </c>
      <c r="O27" s="22">
        <v>60541.55058529941</v>
      </c>
      <c r="P27" s="22">
        <v>66233.83641321231</v>
      </c>
      <c r="Q27" s="3"/>
      <c r="R27" s="4"/>
      <c r="S27" s="4"/>
      <c r="T27" s="3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1"/>
      <c r="GE27" s="1"/>
      <c r="GF27" s="1"/>
    </row>
    <row r="28" spans="1:189" ht="15.75" x14ac:dyDescent="0.25">
      <c r="A28" s="24" t="s">
        <v>37</v>
      </c>
      <c r="B28" s="21" t="s">
        <v>18</v>
      </c>
      <c r="C28" s="22">
        <v>55825</v>
      </c>
      <c r="D28" s="22">
        <v>55439</v>
      </c>
      <c r="E28" s="22">
        <v>55476</v>
      </c>
      <c r="F28" s="22">
        <v>61276.747727011796</v>
      </c>
      <c r="G28" s="22">
        <v>64949</v>
      </c>
      <c r="H28" s="22">
        <v>66410</v>
      </c>
      <c r="I28" s="22">
        <v>70346.764861194475</v>
      </c>
      <c r="J28" s="22">
        <v>60435.397606417733</v>
      </c>
      <c r="K28" s="22">
        <v>68290.37407945747</v>
      </c>
      <c r="L28" s="22">
        <v>70289.355547058047</v>
      </c>
      <c r="M28" s="22">
        <v>68655</v>
      </c>
      <c r="N28" s="22">
        <v>73055.372942184491</v>
      </c>
      <c r="O28" s="22">
        <v>89682.26614966942</v>
      </c>
      <c r="P28" s="22">
        <v>97269.998950265595</v>
      </c>
      <c r="Q28" s="3"/>
      <c r="R28" s="4"/>
      <c r="S28" s="4"/>
      <c r="T28" s="3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1"/>
      <c r="GE28" s="1"/>
      <c r="GF28" s="1"/>
    </row>
    <row r="29" spans="1:189" ht="30" x14ac:dyDescent="0.25">
      <c r="A29" s="24" t="s">
        <v>38</v>
      </c>
      <c r="B29" s="21" t="s">
        <v>19</v>
      </c>
      <c r="C29" s="22">
        <v>115442.7543756775</v>
      </c>
      <c r="D29" s="22">
        <v>117668.85752789892</v>
      </c>
      <c r="E29" s="22">
        <v>121014</v>
      </c>
      <c r="F29" s="22">
        <v>125149</v>
      </c>
      <c r="G29" s="22">
        <v>132768.91988123039</v>
      </c>
      <c r="H29" s="22">
        <v>122905</v>
      </c>
      <c r="I29" s="22">
        <v>124180.23961847229</v>
      </c>
      <c r="J29" s="22">
        <v>125181</v>
      </c>
      <c r="K29" s="22">
        <v>126452</v>
      </c>
      <c r="L29" s="22">
        <v>118280.71626207409</v>
      </c>
      <c r="M29" s="22">
        <v>119016.66475767417</v>
      </c>
      <c r="N29" s="22">
        <v>139964</v>
      </c>
      <c r="O29" s="22">
        <v>144534</v>
      </c>
      <c r="P29" s="22">
        <v>154521.42838756763</v>
      </c>
      <c r="Q29" s="3"/>
      <c r="R29" s="4"/>
      <c r="S29" s="4"/>
      <c r="T29" s="3"/>
      <c r="U29" s="5"/>
      <c r="V29" s="5"/>
      <c r="W29" s="5"/>
      <c r="X29" s="5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1"/>
      <c r="GE29" s="1"/>
      <c r="GF29" s="1"/>
    </row>
    <row r="30" spans="1:189" ht="15.75" x14ac:dyDescent="0.25">
      <c r="A30" s="24" t="s">
        <v>39</v>
      </c>
      <c r="B30" s="21" t="s">
        <v>54</v>
      </c>
      <c r="C30" s="22">
        <v>177913</v>
      </c>
      <c r="D30" s="22">
        <v>168912</v>
      </c>
      <c r="E30" s="22">
        <v>178420</v>
      </c>
      <c r="F30" s="22">
        <v>197251</v>
      </c>
      <c r="G30" s="22">
        <v>197118.04387838917</v>
      </c>
      <c r="H30" s="22">
        <v>208591</v>
      </c>
      <c r="I30" s="22">
        <v>221077</v>
      </c>
      <c r="J30" s="22">
        <v>259967.92684586596</v>
      </c>
      <c r="K30" s="22">
        <v>276200</v>
      </c>
      <c r="L30" s="22">
        <v>263608.01529519737</v>
      </c>
      <c r="M30" s="22">
        <v>268082.54571159289</v>
      </c>
      <c r="N30" s="22">
        <v>276959</v>
      </c>
      <c r="O30" s="22">
        <v>313525</v>
      </c>
      <c r="P30" s="22">
        <v>332182.46097836533</v>
      </c>
      <c r="Q30" s="3"/>
      <c r="R30" s="4"/>
      <c r="S30" s="4"/>
      <c r="T30" s="3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1"/>
      <c r="GE30" s="1"/>
      <c r="GF30" s="1"/>
    </row>
    <row r="31" spans="1:189" ht="15.75" x14ac:dyDescent="0.25">
      <c r="A31" s="24" t="s">
        <v>40</v>
      </c>
      <c r="B31" s="21" t="s">
        <v>20</v>
      </c>
      <c r="C31" s="22">
        <v>143244</v>
      </c>
      <c r="D31" s="22">
        <v>146118.15572867048</v>
      </c>
      <c r="E31" s="22">
        <v>155272</v>
      </c>
      <c r="F31" s="22">
        <v>158169</v>
      </c>
      <c r="G31" s="22">
        <v>164863.26271909048</v>
      </c>
      <c r="H31" s="22">
        <v>189171</v>
      </c>
      <c r="I31" s="22">
        <v>209733</v>
      </c>
      <c r="J31" s="22">
        <v>240130</v>
      </c>
      <c r="K31" s="22">
        <v>246168</v>
      </c>
      <c r="L31" s="22">
        <v>208667.9647919292</v>
      </c>
      <c r="M31" s="22">
        <v>237191.69584442792</v>
      </c>
      <c r="N31" s="22">
        <v>274264</v>
      </c>
      <c r="O31" s="22">
        <v>295222</v>
      </c>
      <c r="P31" s="22">
        <v>331420.75118786877</v>
      </c>
      <c r="Q31" s="3"/>
      <c r="R31" s="4"/>
      <c r="S31" s="4"/>
      <c r="T31" s="3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1"/>
      <c r="GE31" s="1"/>
      <c r="GF31" s="1"/>
    </row>
    <row r="32" spans="1:189" s="11" customFormat="1" ht="15.75" x14ac:dyDescent="0.25">
      <c r="A32" s="25"/>
      <c r="B32" s="26" t="s">
        <v>30</v>
      </c>
      <c r="C32" s="27">
        <f>C17+C20+C28+C29+C30+C31</f>
        <v>846097.05882166838</v>
      </c>
      <c r="D32" s="27">
        <f t="shared" ref="D32:K32" si="15">D17+D20+D28+D29+D30+D31</f>
        <v>893365.38603963098</v>
      </c>
      <c r="E32" s="27">
        <f t="shared" si="15"/>
        <v>951576.61470530555</v>
      </c>
      <c r="F32" s="27">
        <f t="shared" si="15"/>
        <v>996950.80841078737</v>
      </c>
      <c r="G32" s="27">
        <f t="shared" si="15"/>
        <v>1081588.4973546655</v>
      </c>
      <c r="H32" s="27">
        <f t="shared" si="15"/>
        <v>1166042.185361654</v>
      </c>
      <c r="I32" s="27">
        <f t="shared" si="15"/>
        <v>1259567.503504629</v>
      </c>
      <c r="J32" s="27">
        <f t="shared" si="15"/>
        <v>1396706.4420516663</v>
      </c>
      <c r="K32" s="27">
        <f t="shared" si="15"/>
        <v>1490459.7343576103</v>
      </c>
      <c r="L32" s="27">
        <f t="shared" ref="L32:M32" si="16">L17+L20+L28+L29+L30+L31</f>
        <v>1302541.1868484083</v>
      </c>
      <c r="M32" s="27">
        <f t="shared" si="16"/>
        <v>1410010.1812201429</v>
      </c>
      <c r="N32" s="27">
        <f t="shared" ref="N32" si="17">N17+N20+N28+N29+N30+N31</f>
        <v>1564793.5302272348</v>
      </c>
      <c r="O32" s="27">
        <f t="shared" ref="O32:P32" si="18">O17+O20+O28+O29+O30+O31</f>
        <v>1717197.823277015</v>
      </c>
      <c r="P32" s="27">
        <f t="shared" si="18"/>
        <v>1887747.0943168071</v>
      </c>
      <c r="Q32" s="3"/>
      <c r="R32" s="4"/>
      <c r="S32" s="4"/>
      <c r="T32" s="3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0"/>
      <c r="GE32" s="10"/>
      <c r="GF32" s="10"/>
    </row>
    <row r="33" spans="1:189" s="10" customFormat="1" ht="15.75" x14ac:dyDescent="0.25">
      <c r="A33" s="17" t="s">
        <v>27</v>
      </c>
      <c r="B33" s="33" t="s">
        <v>41</v>
      </c>
      <c r="C33" s="19">
        <f t="shared" ref="C33" si="19">C6+C11+C13+C14+C15+C17+C20+C28+C29+C30+C31</f>
        <v>1892181.8249104186</v>
      </c>
      <c r="D33" s="19">
        <f t="shared" ref="D33:K33" si="20">D6+D11+D13+D14+D15+D17+D20+D28+D29+D30+D31</f>
        <v>1930916.0000374434</v>
      </c>
      <c r="E33" s="19">
        <f t="shared" si="20"/>
        <v>1978747.0410473123</v>
      </c>
      <c r="F33" s="19">
        <f t="shared" si="20"/>
        <v>1913447.264211562</v>
      </c>
      <c r="G33" s="19">
        <f t="shared" si="20"/>
        <v>1875803.0874801227</v>
      </c>
      <c r="H33" s="19">
        <f t="shared" si="20"/>
        <v>1951288.5467771459</v>
      </c>
      <c r="I33" s="19">
        <f t="shared" si="20"/>
        <v>2092265.7424619626</v>
      </c>
      <c r="J33" s="19">
        <f t="shared" si="20"/>
        <v>2209139.7033301643</v>
      </c>
      <c r="K33" s="19">
        <f t="shared" si="20"/>
        <v>2319828.2819434614</v>
      </c>
      <c r="L33" s="19">
        <f t="shared" ref="L33:M33" si="21">L6+L11+L13+L14+L15+L17+L20+L28+L29+L30+L31</f>
        <v>2125807.4752818905</v>
      </c>
      <c r="M33" s="19">
        <f t="shared" si="21"/>
        <v>2282880.9034312982</v>
      </c>
      <c r="N33" s="19">
        <f t="shared" ref="N33" si="22">N6+N11+N13+N14+N15+N17+N20+N28+N29+N30+N31</f>
        <v>2489803.903353265</v>
      </c>
      <c r="O33" s="19">
        <f t="shared" ref="O33:P33" si="23">O6+O11+O13+O14+O15+O17+O20+O28+O29+O30+O31</f>
        <v>2720927.5516203693</v>
      </c>
      <c r="P33" s="19">
        <f t="shared" si="23"/>
        <v>2970025.4058825527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G33" s="11"/>
    </row>
    <row r="34" spans="1:189" ht="15.75" x14ac:dyDescent="0.25">
      <c r="A34" s="34" t="s">
        <v>43</v>
      </c>
      <c r="B34" s="35" t="s">
        <v>25</v>
      </c>
      <c r="C34" s="22">
        <v>152456.01298907335</v>
      </c>
      <c r="D34" s="22">
        <v>168648.90710677547</v>
      </c>
      <c r="E34" s="22">
        <v>150560.97638131116</v>
      </c>
      <c r="F34" s="22">
        <v>151096.92695589236</v>
      </c>
      <c r="G34" s="22">
        <v>227393.75968902957</v>
      </c>
      <c r="H34" s="22">
        <v>251395.12568728111</v>
      </c>
      <c r="I34" s="22">
        <v>184306.54966511519</v>
      </c>
      <c r="J34" s="22">
        <v>184281.28555531765</v>
      </c>
      <c r="K34" s="22">
        <v>193271.93185200851</v>
      </c>
      <c r="L34" s="22">
        <v>209710.07148274634</v>
      </c>
      <c r="M34" s="22">
        <v>258894.16097018105</v>
      </c>
      <c r="N34" s="22">
        <v>283268.03664996679</v>
      </c>
      <c r="O34" s="22">
        <v>328346.06259948597</v>
      </c>
      <c r="P34" s="22">
        <v>374862.99356630223</v>
      </c>
      <c r="Q34" s="3"/>
      <c r="R34" s="4"/>
      <c r="S34" s="4"/>
      <c r="T34" s="3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</row>
    <row r="35" spans="1:189" ht="15.75" x14ac:dyDescent="0.25">
      <c r="A35" s="34" t="s">
        <v>44</v>
      </c>
      <c r="B35" s="35" t="s">
        <v>24</v>
      </c>
      <c r="C35" s="22">
        <v>52863</v>
      </c>
      <c r="D35" s="22">
        <v>64208.370076589425</v>
      </c>
      <c r="E35" s="22">
        <v>56737.392916657052</v>
      </c>
      <c r="F35" s="22">
        <v>50510.94198343475</v>
      </c>
      <c r="G35" s="22">
        <v>39355.049891041599</v>
      </c>
      <c r="H35" s="22">
        <v>29660.825489271236</v>
      </c>
      <c r="I35" s="22">
        <v>20139.211109849777</v>
      </c>
      <c r="J35" s="22">
        <v>21535.937177818771</v>
      </c>
      <c r="K35" s="22">
        <v>20761.124938364228</v>
      </c>
      <c r="L35" s="22">
        <v>38826.09868900814</v>
      </c>
      <c r="M35" s="22">
        <v>54206.274555151889</v>
      </c>
      <c r="N35" s="22">
        <v>47571.202572098839</v>
      </c>
      <c r="O35" s="22">
        <v>33838.649956608293</v>
      </c>
      <c r="P35" s="22">
        <v>38234.337054987525</v>
      </c>
      <c r="Q35" s="3"/>
      <c r="R35" s="4"/>
      <c r="S35" s="4"/>
      <c r="T35" s="3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</row>
    <row r="36" spans="1:189" s="11" customFormat="1" ht="15.75" x14ac:dyDescent="0.25">
      <c r="A36" s="36" t="s">
        <v>45</v>
      </c>
      <c r="B36" s="37" t="s">
        <v>55</v>
      </c>
      <c r="C36" s="27">
        <f>C33+C34-C35</f>
        <v>1991774.8378994919</v>
      </c>
      <c r="D36" s="27">
        <f t="shared" ref="D36:M36" si="24">D33+D34-D35</f>
        <v>2035356.5370676292</v>
      </c>
      <c r="E36" s="27">
        <f t="shared" si="24"/>
        <v>2072570.6245119665</v>
      </c>
      <c r="F36" s="27">
        <f t="shared" si="24"/>
        <v>2014033.2491840194</v>
      </c>
      <c r="G36" s="27">
        <f t="shared" si="24"/>
        <v>2063841.7972781109</v>
      </c>
      <c r="H36" s="27">
        <f t="shared" si="24"/>
        <v>2173022.8469751556</v>
      </c>
      <c r="I36" s="27">
        <f t="shared" si="24"/>
        <v>2256433.0810172283</v>
      </c>
      <c r="J36" s="27">
        <f t="shared" si="24"/>
        <v>2371885.0517076631</v>
      </c>
      <c r="K36" s="27">
        <f t="shared" si="24"/>
        <v>2492339.0888571059</v>
      </c>
      <c r="L36" s="27">
        <f t="shared" si="24"/>
        <v>2296691.4480756288</v>
      </c>
      <c r="M36" s="27">
        <f t="shared" si="24"/>
        <v>2487568.7898463276</v>
      </c>
      <c r="N36" s="27">
        <f t="shared" ref="N36" si="25">N33+N34-N35</f>
        <v>2725500.7374311327</v>
      </c>
      <c r="O36" s="27">
        <f t="shared" ref="O36:P36" si="26">O33+O34-O35</f>
        <v>3015434.9642632473</v>
      </c>
      <c r="P36" s="27">
        <f t="shared" si="26"/>
        <v>3306654.0623938674</v>
      </c>
      <c r="Q36" s="3"/>
      <c r="R36" s="4"/>
      <c r="S36" s="4"/>
      <c r="T36" s="3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</row>
    <row r="37" spans="1:189" s="11" customFormat="1" ht="15.75" x14ac:dyDescent="0.25">
      <c r="A37" s="36" t="s">
        <v>46</v>
      </c>
      <c r="B37" s="37" t="s">
        <v>42</v>
      </c>
      <c r="C37" s="27">
        <f>GSVA_cur!C37</f>
        <v>30150</v>
      </c>
      <c r="D37" s="27">
        <f>GSVA_cur!D37</f>
        <v>30480</v>
      </c>
      <c r="E37" s="27">
        <f>GSVA_cur!E37</f>
        <v>30800</v>
      </c>
      <c r="F37" s="27">
        <f>GSVA_cur!F37</f>
        <v>31130</v>
      </c>
      <c r="G37" s="27">
        <f>GSVA_cur!G37</f>
        <v>31450</v>
      </c>
      <c r="H37" s="27">
        <f>GSVA_cur!H37</f>
        <v>31760</v>
      </c>
      <c r="I37" s="27">
        <f>GSVA_cur!I37</f>
        <v>32080</v>
      </c>
      <c r="J37" s="27">
        <f>GSVA_cur!J37</f>
        <v>32400</v>
      </c>
      <c r="K37" s="27">
        <f>GSVA_cur!K37</f>
        <v>32720</v>
      </c>
      <c r="L37" s="27">
        <f>GSVA_cur!L37</f>
        <v>33030</v>
      </c>
      <c r="M37" s="27">
        <f>GSVA_cur!M37</f>
        <v>33330</v>
      </c>
      <c r="N37" s="27">
        <f>GSVA_cur!N37</f>
        <v>33640</v>
      </c>
      <c r="O37" s="27">
        <f>GSVA_cur!O37</f>
        <v>33940</v>
      </c>
      <c r="P37" s="27">
        <f>GSVA_cur!P37</f>
        <v>34250</v>
      </c>
      <c r="Q37" s="1"/>
      <c r="R37" s="2"/>
      <c r="S37" s="2"/>
      <c r="T37" s="1"/>
      <c r="U37" s="1"/>
      <c r="V37" s="1"/>
      <c r="W37" s="1"/>
      <c r="X37" s="1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</row>
    <row r="38" spans="1:189" s="11" customFormat="1" ht="15.75" x14ac:dyDescent="0.25">
      <c r="A38" s="36" t="s">
        <v>47</v>
      </c>
      <c r="B38" s="37" t="s">
        <v>58</v>
      </c>
      <c r="C38" s="27">
        <f>C36/C37*1000</f>
        <v>66062.183678258429</v>
      </c>
      <c r="D38" s="27">
        <f t="shared" ref="D38:M38" si="27">D36/D37*1000</f>
        <v>66776.78927387236</v>
      </c>
      <c r="E38" s="27">
        <f t="shared" si="27"/>
        <v>67291.254042596309</v>
      </c>
      <c r="F38" s="27">
        <f t="shared" si="27"/>
        <v>64697.502383039493</v>
      </c>
      <c r="G38" s="27">
        <f t="shared" si="27"/>
        <v>65622.950628874751</v>
      </c>
      <c r="H38" s="27">
        <f t="shared" si="27"/>
        <v>68420.114829192549</v>
      </c>
      <c r="I38" s="27">
        <f t="shared" si="27"/>
        <v>70337.689557893653</v>
      </c>
      <c r="J38" s="27">
        <f t="shared" si="27"/>
        <v>73206.328756409348</v>
      </c>
      <c r="K38" s="27">
        <f t="shared" si="27"/>
        <v>76171.73254453257</v>
      </c>
      <c r="L38" s="27">
        <f t="shared" si="27"/>
        <v>69533.4982765858</v>
      </c>
      <c r="M38" s="27">
        <f t="shared" si="27"/>
        <v>74634.527148104637</v>
      </c>
      <c r="N38" s="27">
        <f t="shared" ref="N38" si="28">N36/N37*1000</f>
        <v>81019.641421852939</v>
      </c>
      <c r="O38" s="27">
        <f t="shared" ref="O38" si="29">O36/O37*1000</f>
        <v>88846.050803277758</v>
      </c>
      <c r="P38" s="27">
        <f t="shared" ref="P38" si="30">P36/P37*1000</f>
        <v>96544.644157485178</v>
      </c>
      <c r="Q38" s="1"/>
      <c r="R38" s="2"/>
      <c r="S38" s="2"/>
      <c r="T38" s="3"/>
      <c r="U38" s="3"/>
      <c r="V38" s="3"/>
      <c r="W38" s="3"/>
      <c r="X38" s="3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BY38" s="12"/>
      <c r="BZ38" s="12"/>
      <c r="CA38" s="12"/>
      <c r="CB38" s="12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</row>
    <row r="39" spans="1:189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4" max="1048575" man="1"/>
    <brk id="36" max="1048575" man="1"/>
    <brk id="52" max="1048575" man="1"/>
    <brk id="116" max="95" man="1"/>
    <brk id="152" max="1048575" man="1"/>
    <brk id="176" max="1048575" man="1"/>
    <brk id="184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V39"/>
  <sheetViews>
    <sheetView zoomScale="76" zoomScaleNormal="76" zoomScaleSheetLayoutView="100" workbookViewId="0">
      <pane xSplit="2" ySplit="5" topLeftCell="C6" activePane="bottomRight" state="frozen"/>
      <selection activeCell="R24" sqref="R24"/>
      <selection pane="topRight" activeCell="R24" sqref="R24"/>
      <selection pane="bottomLeft" activeCell="R24" sqref="R24"/>
      <selection pane="bottomRight" activeCell="R24" sqref="R24"/>
    </sheetView>
  </sheetViews>
  <sheetFormatPr defaultColWidth="8.85546875" defaultRowHeight="15" x14ac:dyDescent="0.25"/>
  <cols>
    <col min="1" max="1" width="11" style="2" customWidth="1"/>
    <col min="2" max="2" width="37.28515625" style="2" customWidth="1"/>
    <col min="3" max="6" width="11.28515625" style="2" customWidth="1"/>
    <col min="7" max="16" width="11.85546875" style="1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1" customWidth="1"/>
    <col min="22" max="22" width="9.140625" style="2" customWidth="1"/>
    <col min="23" max="23" width="10.85546875" style="2" customWidth="1"/>
    <col min="24" max="24" width="10.85546875" style="1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1" customWidth="1"/>
    <col min="115" max="119" width="9.140625" style="1" hidden="1" customWidth="1"/>
    <col min="120" max="120" width="9.140625" style="1" customWidth="1"/>
    <col min="121" max="125" width="9.140625" style="1" hidden="1" customWidth="1"/>
    <col min="126" max="126" width="9.140625" style="1" customWidth="1"/>
    <col min="127" max="131" width="9.140625" style="1" hidden="1" customWidth="1"/>
    <col min="132" max="132" width="9.140625" style="1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ht="18.75" x14ac:dyDescent="0.3">
      <c r="A1" s="2" t="s">
        <v>53</v>
      </c>
      <c r="B1" s="6" t="s">
        <v>66</v>
      </c>
      <c r="W1" s="3"/>
    </row>
    <row r="2" spans="1:193" ht="15.75" x14ac:dyDescent="0.25">
      <c r="A2" s="7" t="s">
        <v>50</v>
      </c>
      <c r="I2" s="1" t="str">
        <f>[1]GSVA_cur!$I$3</f>
        <v>01.08.2025</v>
      </c>
    </row>
    <row r="3" spans="1:193" ht="15.75" x14ac:dyDescent="0.25">
      <c r="A3" s="7"/>
    </row>
    <row r="4" spans="1:193" ht="15.75" x14ac:dyDescent="0.25">
      <c r="A4" s="7"/>
      <c r="E4" s="8"/>
      <c r="F4" s="8" t="s">
        <v>57</v>
      </c>
    </row>
    <row r="5" spans="1:193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  <c r="P5" s="16" t="s">
        <v>76</v>
      </c>
    </row>
    <row r="6" spans="1:193" s="10" customFormat="1" ht="15.75" x14ac:dyDescent="0.25">
      <c r="A6" s="17" t="s">
        <v>26</v>
      </c>
      <c r="B6" s="18" t="s">
        <v>2</v>
      </c>
      <c r="C6" s="19">
        <f>SUM(C7:C10)</f>
        <v>263797.4394423748</v>
      </c>
      <c r="D6" s="19">
        <f t="shared" ref="D6:M6" si="0">SUM(D7:D10)</f>
        <v>300176.39228157571</v>
      </c>
      <c r="E6" s="19">
        <f t="shared" si="0"/>
        <v>317754</v>
      </c>
      <c r="F6" s="19">
        <f t="shared" si="0"/>
        <v>379805</v>
      </c>
      <c r="G6" s="19">
        <f t="shared" si="0"/>
        <v>439648.3023554972</v>
      </c>
      <c r="H6" s="19">
        <f t="shared" si="0"/>
        <v>490579</v>
      </c>
      <c r="I6" s="19">
        <f t="shared" si="0"/>
        <v>518769</v>
      </c>
      <c r="J6" s="19">
        <f t="shared" si="0"/>
        <v>557210</v>
      </c>
      <c r="K6" s="19">
        <f t="shared" si="0"/>
        <v>590310.47728663997</v>
      </c>
      <c r="L6" s="19">
        <f t="shared" si="0"/>
        <v>670190.17783804366</v>
      </c>
      <c r="M6" s="19">
        <f t="shared" si="0"/>
        <v>781050.34092165669</v>
      </c>
      <c r="N6" s="19">
        <f t="shared" ref="N6" si="1">SUM(N7:N10)</f>
        <v>892360.3835387557</v>
      </c>
      <c r="O6" s="19">
        <f t="shared" ref="O6:P6" si="2">SUM(O7:O10)</f>
        <v>1022271.5458073213</v>
      </c>
      <c r="P6" s="19">
        <f t="shared" si="2"/>
        <v>1162293.9083739431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K6" s="11"/>
    </row>
    <row r="7" spans="1:193" ht="15.75" x14ac:dyDescent="0.25">
      <c r="A7" s="20">
        <v>1.1000000000000001</v>
      </c>
      <c r="B7" s="21" t="s">
        <v>59</v>
      </c>
      <c r="C7" s="22">
        <v>145770.15717972827</v>
      </c>
      <c r="D7" s="22">
        <v>178229.68566690301</v>
      </c>
      <c r="E7" s="22">
        <v>184496</v>
      </c>
      <c r="F7" s="22">
        <v>199257</v>
      </c>
      <c r="G7" s="22">
        <v>222152.05566845558</v>
      </c>
      <c r="H7" s="22">
        <v>236640</v>
      </c>
      <c r="I7" s="22">
        <v>253690</v>
      </c>
      <c r="J7" s="22">
        <v>279834</v>
      </c>
      <c r="K7" s="22">
        <v>288528</v>
      </c>
      <c r="L7" s="22">
        <v>359823.59868547658</v>
      </c>
      <c r="M7" s="22">
        <v>434292.70340212598</v>
      </c>
      <c r="N7" s="22">
        <v>480006.14440083411</v>
      </c>
      <c r="O7" s="22">
        <v>568166.42725500441</v>
      </c>
      <c r="P7" s="22">
        <v>661613.2734390113</v>
      </c>
      <c r="Q7" s="4"/>
      <c r="R7" s="4"/>
      <c r="S7" s="4"/>
      <c r="T7" s="4"/>
      <c r="U7" s="3"/>
      <c r="V7" s="4"/>
      <c r="W7" s="4"/>
      <c r="X7" s="3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1"/>
      <c r="GI7" s="1"/>
      <c r="GJ7" s="1"/>
    </row>
    <row r="8" spans="1:193" ht="15.75" x14ac:dyDescent="0.25">
      <c r="A8" s="20">
        <v>1.2</v>
      </c>
      <c r="B8" s="23" t="s">
        <v>60</v>
      </c>
      <c r="C8" s="22">
        <v>58947.165535754502</v>
      </c>
      <c r="D8" s="22">
        <v>60183.312803462104</v>
      </c>
      <c r="E8" s="22">
        <v>68586</v>
      </c>
      <c r="F8" s="22">
        <v>71658</v>
      </c>
      <c r="G8" s="22">
        <v>74151.740777883257</v>
      </c>
      <c r="H8" s="22">
        <v>79051</v>
      </c>
      <c r="I8" s="22">
        <v>82591</v>
      </c>
      <c r="J8" s="22">
        <v>90783</v>
      </c>
      <c r="K8" s="22">
        <v>99401</v>
      </c>
      <c r="L8" s="22">
        <v>109260.06519728941</v>
      </c>
      <c r="M8" s="22">
        <v>123967.67403150731</v>
      </c>
      <c r="N8" s="22">
        <v>173216.43087004509</v>
      </c>
      <c r="O8" s="22">
        <v>195197.72670073804</v>
      </c>
      <c r="P8" s="22">
        <v>218666.77515435754</v>
      </c>
      <c r="Q8" s="4"/>
      <c r="R8" s="4"/>
      <c r="S8" s="4"/>
      <c r="T8" s="4"/>
      <c r="U8" s="3"/>
      <c r="V8" s="4"/>
      <c r="W8" s="4"/>
      <c r="X8" s="3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1"/>
      <c r="GI8" s="1"/>
      <c r="GJ8" s="1"/>
    </row>
    <row r="9" spans="1:193" ht="15.75" x14ac:dyDescent="0.25">
      <c r="A9" s="20">
        <v>1.3</v>
      </c>
      <c r="B9" s="21" t="s">
        <v>61</v>
      </c>
      <c r="C9" s="22">
        <v>55478.351648320611</v>
      </c>
      <c r="D9" s="22">
        <v>55120.171108023089</v>
      </c>
      <c r="E9" s="22">
        <v>57034</v>
      </c>
      <c r="F9" s="22">
        <v>100260</v>
      </c>
      <c r="G9" s="22">
        <v>126269.8903424061</v>
      </c>
      <c r="H9" s="22">
        <v>154444</v>
      </c>
      <c r="I9" s="22">
        <v>156821</v>
      </c>
      <c r="J9" s="22">
        <v>158586</v>
      </c>
      <c r="K9" s="22">
        <v>167279.47728664</v>
      </c>
      <c r="L9" s="22">
        <v>164499.83904048495</v>
      </c>
      <c r="M9" s="22">
        <v>179081.97217021175</v>
      </c>
      <c r="N9" s="22">
        <v>188683.79613084791</v>
      </c>
      <c r="O9" s="22">
        <v>204111.80174692994</v>
      </c>
      <c r="P9" s="22">
        <v>219332.16694373917</v>
      </c>
      <c r="Q9" s="4"/>
      <c r="R9" s="4"/>
      <c r="S9" s="4"/>
      <c r="T9" s="4"/>
      <c r="U9" s="3"/>
      <c r="V9" s="4"/>
      <c r="W9" s="4"/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1"/>
      <c r="GI9" s="1"/>
      <c r="GJ9" s="1"/>
    </row>
    <row r="10" spans="1:193" ht="15.75" x14ac:dyDescent="0.25">
      <c r="A10" s="20">
        <v>1.4</v>
      </c>
      <c r="B10" s="21" t="s">
        <v>62</v>
      </c>
      <c r="C10" s="22">
        <v>3601.7650785714286</v>
      </c>
      <c r="D10" s="22">
        <v>6643.2227031875</v>
      </c>
      <c r="E10" s="22">
        <v>7638</v>
      </c>
      <c r="F10" s="22">
        <v>8630</v>
      </c>
      <c r="G10" s="22">
        <v>17074.615566752276</v>
      </c>
      <c r="H10" s="22">
        <v>20444</v>
      </c>
      <c r="I10" s="22">
        <v>25667</v>
      </c>
      <c r="J10" s="22">
        <v>28007</v>
      </c>
      <c r="K10" s="22">
        <v>35102</v>
      </c>
      <c r="L10" s="22">
        <v>36606.674914792784</v>
      </c>
      <c r="M10" s="22">
        <v>43707.991317811604</v>
      </c>
      <c r="N10" s="22">
        <v>50454.012137028578</v>
      </c>
      <c r="O10" s="22">
        <v>54795.590104648865</v>
      </c>
      <c r="P10" s="22">
        <v>62681.692836835129</v>
      </c>
      <c r="Q10" s="4"/>
      <c r="R10" s="4"/>
      <c r="S10" s="4"/>
      <c r="T10" s="4"/>
      <c r="U10" s="3"/>
      <c r="V10" s="4"/>
      <c r="W10" s="4"/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1"/>
      <c r="GI10" s="1"/>
      <c r="GJ10" s="1"/>
    </row>
    <row r="11" spans="1:193" ht="15.75" x14ac:dyDescent="0.25">
      <c r="A11" s="24" t="s">
        <v>31</v>
      </c>
      <c r="B11" s="21" t="s">
        <v>3</v>
      </c>
      <c r="C11" s="22">
        <v>122605</v>
      </c>
      <c r="D11" s="22">
        <v>107852</v>
      </c>
      <c r="E11" s="22">
        <v>161603.76469944287</v>
      </c>
      <c r="F11" s="22">
        <v>65574</v>
      </c>
      <c r="G11" s="22">
        <v>114027.3765493509</v>
      </c>
      <c r="H11" s="22">
        <v>80634</v>
      </c>
      <c r="I11" s="22">
        <v>75752</v>
      </c>
      <c r="J11" s="22">
        <v>33676</v>
      </c>
      <c r="K11" s="22">
        <v>28048</v>
      </c>
      <c r="L11" s="22">
        <v>30415.000168648825</v>
      </c>
      <c r="M11" s="22">
        <v>43072.366542417833</v>
      </c>
      <c r="N11" s="22">
        <v>55846.085675716866</v>
      </c>
      <c r="O11" s="22">
        <v>72935.671828631865</v>
      </c>
      <c r="P11" s="22">
        <v>97624.174796321153</v>
      </c>
      <c r="Q11" s="4"/>
      <c r="R11" s="4"/>
      <c r="S11" s="4"/>
      <c r="T11" s="4"/>
      <c r="U11" s="3"/>
      <c r="V11" s="4"/>
      <c r="W11" s="4"/>
      <c r="X11" s="3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1"/>
      <c r="GI11" s="1"/>
      <c r="GJ11" s="1"/>
    </row>
    <row r="12" spans="1:193" s="11" customFormat="1" ht="15.75" x14ac:dyDescent="0.25">
      <c r="A12" s="25"/>
      <c r="B12" s="26" t="s">
        <v>28</v>
      </c>
      <c r="C12" s="27">
        <f>C6+C11</f>
        <v>386402.4394423748</v>
      </c>
      <c r="D12" s="27">
        <f t="shared" ref="D12:M12" si="3">D6+D11</f>
        <v>408028.39228157571</v>
      </c>
      <c r="E12" s="27">
        <f t="shared" si="3"/>
        <v>479357.76469944289</v>
      </c>
      <c r="F12" s="27">
        <f t="shared" si="3"/>
        <v>445379</v>
      </c>
      <c r="G12" s="27">
        <f t="shared" si="3"/>
        <v>553675.67890484806</v>
      </c>
      <c r="H12" s="27">
        <f t="shared" si="3"/>
        <v>571213</v>
      </c>
      <c r="I12" s="27">
        <f t="shared" si="3"/>
        <v>594521</v>
      </c>
      <c r="J12" s="27">
        <f t="shared" si="3"/>
        <v>590886</v>
      </c>
      <c r="K12" s="27">
        <f t="shared" si="3"/>
        <v>618358.47728663997</v>
      </c>
      <c r="L12" s="27">
        <f t="shared" si="3"/>
        <v>700605.17800669244</v>
      </c>
      <c r="M12" s="27">
        <f t="shared" si="3"/>
        <v>824122.70746407448</v>
      </c>
      <c r="N12" s="27">
        <f t="shared" ref="N12" si="4">N6+N11</f>
        <v>948206.46921447257</v>
      </c>
      <c r="O12" s="27">
        <f t="shared" ref="O12:P12" si="5">O6+O11</f>
        <v>1095207.2176359531</v>
      </c>
      <c r="P12" s="27">
        <f t="shared" si="5"/>
        <v>1259918.0831702643</v>
      </c>
      <c r="Q12" s="4"/>
      <c r="R12" s="4"/>
      <c r="S12" s="4"/>
      <c r="T12" s="4"/>
      <c r="U12" s="3"/>
      <c r="V12" s="4"/>
      <c r="W12" s="4"/>
      <c r="X12" s="3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0"/>
      <c r="GI12" s="10"/>
      <c r="GJ12" s="10"/>
    </row>
    <row r="13" spans="1:193" s="1" customFormat="1" ht="15.75" x14ac:dyDescent="0.25">
      <c r="A13" s="28" t="s">
        <v>32</v>
      </c>
      <c r="B13" s="29" t="s">
        <v>4</v>
      </c>
      <c r="C13" s="30">
        <v>426022.96308200946</v>
      </c>
      <c r="D13" s="30">
        <v>447316.96717335033</v>
      </c>
      <c r="E13" s="30">
        <v>351879.30581016</v>
      </c>
      <c r="F13" s="30">
        <v>310855.14055929478</v>
      </c>
      <c r="G13" s="30">
        <v>123245.57810108646</v>
      </c>
      <c r="H13" s="30">
        <v>156267.21</v>
      </c>
      <c r="I13" s="30">
        <v>210711.83443245461</v>
      </c>
      <c r="J13" s="30">
        <v>227407.72763108995</v>
      </c>
      <c r="K13" s="30">
        <v>266364.93074626906</v>
      </c>
      <c r="L13" s="30">
        <v>215942.6506883605</v>
      </c>
      <c r="M13" s="30">
        <v>297019.2189337266</v>
      </c>
      <c r="N13" s="30">
        <v>349784.64351953822</v>
      </c>
      <c r="O13" s="30">
        <v>383046.08951034182</v>
      </c>
      <c r="P13" s="30">
        <v>419463.84151330817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K13" s="2"/>
    </row>
    <row r="14" spans="1:193" ht="30" x14ac:dyDescent="0.25">
      <c r="A14" s="24" t="s">
        <v>33</v>
      </c>
      <c r="B14" s="21" t="s">
        <v>5</v>
      </c>
      <c r="C14" s="22">
        <v>37234</v>
      </c>
      <c r="D14" s="22">
        <v>46362</v>
      </c>
      <c r="E14" s="22">
        <v>28368</v>
      </c>
      <c r="F14" s="22">
        <v>29322</v>
      </c>
      <c r="G14" s="22">
        <v>37279.136702116222</v>
      </c>
      <c r="H14" s="22">
        <v>32291</v>
      </c>
      <c r="I14" s="22">
        <v>34214.4064</v>
      </c>
      <c r="J14" s="22">
        <v>52422</v>
      </c>
      <c r="K14" s="22">
        <v>37842</v>
      </c>
      <c r="L14" s="22">
        <v>41323.626799999998</v>
      </c>
      <c r="M14" s="22">
        <v>59583.784500000009</v>
      </c>
      <c r="N14" s="22">
        <v>65671</v>
      </c>
      <c r="O14" s="22">
        <v>82125</v>
      </c>
      <c r="P14" s="22">
        <v>100431.96689740728</v>
      </c>
      <c r="Q14" s="4"/>
      <c r="R14" s="4"/>
      <c r="S14" s="4"/>
      <c r="T14" s="4"/>
      <c r="U14" s="3"/>
      <c r="V14" s="4"/>
      <c r="W14" s="4"/>
      <c r="X14" s="3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3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3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3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1"/>
      <c r="GI14" s="1"/>
      <c r="GJ14" s="1"/>
    </row>
    <row r="15" spans="1:193" ht="15.75" x14ac:dyDescent="0.25">
      <c r="A15" s="24" t="s">
        <v>34</v>
      </c>
      <c r="B15" s="21" t="s">
        <v>6</v>
      </c>
      <c r="C15" s="22">
        <v>108427.36356436624</v>
      </c>
      <c r="D15" s="22">
        <v>98422.997745112079</v>
      </c>
      <c r="E15" s="22">
        <v>109991</v>
      </c>
      <c r="F15" s="22">
        <v>127325</v>
      </c>
      <c r="G15" s="22">
        <v>171051.86975711235</v>
      </c>
      <c r="H15" s="22">
        <v>162090</v>
      </c>
      <c r="I15" s="22">
        <v>189349</v>
      </c>
      <c r="J15" s="22">
        <v>164413</v>
      </c>
      <c r="K15" s="22">
        <v>185862</v>
      </c>
      <c r="L15" s="22">
        <v>175463.10716952811</v>
      </c>
      <c r="M15" s="22">
        <v>223479.85665774153</v>
      </c>
      <c r="N15" s="22">
        <v>243514</v>
      </c>
      <c r="O15" s="22">
        <v>257529</v>
      </c>
      <c r="P15" s="22">
        <v>279405.54792332841</v>
      </c>
      <c r="Q15" s="4"/>
      <c r="R15" s="4"/>
      <c r="S15" s="4"/>
      <c r="T15" s="4"/>
      <c r="U15" s="3"/>
      <c r="V15" s="4"/>
      <c r="W15" s="4"/>
      <c r="X15" s="3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3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3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3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1"/>
      <c r="GI15" s="1"/>
      <c r="GJ15" s="1"/>
    </row>
    <row r="16" spans="1:193" s="11" customFormat="1" ht="15.75" x14ac:dyDescent="0.25">
      <c r="A16" s="25"/>
      <c r="B16" s="26" t="s">
        <v>29</v>
      </c>
      <c r="C16" s="27">
        <f>+C13+C14+C15</f>
        <v>571684.3266463757</v>
      </c>
      <c r="D16" s="27">
        <f t="shared" ref="D16:M16" si="6">+D13+D14+D15</f>
        <v>592101.96491846244</v>
      </c>
      <c r="E16" s="27">
        <f t="shared" si="6"/>
        <v>490238.30581016</v>
      </c>
      <c r="F16" s="27">
        <f t="shared" si="6"/>
        <v>467502.14055929478</v>
      </c>
      <c r="G16" s="27">
        <f t="shared" si="6"/>
        <v>331576.58456031501</v>
      </c>
      <c r="H16" s="27">
        <f t="shared" si="6"/>
        <v>350648.20999999996</v>
      </c>
      <c r="I16" s="27">
        <f t="shared" si="6"/>
        <v>434275.24083245464</v>
      </c>
      <c r="J16" s="27">
        <f t="shared" si="6"/>
        <v>444242.72763108998</v>
      </c>
      <c r="K16" s="27">
        <f t="shared" si="6"/>
        <v>490068.93074626906</v>
      </c>
      <c r="L16" s="27">
        <f t="shared" si="6"/>
        <v>432729.38465788862</v>
      </c>
      <c r="M16" s="27">
        <f t="shared" si="6"/>
        <v>580082.86009146809</v>
      </c>
      <c r="N16" s="27">
        <f t="shared" ref="N16" si="7">+N13+N14+N15</f>
        <v>658969.64351953822</v>
      </c>
      <c r="O16" s="27">
        <f t="shared" ref="O16:P16" si="8">+O13+O14+O15</f>
        <v>722700.08951034187</v>
      </c>
      <c r="P16" s="27">
        <f t="shared" si="8"/>
        <v>799301.3563340439</v>
      </c>
      <c r="Q16" s="4"/>
      <c r="R16" s="4"/>
      <c r="S16" s="4"/>
      <c r="T16" s="4"/>
      <c r="U16" s="3"/>
      <c r="V16" s="4"/>
      <c r="W16" s="4"/>
      <c r="X16" s="3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9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9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9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0"/>
      <c r="GI16" s="10"/>
      <c r="GJ16" s="10"/>
    </row>
    <row r="17" spans="1:193" s="10" customFormat="1" ht="15.75" x14ac:dyDescent="0.25">
      <c r="A17" s="17" t="s">
        <v>35</v>
      </c>
      <c r="B17" s="18" t="s">
        <v>7</v>
      </c>
      <c r="C17" s="19">
        <f>C18+C19</f>
        <v>252216.64662557637</v>
      </c>
      <c r="D17" s="19">
        <f t="shared" ref="D17:M17" si="9">D18+D19</f>
        <v>314414.05255341413</v>
      </c>
      <c r="E17" s="19">
        <f t="shared" si="9"/>
        <v>366042</v>
      </c>
      <c r="F17" s="19">
        <f t="shared" si="9"/>
        <v>374818.79615752993</v>
      </c>
      <c r="G17" s="19">
        <f t="shared" si="9"/>
        <v>423115.67675144132</v>
      </c>
      <c r="H17" s="19">
        <f t="shared" si="9"/>
        <v>487522.94808019383</v>
      </c>
      <c r="I17" s="19">
        <f t="shared" si="9"/>
        <v>560828.7737233073</v>
      </c>
      <c r="J17" s="19">
        <f t="shared" si="9"/>
        <v>670017.86328412476</v>
      </c>
      <c r="K17" s="19">
        <f t="shared" si="9"/>
        <v>747577.49057299679</v>
      </c>
      <c r="L17" s="19">
        <f t="shared" si="9"/>
        <v>628156.23170819576</v>
      </c>
      <c r="M17" s="19">
        <f t="shared" si="9"/>
        <v>730849.9575929112</v>
      </c>
      <c r="N17" s="19">
        <f t="shared" ref="N17" si="10">N18+N19</f>
        <v>899279.3644387658</v>
      </c>
      <c r="O17" s="19">
        <f t="shared" ref="O17:P17" si="11">O18+O19</f>
        <v>996739.2853329744</v>
      </c>
      <c r="P17" s="19">
        <f t="shared" si="11"/>
        <v>1103364.8555098567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K17" s="11"/>
    </row>
    <row r="18" spans="1:193" ht="15.75" x14ac:dyDescent="0.25">
      <c r="A18" s="20">
        <v>6.1</v>
      </c>
      <c r="B18" s="21" t="s">
        <v>8</v>
      </c>
      <c r="C18" s="22">
        <v>233629.09375157632</v>
      </c>
      <c r="D18" s="22">
        <v>294039.21250141459</v>
      </c>
      <c r="E18" s="22">
        <v>344108</v>
      </c>
      <c r="F18" s="22">
        <v>352255.19003211579</v>
      </c>
      <c r="G18" s="22">
        <v>398560.42977162421</v>
      </c>
      <c r="H18" s="22">
        <v>461233.25558019383</v>
      </c>
      <c r="I18" s="22">
        <v>531355.48422822636</v>
      </c>
      <c r="J18" s="22">
        <v>635954.81445110892</v>
      </c>
      <c r="K18" s="22">
        <v>710661.75351377414</v>
      </c>
      <c r="L18" s="22">
        <v>613789.74690098781</v>
      </c>
      <c r="M18" s="22">
        <v>707341.74069443904</v>
      </c>
      <c r="N18" s="22">
        <v>850197.4351251648</v>
      </c>
      <c r="O18" s="22">
        <v>937847.31738182867</v>
      </c>
      <c r="P18" s="22">
        <v>1037178.6935282194</v>
      </c>
      <c r="Q18" s="4"/>
      <c r="R18" s="4"/>
      <c r="S18" s="4"/>
      <c r="T18" s="4"/>
      <c r="U18" s="3"/>
      <c r="V18" s="4"/>
      <c r="W18" s="4"/>
      <c r="X18" s="3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1"/>
      <c r="GI18" s="1"/>
      <c r="GJ18" s="1"/>
    </row>
    <row r="19" spans="1:193" ht="15.75" x14ac:dyDescent="0.25">
      <c r="A19" s="20">
        <v>6.2</v>
      </c>
      <c r="B19" s="21" t="s">
        <v>9</v>
      </c>
      <c r="C19" s="22">
        <v>18587.552874000059</v>
      </c>
      <c r="D19" s="22">
        <v>20374.840051999545</v>
      </c>
      <c r="E19" s="22">
        <v>21934</v>
      </c>
      <c r="F19" s="22">
        <v>22563.606125414153</v>
      </c>
      <c r="G19" s="22">
        <v>24555.24697981713</v>
      </c>
      <c r="H19" s="22">
        <v>26289.692500000001</v>
      </c>
      <c r="I19" s="22">
        <v>29473.289495080939</v>
      </c>
      <c r="J19" s="22">
        <v>34063.048833015877</v>
      </c>
      <c r="K19" s="22">
        <v>36915.737059222694</v>
      </c>
      <c r="L19" s="22">
        <v>14366.484807207933</v>
      </c>
      <c r="M19" s="22">
        <v>23508.216898472125</v>
      </c>
      <c r="N19" s="22">
        <v>49081.929313600951</v>
      </c>
      <c r="O19" s="22">
        <v>58891.967951145671</v>
      </c>
      <c r="P19" s="22">
        <v>66186.161981637342</v>
      </c>
      <c r="Q19" s="4"/>
      <c r="R19" s="4"/>
      <c r="S19" s="4"/>
      <c r="T19" s="4"/>
      <c r="U19" s="3"/>
      <c r="V19" s="4"/>
      <c r="W19" s="4"/>
      <c r="X19" s="3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1"/>
      <c r="GI19" s="1"/>
      <c r="GJ19" s="1"/>
    </row>
    <row r="20" spans="1:193" s="10" customFormat="1" ht="30" x14ac:dyDescent="0.25">
      <c r="A20" s="31" t="s">
        <v>36</v>
      </c>
      <c r="B20" s="32" t="s">
        <v>10</v>
      </c>
      <c r="C20" s="19">
        <f>SUM(C21:C27)</f>
        <v>70843.657820414403</v>
      </c>
      <c r="D20" s="19">
        <f t="shared" ref="D20:M20" si="12">SUM(D21:D27)</f>
        <v>86213.801827996343</v>
      </c>
      <c r="E20" s="19">
        <f t="shared" si="12"/>
        <v>92505.76987111973</v>
      </c>
      <c r="F20" s="19">
        <f t="shared" si="12"/>
        <v>100149.01646790077</v>
      </c>
      <c r="G20" s="19">
        <f t="shared" si="12"/>
        <v>112482.42299503229</v>
      </c>
      <c r="H20" s="19">
        <f t="shared" si="12"/>
        <v>112416.22730000001</v>
      </c>
      <c r="I20" s="19">
        <f t="shared" si="12"/>
        <v>109093.47317623949</v>
      </c>
      <c r="J20" s="19">
        <f t="shared" si="12"/>
        <v>111724.57138059841</v>
      </c>
      <c r="K20" s="19">
        <f t="shared" si="12"/>
        <v>115330.86551901631</v>
      </c>
      <c r="L20" s="19">
        <f t="shared" si="12"/>
        <v>90623.214498779387</v>
      </c>
      <c r="M20" s="19">
        <f t="shared" si="12"/>
        <v>151067.15563802214</v>
      </c>
      <c r="N20" s="19">
        <f t="shared" ref="N20" si="13">SUM(N21:N27)</f>
        <v>166415.38863149236</v>
      </c>
      <c r="O20" s="19">
        <f t="shared" ref="O20:P20" si="14">SUM(O21:O27)</f>
        <v>178970.20051809814</v>
      </c>
      <c r="P20" s="19">
        <f t="shared" si="14"/>
        <v>193368.78552424425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K20" s="11"/>
    </row>
    <row r="21" spans="1:193" ht="15.75" x14ac:dyDescent="0.25">
      <c r="A21" s="20">
        <v>7.1</v>
      </c>
      <c r="B21" s="21" t="s">
        <v>11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4"/>
      <c r="R21" s="4"/>
      <c r="S21" s="4"/>
      <c r="T21" s="4"/>
      <c r="U21" s="3"/>
      <c r="V21" s="4"/>
      <c r="W21" s="4"/>
      <c r="X21" s="3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1"/>
      <c r="GI21" s="1"/>
      <c r="GJ21" s="1"/>
    </row>
    <row r="22" spans="1:193" ht="15.75" x14ac:dyDescent="0.25">
      <c r="A22" s="20">
        <v>7.2</v>
      </c>
      <c r="B22" s="21" t="s">
        <v>12</v>
      </c>
      <c r="C22" s="22">
        <v>50168.440125131354</v>
      </c>
      <c r="D22" s="22">
        <v>60265.754479770199</v>
      </c>
      <c r="E22" s="22">
        <v>62930.76987111973</v>
      </c>
      <c r="F22" s="22">
        <v>65330.350374839996</v>
      </c>
      <c r="G22" s="22">
        <v>70367.619187345597</v>
      </c>
      <c r="H22" s="22">
        <v>72038.854000000007</v>
      </c>
      <c r="I22" s="22">
        <v>69689.337747495156</v>
      </c>
      <c r="J22" s="22">
        <v>73157.59532298494</v>
      </c>
      <c r="K22" s="22">
        <v>71146.621851277305</v>
      </c>
      <c r="L22" s="22">
        <v>41848.936187963554</v>
      </c>
      <c r="M22" s="22">
        <v>94015.10041023299</v>
      </c>
      <c r="N22" s="22">
        <v>98001.975004613982</v>
      </c>
      <c r="O22" s="22">
        <v>101153.01479450964</v>
      </c>
      <c r="P22" s="22">
        <v>104923.97725842815</v>
      </c>
      <c r="Q22" s="4"/>
      <c r="R22" s="4"/>
      <c r="S22" s="4"/>
      <c r="T22" s="4"/>
      <c r="U22" s="3"/>
      <c r="V22" s="4"/>
      <c r="W22" s="4"/>
      <c r="X22" s="3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1"/>
      <c r="GI22" s="1"/>
      <c r="GJ22" s="1"/>
    </row>
    <row r="23" spans="1:193" ht="15.75" x14ac:dyDescent="0.25">
      <c r="A23" s="20">
        <v>7.3</v>
      </c>
      <c r="B23" s="21" t="s">
        <v>13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4"/>
      <c r="R23" s="4"/>
      <c r="S23" s="4"/>
      <c r="T23" s="4"/>
      <c r="U23" s="3"/>
      <c r="V23" s="4"/>
      <c r="W23" s="4"/>
      <c r="X23" s="3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1"/>
      <c r="GI23" s="1"/>
      <c r="GJ23" s="1"/>
    </row>
    <row r="24" spans="1:193" ht="15.75" x14ac:dyDescent="0.25">
      <c r="A24" s="20">
        <v>7.4</v>
      </c>
      <c r="B24" s="21" t="s">
        <v>14</v>
      </c>
      <c r="C24" s="22">
        <v>232.19807187514004</v>
      </c>
      <c r="D24" s="22">
        <v>439.66264063052824</v>
      </c>
      <c r="E24" s="22">
        <v>256</v>
      </c>
      <c r="F24" s="22">
        <v>560.68169999999998</v>
      </c>
      <c r="G24" s="22">
        <v>-143.9552358279048</v>
      </c>
      <c r="H24" s="22">
        <v>94.495199999999997</v>
      </c>
      <c r="I24" s="22">
        <v>79.608000000000004</v>
      </c>
      <c r="J24" s="22">
        <v>32.542549523933324</v>
      </c>
      <c r="K24" s="22">
        <v>122.34467367440783</v>
      </c>
      <c r="L24" s="22">
        <v>6.4982670180268869</v>
      </c>
      <c r="M24" s="22">
        <v>26.694466047614128</v>
      </c>
      <c r="N24" s="22">
        <v>235.0391408676478</v>
      </c>
      <c r="O24" s="22">
        <v>830.74854159527422</v>
      </c>
      <c r="P24" s="22">
        <v>1748.99279000454</v>
      </c>
      <c r="Q24" s="4"/>
      <c r="R24" s="4"/>
      <c r="S24" s="4"/>
      <c r="T24" s="4"/>
      <c r="U24" s="3"/>
      <c r="V24" s="4"/>
      <c r="W24" s="4"/>
      <c r="X24" s="3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1"/>
      <c r="GI24" s="1"/>
      <c r="GJ24" s="1"/>
    </row>
    <row r="25" spans="1:193" ht="15.75" x14ac:dyDescent="0.25">
      <c r="A25" s="20">
        <v>7.5</v>
      </c>
      <c r="B25" s="21" t="s">
        <v>15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1239.9259999999999</v>
      </c>
      <c r="I25" s="22">
        <v>1318.4960000000001</v>
      </c>
      <c r="J25" s="22">
        <v>1645.2824114089628</v>
      </c>
      <c r="K25" s="22">
        <v>1607.9202</v>
      </c>
      <c r="L25" s="22">
        <v>516.93200000000002</v>
      </c>
      <c r="M25" s="22">
        <v>914.11020000000008</v>
      </c>
      <c r="N25" s="22">
        <v>1467.4493930124627</v>
      </c>
      <c r="O25" s="22">
        <v>1959.6919491177773</v>
      </c>
      <c r="P25" s="22">
        <v>2382.1071100497284</v>
      </c>
      <c r="Q25" s="4"/>
      <c r="R25" s="4"/>
      <c r="S25" s="4"/>
      <c r="T25" s="4"/>
      <c r="U25" s="3"/>
      <c r="V25" s="4"/>
      <c r="W25" s="4"/>
      <c r="X25" s="3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1"/>
      <c r="GI25" s="1"/>
      <c r="GJ25" s="1"/>
    </row>
    <row r="26" spans="1:193" ht="15.75" x14ac:dyDescent="0.25">
      <c r="A26" s="20">
        <v>7.6</v>
      </c>
      <c r="B26" s="21" t="s">
        <v>16</v>
      </c>
      <c r="C26" s="22">
        <v>246.69563004000031</v>
      </c>
      <c r="D26" s="22">
        <v>277.45350851557362</v>
      </c>
      <c r="E26" s="22">
        <v>308</v>
      </c>
      <c r="F26" s="22">
        <v>350.98439306077648</v>
      </c>
      <c r="G26" s="22">
        <v>389.33181210546951</v>
      </c>
      <c r="H26" s="22">
        <v>417.95209999999997</v>
      </c>
      <c r="I26" s="22">
        <v>451.43979999999999</v>
      </c>
      <c r="J26" s="22">
        <v>1765.1138285542354</v>
      </c>
      <c r="K26" s="22">
        <v>1817.2546088267356</v>
      </c>
      <c r="L26" s="22">
        <v>1844.3474910766399</v>
      </c>
      <c r="M26" s="22">
        <v>2016.680282707287</v>
      </c>
      <c r="N26" s="22">
        <v>2299.1443469385704</v>
      </c>
      <c r="O26" s="22">
        <v>2634.3160329755551</v>
      </c>
      <c r="P26" s="22">
        <v>2853.9535908828434</v>
      </c>
      <c r="Q26" s="4"/>
      <c r="R26" s="4"/>
      <c r="S26" s="4"/>
      <c r="T26" s="4"/>
      <c r="U26" s="3"/>
      <c r="V26" s="4"/>
      <c r="W26" s="4"/>
      <c r="X26" s="3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1"/>
      <c r="GI26" s="1"/>
      <c r="GJ26" s="1"/>
    </row>
    <row r="27" spans="1:193" ht="30" x14ac:dyDescent="0.25">
      <c r="A27" s="20">
        <v>7.7</v>
      </c>
      <c r="B27" s="21" t="s">
        <v>17</v>
      </c>
      <c r="C27" s="22">
        <v>20196.323993367922</v>
      </c>
      <c r="D27" s="22">
        <v>25230.931199080042</v>
      </c>
      <c r="E27" s="22">
        <v>29011</v>
      </c>
      <c r="F27" s="22">
        <v>33907</v>
      </c>
      <c r="G27" s="22">
        <v>41869.427231409121</v>
      </c>
      <c r="H27" s="22">
        <v>38625</v>
      </c>
      <c r="I27" s="22">
        <v>37554.591628744362</v>
      </c>
      <c r="J27" s="22">
        <v>35124.03726812634</v>
      </c>
      <c r="K27" s="22">
        <v>40636.724185237865</v>
      </c>
      <c r="L27" s="22">
        <v>46406.500552721176</v>
      </c>
      <c r="M27" s="22">
        <v>54094.570279034262</v>
      </c>
      <c r="N27" s="22">
        <v>64411.780746059703</v>
      </c>
      <c r="O27" s="22">
        <v>72392.429199899896</v>
      </c>
      <c r="P27" s="22">
        <v>81459.754774878995</v>
      </c>
      <c r="Q27" s="4"/>
      <c r="R27" s="4"/>
      <c r="S27" s="4"/>
      <c r="T27" s="4"/>
      <c r="U27" s="3"/>
      <c r="V27" s="4"/>
      <c r="W27" s="4"/>
      <c r="X27" s="3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1"/>
      <c r="GI27" s="1"/>
      <c r="GJ27" s="1"/>
    </row>
    <row r="28" spans="1:193" ht="15.75" x14ac:dyDescent="0.25">
      <c r="A28" s="24" t="s">
        <v>37</v>
      </c>
      <c r="B28" s="21" t="s">
        <v>18</v>
      </c>
      <c r="C28" s="22">
        <v>54943</v>
      </c>
      <c r="D28" s="22">
        <v>55560</v>
      </c>
      <c r="E28" s="22">
        <v>59591.16709588575</v>
      </c>
      <c r="F28" s="22">
        <v>62908</v>
      </c>
      <c r="G28" s="22">
        <v>68794.388781723988</v>
      </c>
      <c r="H28" s="22">
        <v>69968</v>
      </c>
      <c r="I28" s="22">
        <v>79648.968443506586</v>
      </c>
      <c r="J28" s="22">
        <v>73933.348181926165</v>
      </c>
      <c r="K28" s="22">
        <v>87375</v>
      </c>
      <c r="L28" s="22">
        <v>90164.331982618518</v>
      </c>
      <c r="M28" s="22">
        <v>94972.999076324937</v>
      </c>
      <c r="N28" s="22">
        <v>115541.12829031688</v>
      </c>
      <c r="O28" s="22">
        <v>145320.52687436665</v>
      </c>
      <c r="P28" s="22">
        <v>162890.93436525011</v>
      </c>
      <c r="Q28" s="4"/>
      <c r="R28" s="4"/>
      <c r="S28" s="4"/>
      <c r="T28" s="4"/>
      <c r="U28" s="3"/>
      <c r="V28" s="4"/>
      <c r="W28" s="4"/>
      <c r="X28" s="3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1"/>
      <c r="GI28" s="1"/>
      <c r="GJ28" s="1"/>
    </row>
    <row r="29" spans="1:193" ht="30" x14ac:dyDescent="0.25">
      <c r="A29" s="24" t="s">
        <v>38</v>
      </c>
      <c r="B29" s="21" t="s">
        <v>19</v>
      </c>
      <c r="C29" s="22">
        <v>94497.754375677498</v>
      </c>
      <c r="D29" s="22">
        <v>102573.72511899708</v>
      </c>
      <c r="E29" s="22">
        <v>109781.13219569169</v>
      </c>
      <c r="F29" s="22">
        <v>120818</v>
      </c>
      <c r="G29" s="22">
        <v>120713.79831980829</v>
      </c>
      <c r="H29" s="22">
        <v>125047</v>
      </c>
      <c r="I29" s="22">
        <v>126661.89325580336</v>
      </c>
      <c r="J29" s="22">
        <v>133265</v>
      </c>
      <c r="K29" s="22">
        <v>142010</v>
      </c>
      <c r="L29" s="22">
        <v>134348.62695558401</v>
      </c>
      <c r="M29" s="22">
        <v>143423.84021666195</v>
      </c>
      <c r="N29" s="22">
        <v>162974</v>
      </c>
      <c r="O29" s="22">
        <v>178192</v>
      </c>
      <c r="P29" s="22">
        <v>192519.21615554672</v>
      </c>
      <c r="Q29" s="4"/>
      <c r="R29" s="4"/>
      <c r="S29" s="4"/>
      <c r="T29" s="4"/>
      <c r="U29" s="3"/>
      <c r="V29" s="4"/>
      <c r="W29" s="4"/>
      <c r="X29" s="3"/>
      <c r="Y29" s="5"/>
      <c r="Z29" s="5"/>
      <c r="AA29" s="5"/>
      <c r="AB29" s="5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1"/>
      <c r="GI29" s="1"/>
      <c r="GJ29" s="1"/>
    </row>
    <row r="30" spans="1:193" ht="15.75" x14ac:dyDescent="0.25">
      <c r="A30" s="24" t="s">
        <v>39</v>
      </c>
      <c r="B30" s="21" t="s">
        <v>54</v>
      </c>
      <c r="C30" s="22">
        <v>137555</v>
      </c>
      <c r="D30" s="22">
        <v>143027</v>
      </c>
      <c r="E30" s="22">
        <v>162842</v>
      </c>
      <c r="F30" s="22">
        <v>191758</v>
      </c>
      <c r="G30" s="22">
        <v>200236</v>
      </c>
      <c r="H30" s="22">
        <v>217457</v>
      </c>
      <c r="I30" s="22">
        <v>245062</v>
      </c>
      <c r="J30" s="22">
        <v>302254</v>
      </c>
      <c r="K30" s="22">
        <v>331963</v>
      </c>
      <c r="L30" s="22">
        <v>337606</v>
      </c>
      <c r="M30" s="22">
        <v>358001</v>
      </c>
      <c r="N30" s="22">
        <v>386858</v>
      </c>
      <c r="O30" s="22">
        <v>458408</v>
      </c>
      <c r="P30" s="22">
        <v>498228.0958750617</v>
      </c>
      <c r="Q30" s="4"/>
      <c r="R30" s="4"/>
      <c r="S30" s="4"/>
      <c r="T30" s="4"/>
      <c r="U30" s="3"/>
      <c r="V30" s="4"/>
      <c r="W30" s="4"/>
      <c r="X30" s="3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1"/>
      <c r="GI30" s="1"/>
      <c r="GJ30" s="1"/>
    </row>
    <row r="31" spans="1:193" ht="15.75" x14ac:dyDescent="0.25">
      <c r="A31" s="24" t="s">
        <v>40</v>
      </c>
      <c r="B31" s="21" t="s">
        <v>20</v>
      </c>
      <c r="C31" s="22">
        <v>135067</v>
      </c>
      <c r="D31" s="22">
        <v>149998.69348443096</v>
      </c>
      <c r="E31" s="22">
        <v>171700</v>
      </c>
      <c r="F31" s="22">
        <v>185675</v>
      </c>
      <c r="G31" s="22">
        <v>216512.19356893172</v>
      </c>
      <c r="H31" s="22">
        <v>253074</v>
      </c>
      <c r="I31" s="22">
        <v>285458</v>
      </c>
      <c r="J31" s="22">
        <v>340968</v>
      </c>
      <c r="K31" s="22">
        <v>356897</v>
      </c>
      <c r="L31" s="22">
        <v>342969</v>
      </c>
      <c r="M31" s="22">
        <v>402799.87130257994</v>
      </c>
      <c r="N31" s="22">
        <v>469570</v>
      </c>
      <c r="O31" s="22">
        <v>527115</v>
      </c>
      <c r="P31" s="22">
        <v>582954.6425568884</v>
      </c>
      <c r="Q31" s="4"/>
      <c r="R31" s="4"/>
      <c r="S31" s="4"/>
      <c r="T31" s="4"/>
      <c r="U31" s="3"/>
      <c r="V31" s="4"/>
      <c r="W31" s="4"/>
      <c r="X31" s="3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1"/>
      <c r="GI31" s="1"/>
      <c r="GJ31" s="1"/>
    </row>
    <row r="32" spans="1:193" s="11" customFormat="1" ht="15.75" x14ac:dyDescent="0.25">
      <c r="A32" s="25"/>
      <c r="B32" s="26" t="s">
        <v>30</v>
      </c>
      <c r="C32" s="27">
        <f>C17+C20+C28+C29+C30+C31</f>
        <v>745123.05882166827</v>
      </c>
      <c r="D32" s="27">
        <f t="shared" ref="D32:J32" si="15">D17+D20+D28+D29+D30+D31</f>
        <v>851787.27298483858</v>
      </c>
      <c r="E32" s="27">
        <f t="shared" si="15"/>
        <v>962462.06916269718</v>
      </c>
      <c r="F32" s="27">
        <f t="shared" si="15"/>
        <v>1036126.8126254308</v>
      </c>
      <c r="G32" s="27">
        <f t="shared" si="15"/>
        <v>1141854.4804169377</v>
      </c>
      <c r="H32" s="27">
        <f t="shared" si="15"/>
        <v>1265485.1753801939</v>
      </c>
      <c r="I32" s="27">
        <f t="shared" si="15"/>
        <v>1406753.1085988567</v>
      </c>
      <c r="J32" s="27">
        <f t="shared" si="15"/>
        <v>1632162.7828466494</v>
      </c>
      <c r="K32" s="27">
        <f t="shared" ref="K32:L32" si="16">K17+K20+K28+K29+K30+K31</f>
        <v>1781153.356092013</v>
      </c>
      <c r="L32" s="27">
        <f t="shared" si="16"/>
        <v>1623867.4051451776</v>
      </c>
      <c r="M32" s="27">
        <f t="shared" ref="M32:N32" si="17">M17+M20+M28+M29+M30+M31</f>
        <v>1881114.8238265002</v>
      </c>
      <c r="N32" s="27">
        <f t="shared" si="17"/>
        <v>2200637.8813605746</v>
      </c>
      <c r="O32" s="27">
        <f t="shared" ref="O32" si="18">O17+O20+O28+O29+O30+O31</f>
        <v>2484745.0127254389</v>
      </c>
      <c r="P32" s="27">
        <f t="shared" ref="P32" si="19">P17+P20+P28+P29+P30+P31</f>
        <v>2733326.5299868481</v>
      </c>
      <c r="Q32" s="4"/>
      <c r="R32" s="4"/>
      <c r="S32" s="4"/>
      <c r="T32" s="4"/>
      <c r="U32" s="3"/>
      <c r="V32" s="4"/>
      <c r="W32" s="4"/>
      <c r="X32" s="3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0"/>
      <c r="GI32" s="10"/>
      <c r="GJ32" s="10"/>
    </row>
    <row r="33" spans="1:193" s="10" customFormat="1" ht="15.75" x14ac:dyDescent="0.25">
      <c r="A33" s="17" t="s">
        <v>27</v>
      </c>
      <c r="B33" s="33" t="s">
        <v>51</v>
      </c>
      <c r="C33" s="19">
        <f t="shared" ref="C33" si="20">C6+C11+C13+C14+C15+C17+C20+C28+C29+C30+C31</f>
        <v>1703209.8249104186</v>
      </c>
      <c r="D33" s="19">
        <f t="shared" ref="D33:J33" si="21">D6+D11+D13+D14+D15+D17+D20+D28+D29+D30+D31</f>
        <v>1851917.6301848765</v>
      </c>
      <c r="E33" s="19">
        <f t="shared" si="21"/>
        <v>1932058.1396722998</v>
      </c>
      <c r="F33" s="19">
        <f t="shared" si="21"/>
        <v>1949007.9531847255</v>
      </c>
      <c r="G33" s="19">
        <f t="shared" si="21"/>
        <v>2027106.7438821006</v>
      </c>
      <c r="H33" s="19">
        <f t="shared" si="21"/>
        <v>2187346.3853801936</v>
      </c>
      <c r="I33" s="19">
        <f t="shared" si="21"/>
        <v>2435549.3494313112</v>
      </c>
      <c r="J33" s="19">
        <f t="shared" si="21"/>
        <v>2667291.5104777394</v>
      </c>
      <c r="K33" s="19">
        <f t="shared" ref="K33:L33" si="22">K6+K11+K13+K14+K15+K17+K20+K28+K29+K30+K31</f>
        <v>2889580.7641249225</v>
      </c>
      <c r="L33" s="19">
        <f t="shared" si="22"/>
        <v>2757201.9678097586</v>
      </c>
      <c r="M33" s="19">
        <f t="shared" ref="M33:N33" si="23">M6+M11+M13+M14+M15+M17+M20+M28+M29+M30+M31</f>
        <v>3285320.3913820432</v>
      </c>
      <c r="N33" s="19">
        <f t="shared" si="23"/>
        <v>3807813.994094586</v>
      </c>
      <c r="O33" s="19">
        <f t="shared" ref="O33" si="24">O6+O11+O13+O14+O15+O17+O20+O28+O29+O30+O31</f>
        <v>4302652.3198717348</v>
      </c>
      <c r="P33" s="19">
        <f t="shared" ref="P33" si="25">P6+P11+P13+P14+P15+P17+P20+P28+P29+P30+P31</f>
        <v>4792545.9694911558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K33" s="11"/>
    </row>
    <row r="34" spans="1:193" s="11" customFormat="1" ht="15.75" x14ac:dyDescent="0.25">
      <c r="A34" s="36" t="s">
        <v>43</v>
      </c>
      <c r="B34" s="37" t="s">
        <v>25</v>
      </c>
      <c r="C34" s="27">
        <f>GSVA_cur!C34</f>
        <v>152456.01298907335</v>
      </c>
      <c r="D34" s="27">
        <f>GSVA_cur!D34</f>
        <v>183012.74252035917</v>
      </c>
      <c r="E34" s="27">
        <f>GSVA_cur!E34</f>
        <v>175549.3215234626</v>
      </c>
      <c r="F34" s="27">
        <f>GSVA_cur!F34</f>
        <v>181289</v>
      </c>
      <c r="G34" s="27">
        <f>GSVA_cur!G34</f>
        <v>271497</v>
      </c>
      <c r="H34" s="27">
        <f>GSVA_cur!H34</f>
        <v>313769</v>
      </c>
      <c r="I34" s="27">
        <f>GSVA_cur!I34</f>
        <v>235389</v>
      </c>
      <c r="J34" s="27">
        <f>GSVA_cur!J34</f>
        <v>243239</v>
      </c>
      <c r="K34" s="27">
        <f>GSVA_cur!K34</f>
        <v>260633</v>
      </c>
      <c r="L34" s="27">
        <f>GSVA_cur!L34</f>
        <v>294914.50337942631</v>
      </c>
      <c r="M34" s="27">
        <f>GSVA_cur!M34</f>
        <v>396339.22881179827</v>
      </c>
      <c r="N34" s="27">
        <f>GSVA_cur!N34</f>
        <v>464132.20441964373</v>
      </c>
      <c r="O34" s="27">
        <f>GSVA_cur!O34</f>
        <v>545741.85502269049</v>
      </c>
      <c r="P34" s="27">
        <f>GSVA_cur!P34</f>
        <v>656487.90282281581</v>
      </c>
      <c r="Q34" s="4"/>
      <c r="R34" s="4"/>
      <c r="S34" s="4"/>
      <c r="T34" s="4"/>
      <c r="U34" s="3"/>
      <c r="V34" s="4"/>
      <c r="W34" s="4"/>
      <c r="X34" s="3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</row>
    <row r="35" spans="1:193" s="11" customFormat="1" ht="15.75" x14ac:dyDescent="0.25">
      <c r="A35" s="36" t="s">
        <v>44</v>
      </c>
      <c r="B35" s="37" t="s">
        <v>24</v>
      </c>
      <c r="C35" s="27">
        <f>GSVA_cur!C35</f>
        <v>52863</v>
      </c>
      <c r="D35" s="27">
        <f>GSVA_cur!D35</f>
        <v>69677</v>
      </c>
      <c r="E35" s="27">
        <f>GSVA_cur!E35</f>
        <v>66154</v>
      </c>
      <c r="F35" s="27">
        <f>GSVA_cur!F35</f>
        <v>60604</v>
      </c>
      <c r="G35" s="27">
        <f>GSVA_cur!G35</f>
        <v>46988</v>
      </c>
      <c r="H35" s="27">
        <f>GSVA_cur!H35</f>
        <v>37020</v>
      </c>
      <c r="I35" s="27">
        <f>GSVA_cur!I35</f>
        <v>25721</v>
      </c>
      <c r="J35" s="27">
        <f>GSVA_cur!J35</f>
        <v>28426</v>
      </c>
      <c r="K35" s="27">
        <f>GSVA_cur!K35</f>
        <v>27997.000000000004</v>
      </c>
      <c r="L35" s="27">
        <f>GSVA_cur!L35</f>
        <v>54601</v>
      </c>
      <c r="M35" s="27">
        <f>GSVA_cur!M35</f>
        <v>82984</v>
      </c>
      <c r="N35" s="27">
        <f>GSVA_cur!N35</f>
        <v>77945</v>
      </c>
      <c r="O35" s="27">
        <f>GSVA_cur!O35</f>
        <v>56243.000000000007</v>
      </c>
      <c r="P35" s="27">
        <f>GSVA_cur!P35</f>
        <v>66958.80943129136</v>
      </c>
      <c r="Q35" s="4"/>
      <c r="R35" s="4"/>
      <c r="S35" s="4"/>
      <c r="T35" s="4"/>
      <c r="U35" s="3"/>
      <c r="V35" s="4"/>
      <c r="W35" s="4"/>
      <c r="X35" s="3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</row>
    <row r="36" spans="1:193" s="11" customFormat="1" ht="15.75" x14ac:dyDescent="0.25">
      <c r="A36" s="36" t="s">
        <v>45</v>
      </c>
      <c r="B36" s="37" t="s">
        <v>63</v>
      </c>
      <c r="C36" s="27">
        <f>C33+C34-C35</f>
        <v>1802802.8378994919</v>
      </c>
      <c r="D36" s="27">
        <f t="shared" ref="D36:M36" si="26">D33+D34-D35</f>
        <v>1965253.3727052356</v>
      </c>
      <c r="E36" s="27">
        <f t="shared" si="26"/>
        <v>2041453.4611957623</v>
      </c>
      <c r="F36" s="27">
        <f t="shared" si="26"/>
        <v>2069692.9531847257</v>
      </c>
      <c r="G36" s="27">
        <f t="shared" si="26"/>
        <v>2251615.7438821006</v>
      </c>
      <c r="H36" s="27">
        <f t="shared" si="26"/>
        <v>2464095.3853801936</v>
      </c>
      <c r="I36" s="27">
        <f t="shared" si="26"/>
        <v>2645217.3494313112</v>
      </c>
      <c r="J36" s="27">
        <f t="shared" si="26"/>
        <v>2882104.5104777394</v>
      </c>
      <c r="K36" s="27">
        <f t="shared" si="26"/>
        <v>3122216.7641249225</v>
      </c>
      <c r="L36" s="27">
        <f t="shared" si="26"/>
        <v>2997515.471189185</v>
      </c>
      <c r="M36" s="27">
        <f t="shared" si="26"/>
        <v>3598675.6201938414</v>
      </c>
      <c r="N36" s="27">
        <f t="shared" ref="N36" si="27">N33+N34-N35</f>
        <v>4194001.1985142296</v>
      </c>
      <c r="O36" s="27">
        <f t="shared" ref="O36" si="28">O33+O34-O35</f>
        <v>4792151.1748944251</v>
      </c>
      <c r="P36" s="27">
        <f t="shared" ref="P36" si="29">P33+P34-P35</f>
        <v>5382075.0628826804</v>
      </c>
      <c r="Q36" s="4"/>
      <c r="R36" s="4"/>
      <c r="S36" s="4"/>
      <c r="T36" s="4"/>
      <c r="U36" s="3"/>
      <c r="V36" s="4"/>
      <c r="W36" s="4"/>
      <c r="X36" s="3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</row>
    <row r="37" spans="1:193" s="11" customFormat="1" ht="15.75" x14ac:dyDescent="0.25">
      <c r="A37" s="36" t="s">
        <v>46</v>
      </c>
      <c r="B37" s="37" t="s">
        <v>42</v>
      </c>
      <c r="C37" s="27">
        <f>GSVA_cur!C37</f>
        <v>30150</v>
      </c>
      <c r="D37" s="27">
        <f>GSVA_cur!D37</f>
        <v>30480</v>
      </c>
      <c r="E37" s="27">
        <f>GSVA_cur!E37</f>
        <v>30800</v>
      </c>
      <c r="F37" s="27">
        <f>GSVA_cur!F37</f>
        <v>31130</v>
      </c>
      <c r="G37" s="27">
        <f>GSVA_cur!G37</f>
        <v>31450</v>
      </c>
      <c r="H37" s="27">
        <f>GSVA_cur!H37</f>
        <v>31760</v>
      </c>
      <c r="I37" s="27">
        <f>GSVA_cur!I37</f>
        <v>32080</v>
      </c>
      <c r="J37" s="27">
        <f>GSVA_cur!J37</f>
        <v>32400</v>
      </c>
      <c r="K37" s="27">
        <f>GSVA_cur!K37</f>
        <v>32720</v>
      </c>
      <c r="L37" s="27">
        <f>GSVA_cur!L37</f>
        <v>33030</v>
      </c>
      <c r="M37" s="27">
        <f>GSVA_cur!M37</f>
        <v>33330</v>
      </c>
      <c r="N37" s="27">
        <f>GSVA_cur!N37</f>
        <v>33640</v>
      </c>
      <c r="O37" s="27">
        <f>GSVA_cur!O37</f>
        <v>33940</v>
      </c>
      <c r="P37" s="27">
        <f>GSVA_cur!P37</f>
        <v>34250</v>
      </c>
      <c r="Q37" s="2"/>
      <c r="R37" s="2"/>
      <c r="S37" s="2"/>
      <c r="T37" s="2"/>
      <c r="U37" s="1"/>
      <c r="V37" s="2"/>
      <c r="W37" s="2"/>
      <c r="X37" s="1"/>
      <c r="Y37" s="1"/>
      <c r="Z37" s="1"/>
      <c r="AA37" s="1"/>
      <c r="AB37" s="1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</row>
    <row r="38" spans="1:193" s="11" customFormat="1" ht="15.75" x14ac:dyDescent="0.25">
      <c r="A38" s="36" t="s">
        <v>47</v>
      </c>
      <c r="B38" s="37" t="s">
        <v>64</v>
      </c>
      <c r="C38" s="27">
        <f>C36/C37*1000</f>
        <v>59794.455651724442</v>
      </c>
      <c r="D38" s="27">
        <f t="shared" ref="D38:M38" si="30">D36/D37*1000</f>
        <v>64476.81668980432</v>
      </c>
      <c r="E38" s="27">
        <f t="shared" si="30"/>
        <v>66280.956532329932</v>
      </c>
      <c r="F38" s="27">
        <f t="shared" si="30"/>
        <v>66485.478740273873</v>
      </c>
      <c r="G38" s="27">
        <f t="shared" si="30"/>
        <v>71593.505369860111</v>
      </c>
      <c r="H38" s="27">
        <f t="shared" si="30"/>
        <v>77584.867297865028</v>
      </c>
      <c r="I38" s="27">
        <f t="shared" si="30"/>
        <v>82456.899919928663</v>
      </c>
      <c r="J38" s="27">
        <f t="shared" si="30"/>
        <v>88953.842915979607</v>
      </c>
      <c r="K38" s="27">
        <f t="shared" si="30"/>
        <v>95422.272742204223</v>
      </c>
      <c r="L38" s="27">
        <f t="shared" si="30"/>
        <v>90751.30097454389</v>
      </c>
      <c r="M38" s="27">
        <f t="shared" si="30"/>
        <v>107971.06571238648</v>
      </c>
      <c r="N38" s="27">
        <f t="shared" ref="N38" si="31">N36/N37*1000</f>
        <v>124673.04395107698</v>
      </c>
      <c r="O38" s="27">
        <f t="shared" ref="O38" si="32">O36/O37*1000</f>
        <v>141194.79006760239</v>
      </c>
      <c r="P38" s="27">
        <f t="shared" ref="P38" si="33">P36/P37*1000</f>
        <v>157140.87774839942</v>
      </c>
      <c r="Q38" s="2"/>
      <c r="R38" s="2"/>
      <c r="S38" s="2"/>
      <c r="T38" s="2"/>
      <c r="U38" s="1"/>
      <c r="V38" s="2"/>
      <c r="W38" s="2"/>
      <c r="X38" s="3"/>
      <c r="Y38" s="3"/>
      <c r="Z38" s="3"/>
      <c r="AA38" s="3"/>
      <c r="AB38" s="3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CC38" s="12"/>
      <c r="CD38" s="12"/>
      <c r="CE38" s="12"/>
      <c r="CF38" s="12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</row>
    <row r="39" spans="1:193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R39"/>
  <sheetViews>
    <sheetView tabSelected="1" zoomScale="80" zoomScaleNormal="80" zoomScaleSheetLayoutView="100" workbookViewId="0">
      <pane xSplit="2" ySplit="5" topLeftCell="C6" activePane="bottomRight" state="frozen"/>
      <selection activeCell="R24" sqref="R24"/>
      <selection pane="topRight" activeCell="R24" sqref="R24"/>
      <selection pane="bottomLeft" activeCell="R24" sqref="R24"/>
      <selection pane="bottomRight" activeCell="R24" sqref="R24"/>
    </sheetView>
  </sheetViews>
  <sheetFormatPr defaultColWidth="8.85546875" defaultRowHeight="15" x14ac:dyDescent="0.25"/>
  <cols>
    <col min="1" max="1" width="11" style="2" customWidth="1"/>
    <col min="2" max="2" width="36.85546875" style="2" customWidth="1"/>
    <col min="3" max="6" width="10.85546875" style="2" customWidth="1"/>
    <col min="7" max="16" width="11.85546875" style="1" customWidth="1"/>
    <col min="17" max="17" width="11.7109375" style="1" customWidth="1"/>
    <col min="18" max="18" width="9.140625" style="2" customWidth="1"/>
    <col min="19" max="19" width="10.85546875" style="2" customWidth="1"/>
    <col min="20" max="20" width="10.85546875" style="1" customWidth="1"/>
    <col min="21" max="21" width="11" style="2" customWidth="1"/>
    <col min="22" max="24" width="11.42578125" style="2" customWidth="1"/>
    <col min="25" max="52" width="9.140625" style="2" customWidth="1"/>
    <col min="53" max="53" width="12.42578125" style="2" customWidth="1"/>
    <col min="54" max="75" width="9.140625" style="2" customWidth="1"/>
    <col min="76" max="76" width="12.140625" style="2" customWidth="1"/>
    <col min="77" max="80" width="9.140625" style="2" customWidth="1"/>
    <col min="81" max="85" width="9.140625" style="2" hidden="1" customWidth="1"/>
    <col min="86" max="86" width="9.140625" style="2" customWidth="1"/>
    <col min="87" max="91" width="9.140625" style="2" hidden="1" customWidth="1"/>
    <col min="92" max="92" width="9.140625" style="2" customWidth="1"/>
    <col min="93" max="97" width="9.140625" style="2" hidden="1" customWidth="1"/>
    <col min="98" max="98" width="9.140625" style="2" customWidth="1"/>
    <col min="99" max="103" width="9.140625" style="2" hidden="1" customWidth="1"/>
    <col min="104" max="104" width="9.140625" style="2" customWidth="1"/>
    <col min="105" max="109" width="9.140625" style="2" hidden="1" customWidth="1"/>
    <col min="110" max="110" width="9.140625" style="1" customWidth="1"/>
    <col min="111" max="115" width="9.140625" style="1" hidden="1" customWidth="1"/>
    <col min="116" max="116" width="9.140625" style="1" customWidth="1"/>
    <col min="117" max="121" width="9.140625" style="1" hidden="1" customWidth="1"/>
    <col min="122" max="122" width="9.140625" style="1" customWidth="1"/>
    <col min="123" max="127" width="9.140625" style="1" hidden="1" customWidth="1"/>
    <col min="128" max="128" width="9.140625" style="1" customWidth="1"/>
    <col min="129" max="158" width="9.140625" style="2" customWidth="1"/>
    <col min="159" max="159" width="9.140625" style="2" hidden="1" customWidth="1"/>
    <col min="160" max="167" width="9.140625" style="2" customWidth="1"/>
    <col min="168" max="168" width="9.140625" style="2" hidden="1" customWidth="1"/>
    <col min="169" max="173" width="9.140625" style="2" customWidth="1"/>
    <col min="174" max="174" width="9.140625" style="2" hidden="1" customWidth="1"/>
    <col min="175" max="184" width="9.140625" style="2" customWidth="1"/>
    <col min="185" max="188" width="8.85546875" style="2"/>
    <col min="189" max="189" width="12.7109375" style="2" bestFit="1" customWidth="1"/>
    <col min="190" max="16384" width="8.85546875" style="2"/>
  </cols>
  <sheetData>
    <row r="1" spans="1:189" ht="18.75" x14ac:dyDescent="0.3">
      <c r="A1" s="2" t="s">
        <v>53</v>
      </c>
      <c r="B1" s="6" t="s">
        <v>66</v>
      </c>
      <c r="S1" s="3"/>
    </row>
    <row r="2" spans="1:189" ht="15.75" x14ac:dyDescent="0.25">
      <c r="A2" s="7" t="s">
        <v>52</v>
      </c>
      <c r="I2" s="1" t="str">
        <f>[1]GSVA_cur!$I$3</f>
        <v>01.08.2025</v>
      </c>
    </row>
    <row r="3" spans="1:189" ht="15.75" x14ac:dyDescent="0.25">
      <c r="A3" s="7"/>
    </row>
    <row r="4" spans="1:189" ht="15.75" x14ac:dyDescent="0.25">
      <c r="A4" s="7"/>
      <c r="E4" s="8"/>
      <c r="F4" s="8" t="s">
        <v>57</v>
      </c>
    </row>
    <row r="5" spans="1:189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  <c r="P5" s="16" t="s">
        <v>76</v>
      </c>
    </row>
    <row r="6" spans="1:189" s="10" customFormat="1" ht="15.75" x14ac:dyDescent="0.25">
      <c r="A6" s="17" t="s">
        <v>26</v>
      </c>
      <c r="B6" s="18" t="s">
        <v>2</v>
      </c>
      <c r="C6" s="19">
        <f>SUM(C7:C10)</f>
        <v>263797.4394423748</v>
      </c>
      <c r="D6" s="19">
        <f t="shared" ref="D6:O6" si="0">SUM(D7:D10)</f>
        <v>293046.35661660315</v>
      </c>
      <c r="E6" s="19">
        <f t="shared" si="0"/>
        <v>303988</v>
      </c>
      <c r="F6" s="19">
        <f t="shared" si="0"/>
        <v>352627</v>
      </c>
      <c r="G6" s="19">
        <f t="shared" si="0"/>
        <v>333560.83371054748</v>
      </c>
      <c r="H6" s="19">
        <f t="shared" si="0"/>
        <v>346486</v>
      </c>
      <c r="I6" s="19">
        <f t="shared" si="0"/>
        <v>350799</v>
      </c>
      <c r="J6" s="19">
        <f t="shared" si="0"/>
        <v>346396</v>
      </c>
      <c r="K6" s="19">
        <f t="shared" si="0"/>
        <v>343141</v>
      </c>
      <c r="L6" s="19">
        <f t="shared" si="0"/>
        <v>392950.04181515973</v>
      </c>
      <c r="M6" s="19">
        <f t="shared" si="0"/>
        <v>357064.58938480885</v>
      </c>
      <c r="N6" s="19">
        <f t="shared" si="0"/>
        <v>364049.74418973271</v>
      </c>
      <c r="O6" s="19">
        <f t="shared" si="0"/>
        <v>387335.4700939054</v>
      </c>
      <c r="P6" s="19">
        <f t="shared" ref="P6" si="1">SUM(P7:P10)</f>
        <v>410340.52846273914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G6" s="11"/>
    </row>
    <row r="7" spans="1:189" ht="15.75" x14ac:dyDescent="0.25">
      <c r="A7" s="20">
        <v>1.1000000000000001</v>
      </c>
      <c r="B7" s="21" t="s">
        <v>59</v>
      </c>
      <c r="C7" s="22">
        <v>145770.15717972827</v>
      </c>
      <c r="D7" s="22">
        <v>175359.89075310194</v>
      </c>
      <c r="E7" s="22">
        <v>177756</v>
      </c>
      <c r="F7" s="22">
        <v>185992</v>
      </c>
      <c r="G7" s="22">
        <v>189972.39064150781</v>
      </c>
      <c r="H7" s="22">
        <v>189646</v>
      </c>
      <c r="I7" s="22">
        <v>191585</v>
      </c>
      <c r="J7" s="22">
        <v>184203</v>
      </c>
      <c r="K7" s="22">
        <v>176566</v>
      </c>
      <c r="L7" s="22">
        <v>177376.75541481623</v>
      </c>
      <c r="M7" s="22">
        <v>189244.91883592625</v>
      </c>
      <c r="N7" s="22">
        <v>188973.13688976798</v>
      </c>
      <c r="O7" s="22">
        <v>197167.07707347054</v>
      </c>
      <c r="P7" s="22">
        <v>204242.89711186886</v>
      </c>
      <c r="Q7" s="3"/>
      <c r="R7" s="4"/>
      <c r="S7" s="4"/>
      <c r="T7" s="3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1"/>
      <c r="GE7" s="1"/>
      <c r="GF7" s="1"/>
    </row>
    <row r="8" spans="1:189" ht="15.75" x14ac:dyDescent="0.25">
      <c r="A8" s="20">
        <v>1.2</v>
      </c>
      <c r="B8" s="23" t="s">
        <v>60</v>
      </c>
      <c r="C8" s="22">
        <v>58947.165535754502</v>
      </c>
      <c r="D8" s="22">
        <v>59255.41619203845</v>
      </c>
      <c r="E8" s="22">
        <v>66345</v>
      </c>
      <c r="F8" s="22">
        <v>66794</v>
      </c>
      <c r="G8" s="22">
        <v>68214.297567128844</v>
      </c>
      <c r="H8" s="22">
        <v>70273</v>
      </c>
      <c r="I8" s="22">
        <v>72446</v>
      </c>
      <c r="J8" s="22">
        <v>74996</v>
      </c>
      <c r="K8" s="22">
        <v>72925</v>
      </c>
      <c r="L8" s="22">
        <v>68129.242835620185</v>
      </c>
      <c r="M8" s="22">
        <v>24690.628650926799</v>
      </c>
      <c r="N8" s="22">
        <v>34901.301378872333</v>
      </c>
      <c r="O8" s="22">
        <v>37489.756517935974</v>
      </c>
      <c r="P8" s="22">
        <v>39888.615709379665</v>
      </c>
      <c r="Q8" s="3"/>
      <c r="R8" s="4"/>
      <c r="S8" s="4"/>
      <c r="T8" s="3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1"/>
      <c r="GE8" s="1"/>
      <c r="GF8" s="1"/>
    </row>
    <row r="9" spans="1:189" ht="15.75" x14ac:dyDescent="0.25">
      <c r="A9" s="20">
        <v>1.3</v>
      </c>
      <c r="B9" s="21" t="s">
        <v>61</v>
      </c>
      <c r="C9" s="22">
        <v>55478.351648320611</v>
      </c>
      <c r="D9" s="22">
        <v>54078.108129587752</v>
      </c>
      <c r="E9" s="22">
        <v>55209</v>
      </c>
      <c r="F9" s="22">
        <v>94899</v>
      </c>
      <c r="G9" s="22">
        <v>64976.543791958728</v>
      </c>
      <c r="H9" s="22">
        <v>74743</v>
      </c>
      <c r="I9" s="22">
        <v>76553</v>
      </c>
      <c r="J9" s="22">
        <v>76105</v>
      </c>
      <c r="K9" s="22">
        <v>81958</v>
      </c>
      <c r="L9" s="22">
        <v>134601.62989176466</v>
      </c>
      <c r="M9" s="22">
        <v>128572.22537317916</v>
      </c>
      <c r="N9" s="22">
        <v>123815.91233856589</v>
      </c>
      <c r="O9" s="22">
        <v>134931.54726178988</v>
      </c>
      <c r="P9" s="22">
        <v>146441.41497262788</v>
      </c>
      <c r="Q9" s="3"/>
      <c r="R9" s="4"/>
      <c r="S9" s="4"/>
      <c r="T9" s="3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1"/>
      <c r="GE9" s="1"/>
      <c r="GF9" s="1"/>
    </row>
    <row r="10" spans="1:189" ht="15.75" x14ac:dyDescent="0.25">
      <c r="A10" s="20">
        <v>1.4</v>
      </c>
      <c r="B10" s="21" t="s">
        <v>62</v>
      </c>
      <c r="C10" s="22">
        <v>3601.7650785714286</v>
      </c>
      <c r="D10" s="22">
        <v>4352.9415418749995</v>
      </c>
      <c r="E10" s="22">
        <v>4678</v>
      </c>
      <c r="F10" s="22">
        <v>4942</v>
      </c>
      <c r="G10" s="22">
        <v>10397.601709952136</v>
      </c>
      <c r="H10" s="22">
        <v>11824</v>
      </c>
      <c r="I10" s="22">
        <v>10215</v>
      </c>
      <c r="J10" s="22">
        <v>11092</v>
      </c>
      <c r="K10" s="22">
        <v>11692</v>
      </c>
      <c r="L10" s="22">
        <v>12842.413672958621</v>
      </c>
      <c r="M10" s="22">
        <v>14556.816524776623</v>
      </c>
      <c r="N10" s="22">
        <v>16359.393582526463</v>
      </c>
      <c r="O10" s="22">
        <v>17747.089240709043</v>
      </c>
      <c r="P10" s="22">
        <v>19767.600668862739</v>
      </c>
      <c r="Q10" s="3"/>
      <c r="R10" s="4"/>
      <c r="S10" s="4"/>
      <c r="T10" s="3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1"/>
      <c r="GE10" s="1"/>
      <c r="GF10" s="1"/>
    </row>
    <row r="11" spans="1:189" ht="15.75" x14ac:dyDescent="0.25">
      <c r="A11" s="24" t="s">
        <v>31</v>
      </c>
      <c r="B11" s="21" t="s">
        <v>3</v>
      </c>
      <c r="C11" s="22">
        <v>122605</v>
      </c>
      <c r="D11" s="22">
        <v>100061</v>
      </c>
      <c r="E11" s="22">
        <v>140983.06019528094</v>
      </c>
      <c r="F11" s="22">
        <v>57466</v>
      </c>
      <c r="G11" s="22">
        <v>104361.54843509186</v>
      </c>
      <c r="H11" s="22">
        <v>69132</v>
      </c>
      <c r="I11" s="22">
        <v>61687</v>
      </c>
      <c r="J11" s="22">
        <v>28480</v>
      </c>
      <c r="K11" s="22">
        <v>24835</v>
      </c>
      <c r="L11" s="22">
        <v>25340.791946329609</v>
      </c>
      <c r="M11" s="22">
        <v>31094.654621533591</v>
      </c>
      <c r="N11" s="22">
        <v>36559.095607781252</v>
      </c>
      <c r="O11" s="22">
        <v>48420.37447275663</v>
      </c>
      <c r="P11" s="22">
        <v>60084.732321704774</v>
      </c>
      <c r="Q11" s="3"/>
      <c r="R11" s="4"/>
      <c r="S11" s="4"/>
      <c r="T11" s="3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1"/>
      <c r="GE11" s="1"/>
      <c r="GF11" s="1"/>
    </row>
    <row r="12" spans="1:189" s="11" customFormat="1" ht="15.75" x14ac:dyDescent="0.25">
      <c r="A12" s="25"/>
      <c r="B12" s="26" t="s">
        <v>28</v>
      </c>
      <c r="C12" s="27">
        <f>C6+C11</f>
        <v>386402.4394423748</v>
      </c>
      <c r="D12" s="27">
        <f t="shared" ref="D12:P12" si="2">D6+D11</f>
        <v>393107.35661660315</v>
      </c>
      <c r="E12" s="27">
        <f t="shared" si="2"/>
        <v>444971.06019528094</v>
      </c>
      <c r="F12" s="27">
        <f t="shared" si="2"/>
        <v>410093</v>
      </c>
      <c r="G12" s="27">
        <f t="shared" si="2"/>
        <v>437922.38214563933</v>
      </c>
      <c r="H12" s="27">
        <f t="shared" si="2"/>
        <v>415618</v>
      </c>
      <c r="I12" s="27">
        <f t="shared" si="2"/>
        <v>412486</v>
      </c>
      <c r="J12" s="27">
        <f t="shared" si="2"/>
        <v>374876</v>
      </c>
      <c r="K12" s="27">
        <f t="shared" si="2"/>
        <v>367976</v>
      </c>
      <c r="L12" s="27">
        <f t="shared" si="2"/>
        <v>418290.83376148931</v>
      </c>
      <c r="M12" s="27">
        <f t="shared" si="2"/>
        <v>388159.24400634243</v>
      </c>
      <c r="N12" s="27">
        <f t="shared" si="2"/>
        <v>400608.83979751397</v>
      </c>
      <c r="O12" s="27">
        <f t="shared" si="2"/>
        <v>435755.84456666204</v>
      </c>
      <c r="P12" s="27">
        <f t="shared" si="2"/>
        <v>470425.26078444393</v>
      </c>
      <c r="Q12" s="3"/>
      <c r="R12" s="4"/>
      <c r="S12" s="4"/>
      <c r="T12" s="3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0"/>
      <c r="GE12" s="10"/>
      <c r="GF12" s="10"/>
    </row>
    <row r="13" spans="1:189" s="1" customFormat="1" ht="15.75" x14ac:dyDescent="0.25">
      <c r="A13" s="28" t="s">
        <v>32</v>
      </c>
      <c r="B13" s="29" t="s">
        <v>4</v>
      </c>
      <c r="C13" s="30">
        <v>426022.96308200946</v>
      </c>
      <c r="D13" s="30">
        <v>422227.98538283492</v>
      </c>
      <c r="E13" s="30">
        <v>338180.81312985078</v>
      </c>
      <c r="F13" s="30">
        <v>273050.45580077462</v>
      </c>
      <c r="G13" s="30">
        <v>109372.26591804146</v>
      </c>
      <c r="H13" s="30">
        <v>140501.36141549182</v>
      </c>
      <c r="I13" s="30">
        <v>182568.05498379047</v>
      </c>
      <c r="J13" s="30">
        <v>192467.2612784981</v>
      </c>
      <c r="K13" s="30">
        <v>228229.46317468403</v>
      </c>
      <c r="L13" s="30">
        <v>184635.53791054667</v>
      </c>
      <c r="M13" s="30">
        <v>231765.51714154665</v>
      </c>
      <c r="N13" s="30">
        <v>260570.98678444733</v>
      </c>
      <c r="O13" s="30">
        <v>284802.12470742175</v>
      </c>
      <c r="P13" s="30">
        <v>308021.12067239778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G13" s="2"/>
    </row>
    <row r="14" spans="1:189" ht="30" x14ac:dyDescent="0.25">
      <c r="A14" s="24" t="s">
        <v>33</v>
      </c>
      <c r="B14" s="21" t="s">
        <v>5</v>
      </c>
      <c r="C14" s="22">
        <v>37234</v>
      </c>
      <c r="D14" s="22">
        <v>31555</v>
      </c>
      <c r="E14" s="22">
        <v>36781</v>
      </c>
      <c r="F14" s="22">
        <v>36426</v>
      </c>
      <c r="G14" s="22">
        <v>26145.085365830768</v>
      </c>
      <c r="H14" s="22">
        <v>19268</v>
      </c>
      <c r="I14" s="22">
        <v>19523.183973543266</v>
      </c>
      <c r="J14" s="22">
        <v>28339</v>
      </c>
      <c r="K14" s="22">
        <v>20734</v>
      </c>
      <c r="L14" s="22">
        <v>18397.436197801682</v>
      </c>
      <c r="M14" s="22">
        <v>27587.437488622978</v>
      </c>
      <c r="N14" s="22">
        <v>28593</v>
      </c>
      <c r="O14" s="22">
        <v>32981</v>
      </c>
      <c r="P14" s="22">
        <v>34450.925831723718</v>
      </c>
      <c r="Q14" s="3"/>
      <c r="R14" s="4"/>
      <c r="S14" s="4"/>
      <c r="T14" s="3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3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3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3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1"/>
      <c r="GE14" s="1"/>
      <c r="GF14" s="1"/>
    </row>
    <row r="15" spans="1:189" ht="15.75" x14ac:dyDescent="0.25">
      <c r="A15" s="24" t="s">
        <v>34</v>
      </c>
      <c r="B15" s="21" t="s">
        <v>6</v>
      </c>
      <c r="C15" s="22">
        <v>108427.36356436624</v>
      </c>
      <c r="D15" s="22">
        <v>91971.271998373995</v>
      </c>
      <c r="E15" s="22">
        <v>93689</v>
      </c>
      <c r="F15" s="22">
        <v>97715</v>
      </c>
      <c r="G15" s="22">
        <v>116244.10800568451</v>
      </c>
      <c r="H15" s="22">
        <v>103489</v>
      </c>
      <c r="I15" s="38">
        <v>113287</v>
      </c>
      <c r="J15" s="38">
        <v>110729</v>
      </c>
      <c r="K15" s="38">
        <v>100009</v>
      </c>
      <c r="L15" s="38">
        <v>90522.480563644349</v>
      </c>
      <c r="M15" s="38">
        <v>108010.52357464339</v>
      </c>
      <c r="N15" s="38">
        <v>107468</v>
      </c>
      <c r="O15" s="38">
        <v>115261</v>
      </c>
      <c r="P15" s="38">
        <v>123271.77906289991</v>
      </c>
      <c r="Q15" s="3"/>
      <c r="R15" s="4"/>
      <c r="S15" s="4"/>
      <c r="T15" s="3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3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3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3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1"/>
      <c r="GE15" s="1"/>
      <c r="GF15" s="1"/>
    </row>
    <row r="16" spans="1:189" s="11" customFormat="1" ht="15.75" x14ac:dyDescent="0.25">
      <c r="A16" s="25"/>
      <c r="B16" s="26" t="s">
        <v>29</v>
      </c>
      <c r="C16" s="27">
        <f>+C13+C14+C15</f>
        <v>571684.3266463757</v>
      </c>
      <c r="D16" s="27">
        <f t="shared" ref="D16:O16" si="3">+D13+D14+D15</f>
        <v>545754.25738120894</v>
      </c>
      <c r="E16" s="27">
        <f t="shared" si="3"/>
        <v>468650.81312985078</v>
      </c>
      <c r="F16" s="27">
        <f t="shared" si="3"/>
        <v>407191.45580077462</v>
      </c>
      <c r="G16" s="27">
        <f t="shared" si="3"/>
        <v>251761.45928955675</v>
      </c>
      <c r="H16" s="27">
        <f t="shared" si="3"/>
        <v>263258.36141549179</v>
      </c>
      <c r="I16" s="27">
        <f t="shared" si="3"/>
        <v>315378.23895733373</v>
      </c>
      <c r="J16" s="27">
        <f t="shared" si="3"/>
        <v>331535.2612784981</v>
      </c>
      <c r="K16" s="27">
        <f t="shared" si="3"/>
        <v>348972.46317468403</v>
      </c>
      <c r="L16" s="27">
        <f t="shared" si="3"/>
        <v>293555.45467199269</v>
      </c>
      <c r="M16" s="27">
        <f t="shared" si="3"/>
        <v>367363.47820481297</v>
      </c>
      <c r="N16" s="27">
        <f t="shared" si="3"/>
        <v>396631.98678444733</v>
      </c>
      <c r="O16" s="27">
        <f t="shared" si="3"/>
        <v>433044.12470742175</v>
      </c>
      <c r="P16" s="27">
        <f t="shared" ref="P16" si="4">+P13+P14+P15</f>
        <v>465743.82556702138</v>
      </c>
      <c r="Q16" s="3"/>
      <c r="R16" s="4"/>
      <c r="S16" s="4"/>
      <c r="T16" s="3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9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9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9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0"/>
      <c r="GE16" s="10"/>
      <c r="GF16" s="10"/>
    </row>
    <row r="17" spans="1:189" s="10" customFormat="1" ht="15.75" x14ac:dyDescent="0.25">
      <c r="A17" s="17" t="s">
        <v>35</v>
      </c>
      <c r="B17" s="18" t="s">
        <v>7</v>
      </c>
      <c r="C17" s="19">
        <f>C18+C19</f>
        <v>252216.64662557637</v>
      </c>
      <c r="D17" s="19">
        <f t="shared" ref="D17:M17" si="5">D18+D19</f>
        <v>292208.5992739416</v>
      </c>
      <c r="E17" s="19">
        <f t="shared" si="5"/>
        <v>320979.50910511828</v>
      </c>
      <c r="F17" s="19">
        <f t="shared" si="5"/>
        <v>328065.20133436134</v>
      </c>
      <c r="G17" s="19">
        <f t="shared" si="5"/>
        <v>385448.79486599</v>
      </c>
      <c r="H17" s="19">
        <f t="shared" si="5"/>
        <v>436280.09966690303</v>
      </c>
      <c r="I17" s="19">
        <f t="shared" si="5"/>
        <v>488051.23787697143</v>
      </c>
      <c r="J17" s="19">
        <f t="shared" si="5"/>
        <v>559964.36234419956</v>
      </c>
      <c r="K17" s="19">
        <f t="shared" si="5"/>
        <v>615182.75943055796</v>
      </c>
      <c r="L17" s="19">
        <f t="shared" si="5"/>
        <v>510817.63196214824</v>
      </c>
      <c r="M17" s="19">
        <f t="shared" si="5"/>
        <v>524620.62920485577</v>
      </c>
      <c r="N17" s="19">
        <f t="shared" ref="N17" si="6">N18+N19</f>
        <v>590429.48766441154</v>
      </c>
      <c r="O17" s="19">
        <f t="shared" ref="O17:P17" si="7">O18+O19</f>
        <v>644290.32828121562</v>
      </c>
      <c r="P17" s="19">
        <f t="shared" si="7"/>
        <v>691815.69247771427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G17" s="11"/>
    </row>
    <row r="18" spans="1:189" ht="15.75" x14ac:dyDescent="0.25">
      <c r="A18" s="20">
        <v>6.1</v>
      </c>
      <c r="B18" s="21" t="s">
        <v>8</v>
      </c>
      <c r="C18" s="22">
        <v>233629.09375157632</v>
      </c>
      <c r="D18" s="22">
        <v>273272.72976151278</v>
      </c>
      <c r="E18" s="22">
        <v>301773.79054346518</v>
      </c>
      <c r="F18" s="22">
        <v>308343.96311338618</v>
      </c>
      <c r="G18" s="22">
        <v>363088.1877437692</v>
      </c>
      <c r="H18" s="22">
        <v>412757.96781086031</v>
      </c>
      <c r="I18" s="38">
        <v>462375.27103518753</v>
      </c>
      <c r="J18" s="38">
        <v>531426.39556436322</v>
      </c>
      <c r="K18" s="38">
        <v>584729.94460991037</v>
      </c>
      <c r="L18" s="38">
        <v>499030.80768542632</v>
      </c>
      <c r="M18" s="38">
        <v>507710.11123505241</v>
      </c>
      <c r="N18" s="38">
        <v>558162.50528007816</v>
      </c>
      <c r="O18" s="38">
        <v>606191.07711617276</v>
      </c>
      <c r="P18" s="38">
        <v>646800.38048385363</v>
      </c>
      <c r="Q18" s="3"/>
      <c r="R18" s="4"/>
      <c r="S18" s="4"/>
      <c r="T18" s="3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1"/>
      <c r="GE18" s="1"/>
      <c r="GF18" s="1"/>
    </row>
    <row r="19" spans="1:189" ht="15.75" x14ac:dyDescent="0.25">
      <c r="A19" s="20">
        <v>6.2</v>
      </c>
      <c r="B19" s="21" t="s">
        <v>9</v>
      </c>
      <c r="C19" s="22">
        <v>18587.552874000059</v>
      </c>
      <c r="D19" s="22">
        <v>18935.869512428817</v>
      </c>
      <c r="E19" s="22">
        <v>19205.71856165311</v>
      </c>
      <c r="F19" s="22">
        <v>19721.238220975123</v>
      </c>
      <c r="G19" s="22">
        <v>22360.607122220797</v>
      </c>
      <c r="H19" s="22">
        <v>23522.131856042746</v>
      </c>
      <c r="I19" s="38">
        <v>25675.966841783909</v>
      </c>
      <c r="J19" s="38">
        <v>28537.966779836315</v>
      </c>
      <c r="K19" s="38">
        <v>30452.814820647636</v>
      </c>
      <c r="L19" s="38">
        <v>11786.824276721916</v>
      </c>
      <c r="M19" s="38">
        <v>16910.517969803332</v>
      </c>
      <c r="N19" s="38">
        <v>32266.982384333365</v>
      </c>
      <c r="O19" s="38">
        <v>38099.251165042813</v>
      </c>
      <c r="P19" s="38">
        <v>45015.311993860647</v>
      </c>
      <c r="Q19" s="3"/>
      <c r="R19" s="4"/>
      <c r="S19" s="4"/>
      <c r="T19" s="3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1"/>
      <c r="GE19" s="1"/>
      <c r="GF19" s="1"/>
    </row>
    <row r="20" spans="1:189" s="10" customFormat="1" ht="30" x14ac:dyDescent="0.25">
      <c r="A20" s="31" t="s">
        <v>36</v>
      </c>
      <c r="B20" s="32" t="s">
        <v>10</v>
      </c>
      <c r="C20" s="19">
        <f>SUM(C21:C27)</f>
        <v>70843.657820414403</v>
      </c>
      <c r="D20" s="19">
        <f t="shared" ref="D20:M20" si="8">SUM(D21:D27)</f>
        <v>79029.773509120016</v>
      </c>
      <c r="E20" s="19">
        <f t="shared" si="8"/>
        <v>77804.105600187264</v>
      </c>
      <c r="F20" s="19">
        <f t="shared" si="8"/>
        <v>83097.005974786996</v>
      </c>
      <c r="G20" s="19">
        <f t="shared" si="8"/>
        <v>90666.851185929307</v>
      </c>
      <c r="H20" s="19">
        <f t="shared" si="8"/>
        <v>88560.08569475112</v>
      </c>
      <c r="I20" s="19">
        <f t="shared" si="8"/>
        <v>82148.261147990881</v>
      </c>
      <c r="J20" s="19">
        <f t="shared" si="8"/>
        <v>76482.2078059341</v>
      </c>
      <c r="K20" s="19">
        <f t="shared" si="8"/>
        <v>75375.600847595037</v>
      </c>
      <c r="L20" s="19">
        <f t="shared" si="8"/>
        <v>46802.502990001623</v>
      </c>
      <c r="M20" s="19">
        <f t="shared" si="8"/>
        <v>104194.64570159196</v>
      </c>
      <c r="N20" s="19">
        <f t="shared" ref="N20" si="9">SUM(N21:N27)</f>
        <v>117449.62378563662</v>
      </c>
      <c r="O20" s="19">
        <f t="shared" ref="O20:P20" si="10">SUM(O21:O27)</f>
        <v>128609.78825484701</v>
      </c>
      <c r="P20" s="19">
        <f t="shared" si="10"/>
        <v>141512.9654963408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G20" s="11"/>
    </row>
    <row r="21" spans="1:189" ht="15.75" x14ac:dyDescent="0.25">
      <c r="A21" s="20">
        <v>7.1</v>
      </c>
      <c r="B21" s="21" t="s">
        <v>11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3"/>
      <c r="R21" s="4"/>
      <c r="S21" s="4"/>
      <c r="T21" s="3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1"/>
      <c r="GE21" s="1"/>
      <c r="GF21" s="1"/>
    </row>
    <row r="22" spans="1:189" ht="15.75" x14ac:dyDescent="0.25">
      <c r="A22" s="20">
        <v>7.2</v>
      </c>
      <c r="B22" s="21" t="s">
        <v>12</v>
      </c>
      <c r="C22" s="22">
        <v>50168.440125131354</v>
      </c>
      <c r="D22" s="22">
        <v>55153.260352083322</v>
      </c>
      <c r="E22" s="22">
        <v>53028.212284805166</v>
      </c>
      <c r="F22" s="22">
        <v>53494.146625372785</v>
      </c>
      <c r="G22" s="22">
        <v>56527.105537432129</v>
      </c>
      <c r="H22" s="22">
        <v>55353.423850141888</v>
      </c>
      <c r="I22" s="38">
        <v>51311.196116618332</v>
      </c>
      <c r="J22" s="38">
        <v>48391.810240099323</v>
      </c>
      <c r="K22" s="38">
        <v>44665.627080180406</v>
      </c>
      <c r="L22" s="38">
        <v>18228.531434073433</v>
      </c>
      <c r="M22" s="38">
        <v>74264.084987361042</v>
      </c>
      <c r="N22" s="38">
        <v>83046.188042989379</v>
      </c>
      <c r="O22" s="38">
        <v>89830.240526975453</v>
      </c>
      <c r="P22" s="38">
        <v>98810.801551643701</v>
      </c>
      <c r="Q22" s="3"/>
      <c r="R22" s="4"/>
      <c r="S22" s="4"/>
      <c r="T22" s="3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1"/>
      <c r="GE22" s="1"/>
      <c r="GF22" s="1"/>
    </row>
    <row r="23" spans="1:189" ht="15.75" x14ac:dyDescent="0.25">
      <c r="A23" s="20">
        <v>7.3</v>
      </c>
      <c r="B23" s="21" t="s">
        <v>13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"/>
      <c r="R23" s="4"/>
      <c r="S23" s="4"/>
      <c r="T23" s="3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1"/>
      <c r="GE23" s="1"/>
      <c r="GF23" s="1"/>
    </row>
    <row r="24" spans="1:189" ht="15.75" x14ac:dyDescent="0.25">
      <c r="A24" s="20">
        <v>7.4</v>
      </c>
      <c r="B24" s="21" t="s">
        <v>14</v>
      </c>
      <c r="C24" s="22">
        <v>232.19807187514004</v>
      </c>
      <c r="D24" s="22">
        <v>402.36496323827623</v>
      </c>
      <c r="E24" s="22">
        <v>205.62458087653511</v>
      </c>
      <c r="F24" s="22">
        <v>456.09986723418285</v>
      </c>
      <c r="G24" s="22">
        <v>-138.10370671472825</v>
      </c>
      <c r="H24" s="22">
        <v>76.00069758161122</v>
      </c>
      <c r="I24" s="38">
        <v>62.460228172955709</v>
      </c>
      <c r="J24" s="38">
        <v>22.973742895872977</v>
      </c>
      <c r="K24" s="38">
        <v>79.96261879854481</v>
      </c>
      <c r="L24" s="38">
        <v>-2.4145549700177682</v>
      </c>
      <c r="M24" s="38">
        <v>-37.304681891523927</v>
      </c>
      <c r="N24" s="38">
        <v>80.59651546857134</v>
      </c>
      <c r="O24" s="38">
        <v>405.72762567966481</v>
      </c>
      <c r="P24" s="38">
        <v>167.32205712818063</v>
      </c>
      <c r="Q24" s="3"/>
      <c r="R24" s="4"/>
      <c r="S24" s="4"/>
      <c r="T24" s="3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1"/>
      <c r="GE24" s="1"/>
      <c r="GF24" s="1"/>
    </row>
    <row r="25" spans="1:189" ht="15.75" x14ac:dyDescent="0.25">
      <c r="A25" s="20">
        <v>7.5</v>
      </c>
      <c r="B25" s="21" t="s">
        <v>15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1004.0436509090398</v>
      </c>
      <c r="I25" s="38">
        <v>1041.3973790110872</v>
      </c>
      <c r="J25" s="38">
        <v>1218.5462328716999</v>
      </c>
      <c r="K25" s="38">
        <v>1140.4241731864561</v>
      </c>
      <c r="L25" s="38">
        <v>315.22721316556152</v>
      </c>
      <c r="M25" s="38">
        <v>518.52015341325068</v>
      </c>
      <c r="N25" s="38">
        <v>803.70378139125182</v>
      </c>
      <c r="O25" s="38">
        <v>1067.3452866867676</v>
      </c>
      <c r="P25" s="38">
        <v>1602.7483851427501</v>
      </c>
      <c r="Q25" s="3"/>
      <c r="R25" s="4"/>
      <c r="S25" s="4"/>
      <c r="T25" s="3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1"/>
      <c r="GE25" s="1"/>
      <c r="GF25" s="1"/>
    </row>
    <row r="26" spans="1:189" ht="15.75" x14ac:dyDescent="0.25">
      <c r="A26" s="20">
        <v>7.6</v>
      </c>
      <c r="B26" s="21" t="s">
        <v>16</v>
      </c>
      <c r="C26" s="22">
        <v>246.69563004000031</v>
      </c>
      <c r="D26" s="22">
        <v>256.11600839815452</v>
      </c>
      <c r="E26" s="22">
        <v>268.75448850139128</v>
      </c>
      <c r="F26" s="22">
        <v>308.1919099948355</v>
      </c>
      <c r="G26" s="22">
        <v>356.73821260805579</v>
      </c>
      <c r="H26" s="22">
        <v>376.14449767557403</v>
      </c>
      <c r="I26" s="38">
        <v>394.84368449137014</v>
      </c>
      <c r="J26" s="38">
        <v>1481.2089436369247</v>
      </c>
      <c r="K26" s="38">
        <v>1498.3974376797628</v>
      </c>
      <c r="L26" s="38">
        <v>1503.7794435568414</v>
      </c>
      <c r="M26" s="38">
        <v>1453.4160639013362</v>
      </c>
      <c r="N26" s="38">
        <v>1510.3197835278786</v>
      </c>
      <c r="O26" s="38">
        <v>1744.6923908790727</v>
      </c>
      <c r="P26" s="38">
        <v>1833.2869263586235</v>
      </c>
      <c r="Q26" s="3"/>
      <c r="R26" s="4"/>
      <c r="S26" s="4"/>
      <c r="T26" s="3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1"/>
      <c r="GE26" s="1"/>
      <c r="GF26" s="1"/>
    </row>
    <row r="27" spans="1:189" ht="30" x14ac:dyDescent="0.25">
      <c r="A27" s="20">
        <v>7.7</v>
      </c>
      <c r="B27" s="21" t="s">
        <v>17</v>
      </c>
      <c r="C27" s="22">
        <v>20196.323993367922</v>
      </c>
      <c r="D27" s="22">
        <v>23218.032185400276</v>
      </c>
      <c r="E27" s="22">
        <v>24301.514246004168</v>
      </c>
      <c r="F27" s="22">
        <v>28838.567572185202</v>
      </c>
      <c r="G27" s="22">
        <v>33921.111142603848</v>
      </c>
      <c r="H27" s="22">
        <v>31750.472998443001</v>
      </c>
      <c r="I27" s="38">
        <v>29338.363739697132</v>
      </c>
      <c r="J27" s="38">
        <v>25367.668646430284</v>
      </c>
      <c r="K27" s="38">
        <v>27991.189537749873</v>
      </c>
      <c r="L27" s="38">
        <v>26757.379454175803</v>
      </c>
      <c r="M27" s="38">
        <v>27995.929178807841</v>
      </c>
      <c r="N27" s="38">
        <v>32008.815662259545</v>
      </c>
      <c r="O27" s="38">
        <v>35561.782424626042</v>
      </c>
      <c r="P27" s="38">
        <v>39098.806576067545</v>
      </c>
      <c r="Q27" s="3"/>
      <c r="R27" s="4"/>
      <c r="S27" s="4"/>
      <c r="T27" s="3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1"/>
      <c r="GE27" s="1"/>
      <c r="GF27" s="1"/>
    </row>
    <row r="28" spans="1:189" ht="15.75" x14ac:dyDescent="0.25">
      <c r="A28" s="24" t="s">
        <v>37</v>
      </c>
      <c r="B28" s="21" t="s">
        <v>18</v>
      </c>
      <c r="C28" s="22">
        <v>54943</v>
      </c>
      <c r="D28" s="22">
        <v>54468</v>
      </c>
      <c r="E28" s="22">
        <v>54513</v>
      </c>
      <c r="F28" s="22">
        <v>60228.747727011796</v>
      </c>
      <c r="G28" s="22">
        <v>63756.776264779568</v>
      </c>
      <c r="H28" s="22">
        <v>65029</v>
      </c>
      <c r="I28" s="38">
        <v>68848.764861194475</v>
      </c>
      <c r="J28" s="38">
        <v>59022.868665562259</v>
      </c>
      <c r="K28" s="38">
        <v>66648.37407945747</v>
      </c>
      <c r="L28" s="38">
        <v>68367.354623382984</v>
      </c>
      <c r="M28" s="38">
        <v>66718</v>
      </c>
      <c r="N28" s="38">
        <v>71050.726003352829</v>
      </c>
      <c r="O28" s="38">
        <v>87223.625117749427</v>
      </c>
      <c r="P28" s="38">
        <v>94601.041570459318</v>
      </c>
      <c r="Q28" s="3"/>
      <c r="R28" s="4"/>
      <c r="S28" s="4"/>
      <c r="T28" s="3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1"/>
      <c r="GE28" s="1"/>
      <c r="GF28" s="1"/>
    </row>
    <row r="29" spans="1:189" ht="30" x14ac:dyDescent="0.25">
      <c r="A29" s="24" t="s">
        <v>38</v>
      </c>
      <c r="B29" s="21" t="s">
        <v>19</v>
      </c>
      <c r="C29" s="22">
        <v>94497.754375677498</v>
      </c>
      <c r="D29" s="22">
        <v>94994.857527898916</v>
      </c>
      <c r="E29" s="22">
        <v>96137</v>
      </c>
      <c r="F29" s="22">
        <v>99190</v>
      </c>
      <c r="G29" s="22">
        <v>105808.49125986247</v>
      </c>
      <c r="H29" s="22">
        <v>95995</v>
      </c>
      <c r="I29" s="38">
        <v>96383.656056084117</v>
      </c>
      <c r="J29" s="38">
        <v>97160</v>
      </c>
      <c r="K29" s="38">
        <v>98147</v>
      </c>
      <c r="L29" s="38">
        <v>86905.716262074086</v>
      </c>
      <c r="M29" s="38">
        <v>86024.664757674167</v>
      </c>
      <c r="N29" s="38">
        <v>105143</v>
      </c>
      <c r="O29" s="38">
        <v>107865</v>
      </c>
      <c r="P29" s="38">
        <v>115919.88705434323</v>
      </c>
      <c r="Q29" s="3"/>
      <c r="R29" s="4"/>
      <c r="S29" s="4"/>
      <c r="T29" s="3"/>
      <c r="U29" s="5"/>
      <c r="V29" s="5"/>
      <c r="W29" s="5"/>
      <c r="X29" s="5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1"/>
      <c r="GE29" s="1"/>
      <c r="GF29" s="1"/>
    </row>
    <row r="30" spans="1:189" ht="15.75" x14ac:dyDescent="0.25">
      <c r="A30" s="24" t="s">
        <v>39</v>
      </c>
      <c r="B30" s="21" t="s">
        <v>54</v>
      </c>
      <c r="C30" s="22">
        <v>137555</v>
      </c>
      <c r="D30" s="22">
        <v>130380</v>
      </c>
      <c r="E30" s="22">
        <v>136201</v>
      </c>
      <c r="F30" s="22">
        <v>151288</v>
      </c>
      <c r="G30" s="22">
        <v>152887</v>
      </c>
      <c r="H30" s="22">
        <v>161943</v>
      </c>
      <c r="I30" s="38">
        <v>170478</v>
      </c>
      <c r="J30" s="38">
        <v>205684.92684586596</v>
      </c>
      <c r="K30" s="38">
        <v>219785</v>
      </c>
      <c r="L30" s="38">
        <v>206550.01529519734</v>
      </c>
      <c r="M30" s="38">
        <v>210886.54571159286</v>
      </c>
      <c r="N30" s="38">
        <v>218539</v>
      </c>
      <c r="O30" s="38">
        <v>248824</v>
      </c>
      <c r="P30" s="38">
        <v>264757.30151764298</v>
      </c>
      <c r="Q30" s="3"/>
      <c r="R30" s="4"/>
      <c r="S30" s="4"/>
      <c r="T30" s="3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1"/>
      <c r="GE30" s="1"/>
      <c r="GF30" s="1"/>
    </row>
    <row r="31" spans="1:189" ht="15.75" x14ac:dyDescent="0.25">
      <c r="A31" s="24" t="s">
        <v>40</v>
      </c>
      <c r="B31" s="21" t="s">
        <v>20</v>
      </c>
      <c r="C31" s="22">
        <v>135067</v>
      </c>
      <c r="D31" s="22">
        <v>137905.15572867048</v>
      </c>
      <c r="E31" s="22">
        <v>146575</v>
      </c>
      <c r="F31" s="22">
        <v>149546</v>
      </c>
      <c r="G31" s="22">
        <v>156733.23248948416</v>
      </c>
      <c r="H31" s="22">
        <v>181068</v>
      </c>
      <c r="I31" s="38">
        <v>198427</v>
      </c>
      <c r="J31" s="38">
        <v>229324</v>
      </c>
      <c r="K31" s="38">
        <v>235132</v>
      </c>
      <c r="L31" s="38">
        <v>196874.9647919292</v>
      </c>
      <c r="M31" s="38">
        <v>224224.69584442792</v>
      </c>
      <c r="N31" s="38">
        <v>260199</v>
      </c>
      <c r="O31" s="38">
        <v>280346</v>
      </c>
      <c r="P31" s="38">
        <v>315400.45880449039</v>
      </c>
      <c r="Q31" s="3"/>
      <c r="R31" s="4"/>
      <c r="S31" s="4"/>
      <c r="T31" s="3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1"/>
      <c r="GE31" s="1"/>
      <c r="GF31" s="1"/>
    </row>
    <row r="32" spans="1:189" s="11" customFormat="1" ht="15.75" x14ac:dyDescent="0.25">
      <c r="A32" s="25"/>
      <c r="B32" s="26" t="s">
        <v>30</v>
      </c>
      <c r="C32" s="27">
        <f>C17+C20+C28+C29+C30+C31</f>
        <v>745123.05882166827</v>
      </c>
      <c r="D32" s="27">
        <f t="shared" ref="D32:K32" si="11">D17+D20+D28+D29+D30+D31</f>
        <v>788986.38603963098</v>
      </c>
      <c r="E32" s="27">
        <f t="shared" si="11"/>
        <v>832209.61470530555</v>
      </c>
      <c r="F32" s="27">
        <f t="shared" si="11"/>
        <v>871414.95503616007</v>
      </c>
      <c r="G32" s="27">
        <f t="shared" si="11"/>
        <v>955301.1460660455</v>
      </c>
      <c r="H32" s="27">
        <f t="shared" si="11"/>
        <v>1028875.1853616541</v>
      </c>
      <c r="I32" s="27">
        <f t="shared" si="11"/>
        <v>1104336.9199422407</v>
      </c>
      <c r="J32" s="27">
        <f t="shared" si="11"/>
        <v>1227638.365661562</v>
      </c>
      <c r="K32" s="27">
        <f t="shared" si="11"/>
        <v>1310270.7343576103</v>
      </c>
      <c r="L32" s="27">
        <f t="shared" ref="L32:M32" si="12">L17+L20+L28+L29+L30+L31</f>
        <v>1116318.1859247335</v>
      </c>
      <c r="M32" s="27">
        <f t="shared" si="12"/>
        <v>1216669.1812201426</v>
      </c>
      <c r="N32" s="27">
        <f t="shared" ref="N32" si="13">N17+N20+N28+N29+N30+N31</f>
        <v>1362810.8374534009</v>
      </c>
      <c r="O32" s="27">
        <f t="shared" ref="O32" si="14">O17+O20+O28+O29+O30+O31</f>
        <v>1497158.7416538121</v>
      </c>
      <c r="P32" s="27">
        <f t="shared" ref="P32" si="15">P17+P20+P28+P29+P30+P31</f>
        <v>1624007.3469209909</v>
      </c>
      <c r="Q32" s="3"/>
      <c r="R32" s="4"/>
      <c r="S32" s="4"/>
      <c r="T32" s="3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0"/>
      <c r="GE32" s="10"/>
      <c r="GF32" s="10"/>
    </row>
    <row r="33" spans="1:189" s="10" customFormat="1" ht="15.75" x14ac:dyDescent="0.25">
      <c r="A33" s="17" t="s">
        <v>27</v>
      </c>
      <c r="B33" s="33" t="s">
        <v>51</v>
      </c>
      <c r="C33" s="19">
        <f t="shared" ref="C33" si="16">C6+C11+C13+C14+C15+C17+C20+C28+C29+C30+C31</f>
        <v>1703209.8249104186</v>
      </c>
      <c r="D33" s="19">
        <f t="shared" ref="D33:K33" si="17">D6+D11+D13+D14+D15+D17+D20+D28+D29+D30+D31</f>
        <v>1727848.0000374434</v>
      </c>
      <c r="E33" s="19">
        <f t="shared" si="17"/>
        <v>1745831.4880304374</v>
      </c>
      <c r="F33" s="19">
        <f t="shared" si="17"/>
        <v>1688699.4108369348</v>
      </c>
      <c r="G33" s="19">
        <f t="shared" si="17"/>
        <v>1644984.9875012415</v>
      </c>
      <c r="H33" s="19">
        <f t="shared" si="17"/>
        <v>1707751.5467771459</v>
      </c>
      <c r="I33" s="19">
        <f t="shared" si="17"/>
        <v>1832201.1588995745</v>
      </c>
      <c r="J33" s="19">
        <f t="shared" si="17"/>
        <v>1934049.6269400602</v>
      </c>
      <c r="K33" s="19">
        <f t="shared" si="17"/>
        <v>2027219.1975322946</v>
      </c>
      <c r="L33" s="19">
        <f t="shared" ref="L33:M33" si="18">L6+L11+L13+L14+L15+L17+L20+L28+L29+L30+L31</f>
        <v>1828164.4743582155</v>
      </c>
      <c r="M33" s="19">
        <f t="shared" si="18"/>
        <v>1972191.903431298</v>
      </c>
      <c r="N33" s="19">
        <f t="shared" ref="N33" si="19">N6+N11+N13+N14+N15+N17+N20+N28+N29+N30+N31</f>
        <v>2160051.6640353622</v>
      </c>
      <c r="O33" s="19">
        <f t="shared" ref="O33" si="20">O6+O11+O13+O14+O15+O17+O20+O28+O29+O30+O31</f>
        <v>2365958.7109278962</v>
      </c>
      <c r="P33" s="19">
        <f t="shared" ref="P33" si="21">P6+P11+P13+P14+P15+P17+P20+P28+P29+P30+P31</f>
        <v>2560176.4332724563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G33" s="11"/>
    </row>
    <row r="34" spans="1:189" s="11" customFormat="1" ht="15.75" x14ac:dyDescent="0.25">
      <c r="A34" s="36" t="s">
        <v>43</v>
      </c>
      <c r="B34" s="37" t="s">
        <v>25</v>
      </c>
      <c r="C34" s="27">
        <f>GSVA_const!C34</f>
        <v>152456.01298907335</v>
      </c>
      <c r="D34" s="27">
        <f>GSVA_const!D34</f>
        <v>168648.90710677547</v>
      </c>
      <c r="E34" s="27">
        <f>GSVA_const!E34</f>
        <v>150560.97638131116</v>
      </c>
      <c r="F34" s="27">
        <f>GSVA_const!F34</f>
        <v>151096.92695589236</v>
      </c>
      <c r="G34" s="27">
        <f>GSVA_const!G34</f>
        <v>227393.75968902957</v>
      </c>
      <c r="H34" s="27">
        <f>GSVA_const!H34</f>
        <v>251395.12568728111</v>
      </c>
      <c r="I34" s="27">
        <f>GSVA_const!I34</f>
        <v>184306.54966511519</v>
      </c>
      <c r="J34" s="27">
        <f>GSVA_const!J34</f>
        <v>184281.28555531765</v>
      </c>
      <c r="K34" s="27">
        <f>GSVA_const!K34</f>
        <v>193271.93185200851</v>
      </c>
      <c r="L34" s="27">
        <f>GSVA_const!L34</f>
        <v>209710.07148274634</v>
      </c>
      <c r="M34" s="27">
        <f>GSVA_const!M34</f>
        <v>258894.16097018105</v>
      </c>
      <c r="N34" s="27">
        <f>GSVA_const!N34</f>
        <v>283268.03664996679</v>
      </c>
      <c r="O34" s="27">
        <f>GSVA_const!O34</f>
        <v>328346.06259948597</v>
      </c>
      <c r="P34" s="27">
        <f>GSVA_const!P34</f>
        <v>374862.99356630223</v>
      </c>
      <c r="Q34" s="3"/>
      <c r="R34" s="4"/>
      <c r="S34" s="4"/>
      <c r="T34" s="3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</row>
    <row r="35" spans="1:189" s="11" customFormat="1" ht="15.75" x14ac:dyDescent="0.25">
      <c r="A35" s="36" t="s">
        <v>44</v>
      </c>
      <c r="B35" s="37" t="s">
        <v>24</v>
      </c>
      <c r="C35" s="27">
        <f>GSVA_const!C35</f>
        <v>52863</v>
      </c>
      <c r="D35" s="27">
        <f>GSVA_const!D35</f>
        <v>64208.370076589425</v>
      </c>
      <c r="E35" s="27">
        <f>GSVA_const!E35</f>
        <v>56737.392916657052</v>
      </c>
      <c r="F35" s="27">
        <f>GSVA_const!F35</f>
        <v>50510.94198343475</v>
      </c>
      <c r="G35" s="27">
        <f>GSVA_const!G35</f>
        <v>39355.049891041599</v>
      </c>
      <c r="H35" s="27">
        <f>GSVA_const!H35</f>
        <v>29660.825489271236</v>
      </c>
      <c r="I35" s="27">
        <f>GSVA_const!I35</f>
        <v>20139.211109849777</v>
      </c>
      <c r="J35" s="27">
        <f>GSVA_const!J35</f>
        <v>21535.937177818771</v>
      </c>
      <c r="K35" s="27">
        <f>GSVA_const!K35</f>
        <v>20761.124938364228</v>
      </c>
      <c r="L35" s="27">
        <f>GSVA_const!L35</f>
        <v>38826.09868900814</v>
      </c>
      <c r="M35" s="27">
        <f>GSVA_const!M35</f>
        <v>54206.274555151889</v>
      </c>
      <c r="N35" s="27">
        <f>GSVA_const!N35</f>
        <v>47571.202572098839</v>
      </c>
      <c r="O35" s="27">
        <f>GSVA_const!O35</f>
        <v>33838.649956608293</v>
      </c>
      <c r="P35" s="27">
        <f>GSVA_const!P35</f>
        <v>38234.337054987525</v>
      </c>
      <c r="Q35" s="3"/>
      <c r="R35" s="4"/>
      <c r="S35" s="4"/>
      <c r="T35" s="3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</row>
    <row r="36" spans="1:189" s="11" customFormat="1" ht="15.75" x14ac:dyDescent="0.25">
      <c r="A36" s="36" t="s">
        <v>45</v>
      </c>
      <c r="B36" s="37" t="s">
        <v>63</v>
      </c>
      <c r="C36" s="27">
        <f>C33+C34-C35</f>
        <v>1802802.8378994919</v>
      </c>
      <c r="D36" s="27">
        <f t="shared" ref="D36:M36" si="22">D33+D34-D35</f>
        <v>1832288.5370676294</v>
      </c>
      <c r="E36" s="27">
        <f t="shared" si="22"/>
        <v>1839655.0714950915</v>
      </c>
      <c r="F36" s="27">
        <f t="shared" si="22"/>
        <v>1789285.3958093924</v>
      </c>
      <c r="G36" s="27">
        <f t="shared" si="22"/>
        <v>1833023.6972992294</v>
      </c>
      <c r="H36" s="27">
        <f t="shared" si="22"/>
        <v>1929485.8469751559</v>
      </c>
      <c r="I36" s="27">
        <f t="shared" si="22"/>
        <v>1996368.49745484</v>
      </c>
      <c r="J36" s="27">
        <f t="shared" si="22"/>
        <v>2096794.9753175592</v>
      </c>
      <c r="K36" s="27">
        <f t="shared" si="22"/>
        <v>2199730.0044459389</v>
      </c>
      <c r="L36" s="27">
        <f t="shared" si="22"/>
        <v>1999048.4471519538</v>
      </c>
      <c r="M36" s="27">
        <f t="shared" si="22"/>
        <v>2176879.7898463272</v>
      </c>
      <c r="N36" s="27">
        <f t="shared" ref="N36" si="23">N33+N34-N35</f>
        <v>2395748.4981132299</v>
      </c>
      <c r="O36" s="27">
        <f t="shared" ref="O36" si="24">O33+O34-O35</f>
        <v>2660466.1235707738</v>
      </c>
      <c r="P36" s="27">
        <f t="shared" ref="P36" si="25">P33+P34-P35</f>
        <v>2896805.089783771</v>
      </c>
      <c r="Q36" s="3"/>
      <c r="R36" s="4"/>
      <c r="S36" s="4"/>
      <c r="T36" s="3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</row>
    <row r="37" spans="1:189" s="11" customFormat="1" ht="15.75" x14ac:dyDescent="0.25">
      <c r="A37" s="36" t="s">
        <v>46</v>
      </c>
      <c r="B37" s="37" t="s">
        <v>42</v>
      </c>
      <c r="C37" s="27">
        <f>GSVA_cur!C37</f>
        <v>30150</v>
      </c>
      <c r="D37" s="27">
        <f>GSVA_cur!D37</f>
        <v>30480</v>
      </c>
      <c r="E37" s="27">
        <f>GSVA_cur!E37</f>
        <v>30800</v>
      </c>
      <c r="F37" s="27">
        <f>GSVA_cur!F37</f>
        <v>31130</v>
      </c>
      <c r="G37" s="27">
        <f>GSVA_cur!G37</f>
        <v>31450</v>
      </c>
      <c r="H37" s="27">
        <f>GSVA_cur!H37</f>
        <v>31760</v>
      </c>
      <c r="I37" s="27">
        <f>GSVA_cur!I37</f>
        <v>32080</v>
      </c>
      <c r="J37" s="27">
        <f>GSVA_cur!J37</f>
        <v>32400</v>
      </c>
      <c r="K37" s="27">
        <f>GSVA_cur!K37</f>
        <v>32720</v>
      </c>
      <c r="L37" s="27">
        <f>GSVA_cur!L37</f>
        <v>33030</v>
      </c>
      <c r="M37" s="27">
        <f>GSVA_cur!M37</f>
        <v>33330</v>
      </c>
      <c r="N37" s="27">
        <f>GSVA_cur!N37</f>
        <v>33640</v>
      </c>
      <c r="O37" s="27">
        <f>GSVA_cur!O37</f>
        <v>33940</v>
      </c>
      <c r="P37" s="27">
        <f>GSVA_cur!P37</f>
        <v>34250</v>
      </c>
      <c r="Q37" s="1"/>
      <c r="R37" s="2"/>
      <c r="S37" s="2"/>
      <c r="T37" s="1"/>
      <c r="U37" s="1"/>
      <c r="V37" s="1"/>
      <c r="W37" s="1"/>
      <c r="X37" s="1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</row>
    <row r="38" spans="1:189" s="11" customFormat="1" ht="15.75" x14ac:dyDescent="0.25">
      <c r="A38" s="36" t="s">
        <v>47</v>
      </c>
      <c r="B38" s="37" t="s">
        <v>64</v>
      </c>
      <c r="C38" s="27">
        <f>C36/C37*1000</f>
        <v>59794.455651724442</v>
      </c>
      <c r="D38" s="27">
        <f t="shared" ref="D38:M38" si="26">D36/D37*1000</f>
        <v>60114.453315867111</v>
      </c>
      <c r="E38" s="27">
        <f t="shared" si="26"/>
        <v>59729.060762827648</v>
      </c>
      <c r="F38" s="27">
        <f t="shared" si="26"/>
        <v>57477.847600687201</v>
      </c>
      <c r="G38" s="27">
        <f t="shared" si="26"/>
        <v>58283.742362455625</v>
      </c>
      <c r="H38" s="27">
        <f t="shared" si="26"/>
        <v>60752.073267479718</v>
      </c>
      <c r="I38" s="27">
        <f t="shared" si="26"/>
        <v>62230.938199963835</v>
      </c>
      <c r="J38" s="27">
        <f t="shared" si="26"/>
        <v>64715.894299924672</v>
      </c>
      <c r="K38" s="27">
        <f t="shared" si="26"/>
        <v>67228.912116318432</v>
      </c>
      <c r="L38" s="27">
        <f t="shared" si="26"/>
        <v>60522.205484467268</v>
      </c>
      <c r="M38" s="27">
        <f t="shared" si="26"/>
        <v>65312.924987888604</v>
      </c>
      <c r="N38" s="27">
        <f t="shared" ref="N38" si="27">N36/N37*1000</f>
        <v>71217.25618648126</v>
      </c>
      <c r="O38" s="27">
        <f t="shared" ref="O38" si="28">O36/O37*1000</f>
        <v>78387.334224242004</v>
      </c>
      <c r="P38" s="27">
        <f t="shared" ref="P38" si="29">P36/P37*1000</f>
        <v>84578.250796606459</v>
      </c>
      <c r="Q38" s="1"/>
      <c r="R38" s="2"/>
      <c r="S38" s="2"/>
      <c r="T38" s="3"/>
      <c r="U38" s="3"/>
      <c r="V38" s="3"/>
      <c r="W38" s="3"/>
      <c r="X38" s="3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BY38" s="12"/>
      <c r="BZ38" s="12"/>
      <c r="CA38" s="12"/>
      <c r="CB38" s="12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</row>
    <row r="39" spans="1:189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4" max="1048575" man="1"/>
    <brk id="36" max="1048575" man="1"/>
    <brk id="52" max="1048575" man="1"/>
    <brk id="116" max="95" man="1"/>
    <brk id="152" max="1048575" man="1"/>
    <brk id="176" max="1048575" man="1"/>
    <brk id="184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2025-08-04T07:01:52Z</dcterms:modified>
</cp:coreProperties>
</file>