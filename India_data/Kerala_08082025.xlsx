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C8F6FA0F-740C-48BE-9D2E-71758707F7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 l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6" i="12"/>
  <c r="P6" i="10"/>
  <c r="P32" i="1" l="1"/>
  <c r="P33" i="1"/>
  <c r="P32" i="10"/>
  <c r="P33" i="12"/>
  <c r="P33" i="10"/>
  <c r="P33" i="11"/>
  <c r="P12" i="11"/>
  <c r="P32" i="12"/>
  <c r="P12" i="10"/>
  <c r="P12" i="12"/>
  <c r="P12" i="1"/>
  <c r="P32" i="11"/>
  <c r="O6" i="1"/>
  <c r="O12" i="1" s="1"/>
  <c r="O16" i="1"/>
  <c r="O17" i="1"/>
  <c r="O20" i="1"/>
  <c r="O37" i="1"/>
  <c r="O6" i="11"/>
  <c r="O12" i="11" s="1"/>
  <c r="O16" i="11"/>
  <c r="O17" i="11"/>
  <c r="O20" i="11"/>
  <c r="O34" i="11"/>
  <c r="O35" i="11"/>
  <c r="O37" i="11"/>
  <c r="O6" i="12"/>
  <c r="O16" i="12"/>
  <c r="O17" i="12"/>
  <c r="O20" i="12"/>
  <c r="O34" i="12"/>
  <c r="O35" i="12"/>
  <c r="O37" i="12"/>
  <c r="O6" i="10"/>
  <c r="O16" i="10"/>
  <c r="O17" i="10"/>
  <c r="O20" i="10"/>
  <c r="P36" i="1" l="1"/>
  <c r="O32" i="11"/>
  <c r="O32" i="10"/>
  <c r="P36" i="11"/>
  <c r="P36" i="12"/>
  <c r="P36" i="10"/>
  <c r="P38" i="1"/>
  <c r="O32" i="12"/>
  <c r="O33" i="12"/>
  <c r="O36" i="12" s="1"/>
  <c r="O12" i="12"/>
  <c r="O32" i="1"/>
  <c r="O33" i="1"/>
  <c r="O36" i="1" s="1"/>
  <c r="O33" i="10"/>
  <c r="O36" i="10" s="1"/>
  <c r="O12" i="10"/>
  <c r="O33" i="11"/>
  <c r="P38" i="10" l="1"/>
  <c r="P38" i="12"/>
  <c r="P38" i="11"/>
  <c r="O38" i="12"/>
  <c r="O36" i="11"/>
  <c r="O38" i="1"/>
  <c r="O38" i="10"/>
  <c r="N6" i="1"/>
  <c r="N16" i="1"/>
  <c r="N17" i="1"/>
  <c r="N20" i="1"/>
  <c r="N37" i="1"/>
  <c r="N6" i="11"/>
  <c r="N16" i="11"/>
  <c r="N17" i="11"/>
  <c r="N20" i="11"/>
  <c r="N34" i="11"/>
  <c r="N35" i="11"/>
  <c r="N37" i="11"/>
  <c r="N6" i="12"/>
  <c r="N16" i="12"/>
  <c r="N17" i="12"/>
  <c r="N20" i="12"/>
  <c r="N34" i="12"/>
  <c r="N35" i="12"/>
  <c r="N37" i="12"/>
  <c r="N6" i="10"/>
  <c r="N16" i="10"/>
  <c r="N17" i="10"/>
  <c r="N20" i="10"/>
  <c r="N12" i="12" l="1"/>
  <c r="N32" i="11"/>
  <c r="N12" i="11"/>
  <c r="N12" i="1"/>
  <c r="O38" i="11"/>
  <c r="N12" i="10"/>
  <c r="N32" i="12"/>
  <c r="N33" i="11"/>
  <c r="N32" i="1"/>
  <c r="N33" i="1"/>
  <c r="N32" i="10"/>
  <c r="N33" i="12"/>
  <c r="N33" i="10"/>
  <c r="N36" i="11" l="1"/>
  <c r="N36" i="1"/>
  <c r="N36" i="10"/>
  <c r="N36" i="12"/>
  <c r="I2" i="1"/>
  <c r="I2" i="11"/>
  <c r="I2" i="12"/>
  <c r="I2" i="10"/>
  <c r="N38" i="11" l="1"/>
  <c r="N38" i="1"/>
  <c r="N38" i="12"/>
  <c r="N38" i="10"/>
  <c r="D34" i="12" l="1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M1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L17" i="11"/>
  <c r="M17" i="11"/>
  <c r="D37" i="1"/>
  <c r="E37" i="1"/>
  <c r="F37" i="1"/>
  <c r="G37" i="1"/>
  <c r="H37" i="1"/>
  <c r="I37" i="1"/>
  <c r="J37" i="1"/>
  <c r="K37" i="1"/>
  <c r="L37" i="1"/>
  <c r="M37" i="1"/>
  <c r="M17" i="1"/>
  <c r="M17" i="10"/>
  <c r="K20" i="1" l="1"/>
  <c r="L20" i="1"/>
  <c r="M20" i="1"/>
  <c r="K20" i="11"/>
  <c r="L20" i="11"/>
  <c r="M20" i="11"/>
  <c r="K20" i="12"/>
  <c r="L20" i="12"/>
  <c r="M20" i="12"/>
  <c r="K20" i="10"/>
  <c r="L20" i="10"/>
  <c r="M20" i="10"/>
  <c r="K16" i="1"/>
  <c r="L16" i="1"/>
  <c r="M16" i="1"/>
  <c r="K16" i="11"/>
  <c r="L16" i="11"/>
  <c r="M16" i="11"/>
  <c r="K16" i="12"/>
  <c r="L16" i="12"/>
  <c r="M16" i="12"/>
  <c r="K16" i="10"/>
  <c r="L16" i="10"/>
  <c r="M16" i="10"/>
  <c r="K6" i="1"/>
  <c r="L6" i="1"/>
  <c r="M6" i="1"/>
  <c r="K6" i="11"/>
  <c r="L6" i="11"/>
  <c r="M6" i="11"/>
  <c r="K6" i="12"/>
  <c r="L6" i="12"/>
  <c r="M6" i="12"/>
  <c r="K6" i="10"/>
  <c r="L6" i="10"/>
  <c r="M6" i="10"/>
  <c r="M32" i="12" l="1"/>
  <c r="L12" i="12"/>
  <c r="K12" i="12"/>
  <c r="M12" i="12"/>
  <c r="M32" i="11"/>
  <c r="M32" i="1"/>
  <c r="K12" i="1"/>
  <c r="M32" i="10"/>
  <c r="M33" i="11"/>
  <c r="L12" i="1"/>
  <c r="L12" i="10"/>
  <c r="M33" i="12"/>
  <c r="K12" i="11"/>
  <c r="M12" i="11"/>
  <c r="L12" i="11"/>
  <c r="M33" i="1"/>
  <c r="M12" i="1"/>
  <c r="M33" i="10"/>
  <c r="M12" i="10"/>
  <c r="K12" i="10"/>
  <c r="M36" i="11" l="1"/>
  <c r="M36" i="12"/>
  <c r="M36" i="1"/>
  <c r="M36" i="10"/>
  <c r="L17" i="1"/>
  <c r="L17" i="12"/>
  <c r="L17" i="10"/>
  <c r="M38" i="11" l="1"/>
  <c r="M38" i="12"/>
  <c r="M38" i="1"/>
  <c r="M38" i="10"/>
  <c r="L32" i="12"/>
  <c r="L33" i="12"/>
  <c r="L32" i="11"/>
  <c r="L33" i="11"/>
  <c r="L32" i="1"/>
  <c r="L33" i="1"/>
  <c r="L32" i="10"/>
  <c r="L33" i="10"/>
  <c r="C37" i="1"/>
  <c r="L36" i="12" l="1"/>
  <c r="L36" i="11"/>
  <c r="L36" i="1"/>
  <c r="L36" i="10"/>
  <c r="L38" i="12" l="1"/>
  <c r="L38" i="11"/>
  <c r="L38" i="1"/>
  <c r="L38" i="10"/>
  <c r="I20" i="1"/>
  <c r="J20" i="1"/>
  <c r="I20" i="11"/>
  <c r="J20" i="11"/>
  <c r="I20" i="12"/>
  <c r="J20" i="12"/>
  <c r="I20" i="10"/>
  <c r="J20" i="10"/>
  <c r="I17" i="1"/>
  <c r="J17" i="1"/>
  <c r="K17" i="1"/>
  <c r="I17" i="11"/>
  <c r="J17" i="11"/>
  <c r="K17" i="11"/>
  <c r="I17" i="12"/>
  <c r="J17" i="12"/>
  <c r="K17" i="12"/>
  <c r="I17" i="10"/>
  <c r="J17" i="10"/>
  <c r="K17" i="10"/>
  <c r="I16" i="1"/>
  <c r="J16" i="1"/>
  <c r="I16" i="11"/>
  <c r="J16" i="11"/>
  <c r="I16" i="12"/>
  <c r="J16" i="12"/>
  <c r="I16" i="10"/>
  <c r="J16" i="10"/>
  <c r="I6" i="1"/>
  <c r="J6" i="1"/>
  <c r="I6" i="11"/>
  <c r="J6" i="11"/>
  <c r="I6" i="12"/>
  <c r="J6" i="12"/>
  <c r="I6" i="10"/>
  <c r="J6" i="10"/>
  <c r="K32" i="12" l="1"/>
  <c r="K33" i="12"/>
  <c r="K32" i="11"/>
  <c r="K33" i="11"/>
  <c r="K32" i="1"/>
  <c r="K33" i="1"/>
  <c r="K32" i="10"/>
  <c r="K33" i="10"/>
  <c r="I12" i="1"/>
  <c r="I12" i="12"/>
  <c r="J32" i="12"/>
  <c r="I32" i="12"/>
  <c r="J12" i="12"/>
  <c r="J33" i="12"/>
  <c r="J32" i="11"/>
  <c r="J33" i="11"/>
  <c r="J12" i="11"/>
  <c r="J32" i="1"/>
  <c r="J12" i="1"/>
  <c r="J33" i="1"/>
  <c r="J32" i="10"/>
  <c r="J33" i="10"/>
  <c r="J12" i="10"/>
  <c r="I33" i="12"/>
  <c r="I32" i="11"/>
  <c r="I12" i="11"/>
  <c r="I33" i="11"/>
  <c r="I32" i="1"/>
  <c r="I33" i="1"/>
  <c r="I32" i="10"/>
  <c r="I12" i="10"/>
  <c r="I33" i="10"/>
  <c r="K36" i="12" l="1"/>
  <c r="J36" i="12"/>
  <c r="I36" i="12"/>
  <c r="J36" i="11"/>
  <c r="I36" i="11"/>
  <c r="K36" i="11"/>
  <c r="K36" i="1"/>
  <c r="K36" i="10"/>
  <c r="J36" i="10"/>
  <c r="I36" i="1"/>
  <c r="J36" i="1"/>
  <c r="I36" i="10"/>
  <c r="I38" i="12" l="1"/>
  <c r="J38" i="11"/>
  <c r="K38" i="11"/>
  <c r="K38" i="10"/>
  <c r="K38" i="12"/>
  <c r="J38" i="12"/>
  <c r="I38" i="11"/>
  <c r="K38" i="1"/>
  <c r="J38" i="10"/>
  <c r="I38" i="1"/>
  <c r="J38" i="1"/>
  <c r="I38" i="10"/>
  <c r="H20" i="1" l="1"/>
  <c r="H20" i="11"/>
  <c r="H20" i="12"/>
  <c r="H20" i="10"/>
  <c r="H17" i="1"/>
  <c r="H17" i="11"/>
  <c r="H17" i="12"/>
  <c r="H17" i="10"/>
  <c r="H16" i="1"/>
  <c r="H16" i="11"/>
  <c r="H16" i="12"/>
  <c r="H16" i="10"/>
  <c r="H6" i="1"/>
  <c r="H6" i="11"/>
  <c r="H6" i="12"/>
  <c r="H6" i="10"/>
  <c r="H12" i="11" l="1"/>
  <c r="H12" i="10"/>
  <c r="H32" i="12"/>
  <c r="H33" i="12"/>
  <c r="H12" i="12"/>
  <c r="H32" i="11"/>
  <c r="H33" i="11"/>
  <c r="H32" i="1"/>
  <c r="H33" i="1"/>
  <c r="H12" i="1"/>
  <c r="H32" i="10"/>
  <c r="H33" i="10"/>
  <c r="G6" i="1"/>
  <c r="G16" i="1"/>
  <c r="G17" i="1"/>
  <c r="G20" i="1"/>
  <c r="G6" i="11"/>
  <c r="G16" i="11"/>
  <c r="G17" i="11"/>
  <c r="G20" i="11"/>
  <c r="G6" i="12"/>
  <c r="G16" i="12"/>
  <c r="G17" i="12"/>
  <c r="G20" i="12"/>
  <c r="G6" i="10"/>
  <c r="G16" i="10"/>
  <c r="G17" i="10"/>
  <c r="G20" i="10"/>
  <c r="H36" i="12" l="1"/>
  <c r="H36" i="11"/>
  <c r="G12" i="11"/>
  <c r="G12" i="1"/>
  <c r="H36" i="1"/>
  <c r="G12" i="10"/>
  <c r="H36" i="10"/>
  <c r="G32" i="12"/>
  <c r="G33" i="12"/>
  <c r="G32" i="11"/>
  <c r="G32" i="1"/>
  <c r="G33" i="1"/>
  <c r="G32" i="10"/>
  <c r="G33" i="10"/>
  <c r="G33" i="11"/>
  <c r="G12" i="12"/>
  <c r="G36" i="12" l="1"/>
  <c r="G38" i="12" s="1"/>
  <c r="G36" i="11"/>
  <c r="H38" i="12"/>
  <c r="H38" i="11"/>
  <c r="H38" i="1"/>
  <c r="G36" i="1"/>
  <c r="G36" i="10"/>
  <c r="H38" i="10"/>
  <c r="C6" i="10"/>
  <c r="D6" i="10"/>
  <c r="E6" i="10"/>
  <c r="F6" i="10"/>
  <c r="C16" i="10"/>
  <c r="D16" i="10"/>
  <c r="E16" i="10"/>
  <c r="F16" i="10"/>
  <c r="C17" i="10"/>
  <c r="D17" i="10"/>
  <c r="E17" i="10"/>
  <c r="F17" i="10"/>
  <c r="C20" i="10"/>
  <c r="D20" i="10"/>
  <c r="E20" i="10"/>
  <c r="F20" i="10"/>
  <c r="G38" i="11" l="1"/>
  <c r="G38" i="1"/>
  <c r="D32" i="10"/>
  <c r="F12" i="10"/>
  <c r="G38" i="10"/>
  <c r="E12" i="10"/>
  <c r="D12" i="10"/>
  <c r="C12" i="10"/>
  <c r="C32" i="10"/>
  <c r="E33" i="10"/>
  <c r="E32" i="10"/>
  <c r="F33" i="10"/>
  <c r="F32" i="10"/>
  <c r="D33" i="10"/>
  <c r="C33" i="10"/>
  <c r="D36" i="10" l="1"/>
  <c r="F36" i="10"/>
  <c r="C36" i="10"/>
  <c r="E36" i="10"/>
  <c r="F38" i="10" l="1"/>
  <c r="D38" i="10"/>
  <c r="E38" i="10"/>
  <c r="C38" i="10"/>
  <c r="C35" i="12" l="1"/>
  <c r="C34" i="12"/>
  <c r="C35" i="11"/>
  <c r="C34" i="11"/>
  <c r="C37" i="12"/>
  <c r="C37" i="11"/>
  <c r="F20" i="12" l="1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C32" i="1" l="1"/>
  <c r="C33" i="11"/>
  <c r="C32" i="11"/>
  <c r="C33" i="12"/>
  <c r="C32" i="12"/>
  <c r="D32" i="1"/>
  <c r="D32" i="11"/>
  <c r="D32" i="12"/>
  <c r="E12" i="12"/>
  <c r="E12" i="11"/>
  <c r="E32" i="1"/>
  <c r="D33" i="1"/>
  <c r="E33" i="1"/>
  <c r="F32" i="1"/>
  <c r="C33" i="1"/>
  <c r="F33" i="1"/>
  <c r="E32" i="12"/>
  <c r="F32" i="12"/>
  <c r="F33" i="12"/>
  <c r="D33" i="12"/>
  <c r="F32" i="11"/>
  <c r="E32" i="11"/>
  <c r="D33" i="11"/>
  <c r="F33" i="11"/>
  <c r="C12" i="12"/>
  <c r="D12" i="12"/>
  <c r="E33" i="12"/>
  <c r="F12" i="12"/>
  <c r="C12" i="11"/>
  <c r="D12" i="11"/>
  <c r="E33" i="11"/>
  <c r="F12" i="11"/>
  <c r="D12" i="1"/>
  <c r="C12" i="1"/>
  <c r="E12" i="1"/>
  <c r="F12" i="1"/>
  <c r="E36" i="12" l="1"/>
  <c r="E38" i="12" s="1"/>
  <c r="D36" i="12"/>
  <c r="D38" i="12" s="1"/>
  <c r="F36" i="12"/>
  <c r="F38" i="12" s="1"/>
  <c r="D36" i="11"/>
  <c r="D38" i="11" s="1"/>
  <c r="F36" i="11"/>
  <c r="F38" i="11" s="1"/>
  <c r="E36" i="11"/>
  <c r="E38" i="11" s="1"/>
  <c r="C36" i="12"/>
  <c r="C36" i="11"/>
  <c r="D36" i="1"/>
  <c r="F36" i="1"/>
  <c r="E36" i="1"/>
  <c r="C36" i="1"/>
  <c r="C38" i="12" l="1"/>
  <c r="C38" i="11"/>
  <c r="E38" i="1"/>
  <c r="F38" i="1"/>
  <c r="C38" i="1"/>
  <c r="D38" i="1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<sst xmlns="http://schemas.openxmlformats.org/spreadsheetml/2006/main" count="284" uniqueCount="77">
  <si>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</si>
  <si>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</si>
  <si>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</si>
  <si>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</si>
  <si>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</si>
  <si>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</si>
  <si>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</si>
  <si>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</si>
  <si>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</si>
  <si>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</si>
  <si>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</si>
  <si>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</si>
  <si>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</si>
  <si>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</si>
  <si>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</si>
  <si>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</si>
  <si>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</si>
  <si>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</si>
  <si>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</si>
  <si>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</si>
  <si>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</si>
  <si>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</si>
  <si>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</si>
  <si>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</si>
  <si>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</si>
  <si>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</si>
  <si>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</si>
  <si>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</si>
  <si>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</si>
  <si>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</si>
  <si>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</si>
  <si>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</si>
  <si>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</si>
  <si>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</si>
  <si>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</si>
  <si>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</si>
  <si>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</si>
  <si>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</si>
  <si>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</si>
  <si>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</si>
  <si>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</si>
  <si>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</si>
  <si>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</si>
  <si>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</si>
  <si>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</si>
  <si>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</si>
  <si>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</si>
  <si>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</si>
  <si>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</si>
  <si>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</si>
  <si>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</si>
  <si>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</si>
  <si>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</si>
  <si>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</si>
  <si>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</si>
  <si>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</si>
  <si>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</si>
  <si>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</si>
  <si>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</si>
  <si>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</si>
  <si>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</si>
  <si>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</si>
  <si>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</si>
  <si>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</si>
  <si>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</si>
  <si>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</si>
  <si>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Kerala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</si>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</sst>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1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8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1" fontId="17" fillId="0" borderId="0" xfId="0" applyNumberFormat="1" applyFont="1" applyAlignment="1">
      <alignment wrapText="1"/>
    </xf>
    <xf numFmtId="1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Protection="1">
      <protection locked="0"/>
    </xf>
    <xf numFmtId="1" fontId="7" fillId="3" borderId="0" xfId="0" applyNumberFormat="1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7" fillId="0" borderId="2" xfId="0" applyNumberFormat="1" applyFont="1" applyBorder="1" applyProtection="1"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/>
    <xf numFmtId="1" fontId="4" fillId="0" borderId="2" xfId="0" applyNumberFormat="1" applyFont="1" applyBorder="1" applyAlignment="1">
      <alignment wrapText="1"/>
    </xf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1" fontId="16" fillId="0" borderId="2" xfId="0" applyNumberFormat="1" applyFont="1" applyBorder="1" applyAlignment="1">
      <alignment wrapText="1"/>
    </xf>
    <xf numFmtId="0" fontId="10" fillId="3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  <xf numFmtId="0" fontId="7" fillId="3" borderId="2" xfId="0" applyFont="1" applyFill="1" applyBorder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V39"/>
  <sheetViews>
    <sheetView tabSelected="1" zoomScale="69" zoomScaleNormal="69" zoomScaleSheetLayoutView="100" workbookViewId="0">
      <selection activeCell="T27" sqref="T27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6" width="14.28515625" style="2" customWidth="1"/>
    <col min="7" max="16" width="14.2851562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48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4" t="s">
        <v>0</v>
      </c>
      <c r="B5" s="15" t="s">
        <v>1</v>
      </c>
      <c r="C5" s="16" t="s">
        <v>21</v>
      </c>
      <c r="D5" s="16" t="s">
        <v>22</v>
      </c>
      <c r="E5" s="16" t="s">
        <v>23</v>
      </c>
      <c r="F5" s="16" t="s">
        <v>56</v>
      </c>
      <c r="G5" s="17" t="s">
        <v>65</v>
      </c>
      <c r="H5" s="17" t="s">
        <v>67</v>
      </c>
      <c r="I5" s="17" t="s">
        <v>68</v>
      </c>
      <c r="J5" s="17" t="s">
        <v>69</v>
      </c>
      <c r="K5" s="17" t="s">
        <v>70</v>
      </c>
      <c r="L5" s="17" t="s">
        <v>71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3" s="11" customFormat="1" ht="15.75" x14ac:dyDescent="0.25">
      <c r="A6" s="18" t="s">
        <v>26</v>
      </c>
      <c r="B6" s="19" t="s">
        <v>2</v>
      </c>
      <c r="C6" s="20">
        <f>SUM(C7:C10)</f>
        <v>4837593.557436089</v>
      </c>
      <c r="D6" s="20">
        <f t="shared" ref="D6:E6" si="0">SUM(D7:D10)</f>
        <v>5036408.5546619827</v>
      </c>
      <c r="E6" s="20">
        <f t="shared" si="0"/>
        <v>5501260.9948549438</v>
      </c>
      <c r="F6" s="20">
        <f t="shared" ref="F6:M6" si="1">SUM(F7:F10)</f>
        <v>6093554.0957982261</v>
      </c>
      <c r="G6" s="20">
        <f t="shared" si="1"/>
        <v>6399310.0162388263</v>
      </c>
      <c r="H6" s="20">
        <f t="shared" si="1"/>
        <v>6920980.0379860029</v>
      </c>
      <c r="I6" s="20">
        <f t="shared" si="1"/>
        <v>7476016.8599365735</v>
      </c>
      <c r="J6" s="20">
        <f t="shared" si="1"/>
        <v>7766775.1278045829</v>
      </c>
      <c r="K6" s="20">
        <f t="shared" si="1"/>
        <v>8152343.1440084372</v>
      </c>
      <c r="L6" s="20">
        <f t="shared" si="1"/>
        <v>8574902.6027760245</v>
      </c>
      <c r="M6" s="20">
        <f t="shared" si="1"/>
        <v>8937893.8469553255</v>
      </c>
      <c r="N6" s="20">
        <f t="shared" ref="N6:P6" si="2">SUM(N7:N10)</f>
        <v>9256344.837792825</v>
      </c>
      <c r="O6" s="20">
        <f t="shared" si="2"/>
        <v>9432929.5284684133</v>
      </c>
      <c r="P6" s="20">
        <f t="shared" si="2"/>
        <v>9801950.1923935469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K6" s="12"/>
    </row>
    <row r="7" spans="1:193" ht="15.75" x14ac:dyDescent="0.25">
      <c r="A7" s="21">
        <v>1.1000000000000001</v>
      </c>
      <c r="B7" s="22" t="s">
        <v>59</v>
      </c>
      <c r="C7" s="23">
        <v>2904593.3658975204</v>
      </c>
      <c r="D7" s="23">
        <v>2640014.7312028334</v>
      </c>
      <c r="E7" s="23">
        <v>2837347.3139407421</v>
      </c>
      <c r="F7" s="23">
        <v>3048090.9047906441</v>
      </c>
      <c r="G7" s="23">
        <v>2617784.0350625413</v>
      </c>
      <c r="H7" s="23">
        <v>2917374</v>
      </c>
      <c r="I7" s="23">
        <v>3199377.8914859626</v>
      </c>
      <c r="J7" s="23">
        <v>3018555.5755349379</v>
      </c>
      <c r="K7" s="23">
        <v>3128046.643388242</v>
      </c>
      <c r="L7" s="23">
        <v>3298557.2673894241</v>
      </c>
      <c r="M7" s="23">
        <v>3515986.6682124138</v>
      </c>
      <c r="N7" s="23">
        <v>3697784.7093690694</v>
      </c>
      <c r="O7" s="23">
        <v>3721068.4935148344</v>
      </c>
      <c r="P7" s="23">
        <v>3874772.5904166084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1">
        <v>1.2</v>
      </c>
      <c r="B8" s="22" t="s">
        <v>60</v>
      </c>
      <c r="C8" s="23">
        <v>1125351.1906918595</v>
      </c>
      <c r="D8" s="23">
        <v>1411392.551489722</v>
      </c>
      <c r="E8" s="23">
        <v>1548294.396110941</v>
      </c>
      <c r="F8" s="23">
        <v>1686130.9688710272</v>
      </c>
      <c r="G8" s="23">
        <v>1857357.8433648252</v>
      </c>
      <c r="H8" s="23">
        <v>1933214</v>
      </c>
      <c r="I8" s="23">
        <v>2163987.5777252861</v>
      </c>
      <c r="J8" s="23">
        <v>2265784.2697467366</v>
      </c>
      <c r="K8" s="23">
        <v>2435453.9631767552</v>
      </c>
      <c r="L8" s="23">
        <v>2604303.7073345082</v>
      </c>
      <c r="M8" s="23">
        <v>2622371.6144030257</v>
      </c>
      <c r="N8" s="23">
        <v>2526072.3187073474</v>
      </c>
      <c r="O8" s="23">
        <v>2674820.0304107442</v>
      </c>
      <c r="P8" s="23">
        <v>2700766.2066054731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1">
        <v>1.3</v>
      </c>
      <c r="B9" s="22" t="s">
        <v>61</v>
      </c>
      <c r="C9" s="23">
        <v>430286.19107655704</v>
      </c>
      <c r="D9" s="23">
        <v>469818.68595273269</v>
      </c>
      <c r="E9" s="23">
        <v>492781.867775861</v>
      </c>
      <c r="F9" s="23">
        <v>655012.74365880212</v>
      </c>
      <c r="G9" s="23">
        <v>1089809.1378114598</v>
      </c>
      <c r="H9" s="23">
        <v>1096968</v>
      </c>
      <c r="I9" s="23">
        <v>993607.39072532509</v>
      </c>
      <c r="J9" s="23">
        <v>1335104.3498238199</v>
      </c>
      <c r="K9" s="23">
        <v>1531564.7388654398</v>
      </c>
      <c r="L9" s="23">
        <v>1604809.0395048968</v>
      </c>
      <c r="M9" s="23">
        <v>1375604.0544255406</v>
      </c>
      <c r="N9" s="23">
        <v>1421223.7103148466</v>
      </c>
      <c r="O9" s="23">
        <v>1488824.4550810417</v>
      </c>
      <c r="P9" s="23">
        <v>1458008.118069442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1">
        <v>1.4</v>
      </c>
      <c r="B10" s="22" t="s">
        <v>62</v>
      </c>
      <c r="C10" s="23">
        <v>377362.80977015157</v>
      </c>
      <c r="D10" s="23">
        <v>515182.58601669472</v>
      </c>
      <c r="E10" s="23">
        <v>622837.41702740011</v>
      </c>
      <c r="F10" s="23">
        <v>704319.47847775312</v>
      </c>
      <c r="G10" s="23">
        <v>834359</v>
      </c>
      <c r="H10" s="23">
        <v>973424.03798600251</v>
      </c>
      <c r="I10" s="23">
        <v>1119044</v>
      </c>
      <c r="J10" s="23">
        <v>1147330.9326990875</v>
      </c>
      <c r="K10" s="23">
        <v>1057277.7985780002</v>
      </c>
      <c r="L10" s="23">
        <v>1067232.5885471953</v>
      </c>
      <c r="M10" s="23">
        <v>1423931.5099143444</v>
      </c>
      <c r="N10" s="23">
        <v>1611264.0994015622</v>
      </c>
      <c r="O10" s="23">
        <v>1548216.5494617939</v>
      </c>
      <c r="P10" s="23">
        <v>1768403.2773020237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4" t="s">
        <v>31</v>
      </c>
      <c r="B11" s="22" t="s">
        <v>3</v>
      </c>
      <c r="C11" s="23">
        <v>272483.20135236508</v>
      </c>
      <c r="D11" s="23">
        <v>267682.53890123434</v>
      </c>
      <c r="E11" s="23">
        <v>401835.51950063615</v>
      </c>
      <c r="F11" s="23">
        <v>645947.76981107204</v>
      </c>
      <c r="G11" s="23">
        <v>207373</v>
      </c>
      <c r="H11" s="23">
        <v>301386</v>
      </c>
      <c r="I11" s="23">
        <v>390621.76771826571</v>
      </c>
      <c r="J11" s="23">
        <v>322753.05753098172</v>
      </c>
      <c r="K11" s="23">
        <v>241090.74150615928</v>
      </c>
      <c r="L11" s="23">
        <v>242630</v>
      </c>
      <c r="M11" s="23">
        <v>278911.64537361043</v>
      </c>
      <c r="N11" s="23">
        <v>333410.88726688997</v>
      </c>
      <c r="O11" s="23">
        <v>281589.5760706634</v>
      </c>
      <c r="P11" s="23">
        <v>299377.31872592674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2" customFormat="1" ht="15.75" x14ac:dyDescent="0.25">
      <c r="A12" s="25"/>
      <c r="B12" s="26" t="s">
        <v>28</v>
      </c>
      <c r="C12" s="27">
        <f>C6+C11</f>
        <v>5110076.7587884543</v>
      </c>
      <c r="D12" s="27">
        <f t="shared" ref="D12:E12" si="3">D6+D11</f>
        <v>5304091.0935632167</v>
      </c>
      <c r="E12" s="27">
        <f t="shared" si="3"/>
        <v>5903096.5143555803</v>
      </c>
      <c r="F12" s="27">
        <f t="shared" ref="F12:M12" si="4">F6+F11</f>
        <v>6739501.8656092985</v>
      </c>
      <c r="G12" s="27">
        <f t="shared" si="4"/>
        <v>6606683.0162388263</v>
      </c>
      <c r="H12" s="27">
        <f t="shared" si="4"/>
        <v>7222366.0379860029</v>
      </c>
      <c r="I12" s="27">
        <f t="shared" si="4"/>
        <v>7866638.6276548393</v>
      </c>
      <c r="J12" s="27">
        <f t="shared" si="4"/>
        <v>8089528.1853355644</v>
      </c>
      <c r="K12" s="27">
        <f t="shared" si="4"/>
        <v>8393433.8855145965</v>
      </c>
      <c r="L12" s="27">
        <f t="shared" si="4"/>
        <v>8817532.6027760245</v>
      </c>
      <c r="M12" s="27">
        <f t="shared" si="4"/>
        <v>9216805.4923289362</v>
      </c>
      <c r="N12" s="27">
        <f t="shared" ref="N12:P12" si="5">N6+N11</f>
        <v>9589755.7250597142</v>
      </c>
      <c r="O12" s="27">
        <f t="shared" si="5"/>
        <v>9714519.1045390759</v>
      </c>
      <c r="P12" s="27">
        <f t="shared" si="5"/>
        <v>10101327.511119474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1"/>
      <c r="GI12" s="11"/>
      <c r="GJ12" s="11"/>
    </row>
    <row r="13" spans="1:193" s="1" customFormat="1" ht="15.75" x14ac:dyDescent="0.25">
      <c r="A13" s="28" t="s">
        <v>32</v>
      </c>
      <c r="B13" s="29" t="s">
        <v>4</v>
      </c>
      <c r="C13" s="30">
        <v>3420403.5387228979</v>
      </c>
      <c r="D13" s="30">
        <v>4054145.1367559633</v>
      </c>
      <c r="E13" s="30">
        <v>4069128.950495786</v>
      </c>
      <c r="F13" s="30">
        <v>4295380.5965999998</v>
      </c>
      <c r="G13" s="30">
        <v>5161951.8106351895</v>
      </c>
      <c r="H13" s="30">
        <v>6200810.9216455305</v>
      </c>
      <c r="I13" s="30">
        <v>6815443.9947392931</v>
      </c>
      <c r="J13" s="30">
        <v>6756751.3865623465</v>
      </c>
      <c r="K13" s="30">
        <v>6738146.4734105216</v>
      </c>
      <c r="L13" s="30">
        <v>6712507.0046495199</v>
      </c>
      <c r="M13" s="30">
        <v>7543048.5275803404</v>
      </c>
      <c r="N13" s="30">
        <v>7828234.405570168</v>
      </c>
      <c r="O13" s="30">
        <v>9242706.7918654177</v>
      </c>
      <c r="P13" s="30">
        <v>10225132.863559037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4" t="s">
        <v>33</v>
      </c>
      <c r="B14" s="22" t="s">
        <v>5</v>
      </c>
      <c r="C14" s="23">
        <v>467897.98699940188</v>
      </c>
      <c r="D14" s="23">
        <v>538744.55061341065</v>
      </c>
      <c r="E14" s="23">
        <v>570824.20418471599</v>
      </c>
      <c r="F14" s="23">
        <v>490186.04263222392</v>
      </c>
      <c r="G14" s="23">
        <v>609792.2695699241</v>
      </c>
      <c r="H14" s="23">
        <v>576841.64938488812</v>
      </c>
      <c r="I14" s="23">
        <v>777004.17664400383</v>
      </c>
      <c r="J14" s="23">
        <v>959636.22668993403</v>
      </c>
      <c r="K14" s="23">
        <v>1060464.5482603265</v>
      </c>
      <c r="L14" s="23">
        <v>1146647.0540550449</v>
      </c>
      <c r="M14" s="23">
        <v>1363850.4339967191</v>
      </c>
      <c r="N14" s="23">
        <v>1206302.9915266519</v>
      </c>
      <c r="O14" s="23">
        <v>1447995.1638773789</v>
      </c>
      <c r="P14" s="23">
        <v>1526237.1931519655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4" t="s">
        <v>34</v>
      </c>
      <c r="B15" s="22" t="s">
        <v>6</v>
      </c>
      <c r="C15" s="31">
        <v>5308793.6540133515</v>
      </c>
      <c r="D15" s="31">
        <v>5544176.7973459838</v>
      </c>
      <c r="E15" s="31">
        <v>6436556.4393869229</v>
      </c>
      <c r="F15" s="31">
        <v>7013905.6487827366</v>
      </c>
      <c r="G15" s="31">
        <v>7028829</v>
      </c>
      <c r="H15" s="31">
        <v>7667316</v>
      </c>
      <c r="I15" s="31">
        <v>8310947.0767526692</v>
      </c>
      <c r="J15" s="31">
        <v>9291793.8582509309</v>
      </c>
      <c r="K15" s="31">
        <v>9217355.730224954</v>
      </c>
      <c r="L15" s="31">
        <v>9035214.7163405847</v>
      </c>
      <c r="M15" s="31">
        <v>11790673.798754085</v>
      </c>
      <c r="N15" s="31">
        <v>13047107.059299428</v>
      </c>
      <c r="O15" s="31">
        <v>13648865.255188998</v>
      </c>
      <c r="P15" s="31">
        <v>14661712.23973652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2" customFormat="1" ht="15.75" x14ac:dyDescent="0.25">
      <c r="A16" s="25"/>
      <c r="B16" s="26" t="s">
        <v>29</v>
      </c>
      <c r="C16" s="27">
        <f>+C13+C14+C15</f>
        <v>9197095.1797356512</v>
      </c>
      <c r="D16" s="27">
        <f t="shared" ref="D16:E16" si="6">+D13+D14+D15</f>
        <v>10137066.484715357</v>
      </c>
      <c r="E16" s="27">
        <f t="shared" si="6"/>
        <v>11076509.594067425</v>
      </c>
      <c r="F16" s="27">
        <f t="shared" ref="F16:M16" si="7">+F13+F14+F15</f>
        <v>11799472.28801496</v>
      </c>
      <c r="G16" s="27">
        <f t="shared" si="7"/>
        <v>12800573.080205113</v>
      </c>
      <c r="H16" s="27">
        <f t="shared" si="7"/>
        <v>14444968.571030419</v>
      </c>
      <c r="I16" s="27">
        <f t="shared" si="7"/>
        <v>15903395.248135965</v>
      </c>
      <c r="J16" s="27">
        <f t="shared" si="7"/>
        <v>17008181.471503213</v>
      </c>
      <c r="K16" s="27">
        <f t="shared" si="7"/>
        <v>17015966.7518958</v>
      </c>
      <c r="L16" s="27">
        <f t="shared" si="7"/>
        <v>16894368.775045149</v>
      </c>
      <c r="M16" s="27">
        <f t="shared" si="7"/>
        <v>20697572.760331146</v>
      </c>
      <c r="N16" s="27">
        <f t="shared" ref="N16:O16" si="8">+N13+N14+N15</f>
        <v>22081644.456396248</v>
      </c>
      <c r="O16" s="27">
        <f t="shared" si="8"/>
        <v>24339567.210931793</v>
      </c>
      <c r="P16" s="27">
        <f t="shared" ref="P16" si="9">+P13+P14+P15</f>
        <v>26413082.296447523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0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0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0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1"/>
      <c r="GI16" s="11"/>
      <c r="GJ16" s="11"/>
    </row>
    <row r="17" spans="1:193" s="11" customFormat="1" ht="15.75" x14ac:dyDescent="0.25">
      <c r="A17" s="18" t="s">
        <v>35</v>
      </c>
      <c r="B17" s="19" t="s">
        <v>7</v>
      </c>
      <c r="C17" s="20">
        <f>C18+C19</f>
        <v>5321692</v>
      </c>
      <c r="D17" s="20">
        <f t="shared" ref="D17:E17" si="10">D18+D19</f>
        <v>6502369</v>
      </c>
      <c r="E17" s="20">
        <f t="shared" si="10"/>
        <v>7368354.6537317866</v>
      </c>
      <c r="F17" s="20">
        <f t="shared" ref="F17:K17" si="11">F18+F19</f>
        <v>8399611.625298338</v>
      </c>
      <c r="G17" s="20">
        <f t="shared" si="11"/>
        <v>9410509.739069432</v>
      </c>
      <c r="H17" s="20">
        <f t="shared" si="11"/>
        <v>10329662.9</v>
      </c>
      <c r="I17" s="20">
        <f t="shared" si="11"/>
        <v>11943171.4878</v>
      </c>
      <c r="J17" s="20">
        <f t="shared" si="11"/>
        <v>13969141.053352276</v>
      </c>
      <c r="K17" s="20">
        <f t="shared" si="11"/>
        <v>15210847.706757067</v>
      </c>
      <c r="L17" s="20">
        <f t="shared" ref="L17:M17" si="12">L18+L19</f>
        <v>11816394.698970845</v>
      </c>
      <c r="M17" s="20">
        <f t="shared" si="12"/>
        <v>14936081.230835121</v>
      </c>
      <c r="N17" s="20">
        <f t="shared" ref="N17:O17" si="13">N18+N19</f>
        <v>18733490.294794712</v>
      </c>
      <c r="O17" s="20">
        <f t="shared" si="13"/>
        <v>20453768.617416102</v>
      </c>
      <c r="P17" s="20">
        <f t="shared" ref="P17" si="14">P18+P19</f>
        <v>23962036.406037342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K17" s="12"/>
    </row>
    <row r="18" spans="1:193" ht="15.75" x14ac:dyDescent="0.25">
      <c r="A18" s="21">
        <v>6.1</v>
      </c>
      <c r="B18" s="22" t="s">
        <v>8</v>
      </c>
      <c r="C18" s="31">
        <v>4732163</v>
      </c>
      <c r="D18" s="31">
        <v>5849587</v>
      </c>
      <c r="E18" s="31">
        <v>6657208.7737480002</v>
      </c>
      <c r="F18" s="31">
        <v>7656876.7040436072</v>
      </c>
      <c r="G18" s="31">
        <v>8600466.5617181994</v>
      </c>
      <c r="H18" s="31">
        <v>9394721.9000000004</v>
      </c>
      <c r="I18" s="31">
        <v>10911627.4878</v>
      </c>
      <c r="J18" s="31">
        <v>12846878.936718753</v>
      </c>
      <c r="K18" s="31">
        <v>13966301.850380527</v>
      </c>
      <c r="L18" s="31">
        <v>11235590.884427899</v>
      </c>
      <c r="M18" s="31">
        <v>14041908.751940696</v>
      </c>
      <c r="N18" s="31">
        <v>17028946.62585637</v>
      </c>
      <c r="O18" s="31">
        <v>18430681.509045746</v>
      </c>
      <c r="P18" s="31">
        <v>21546579.393789776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1">
        <v>6.2</v>
      </c>
      <c r="B19" s="22" t="s">
        <v>9</v>
      </c>
      <c r="C19" s="23">
        <v>589529</v>
      </c>
      <c r="D19" s="23">
        <v>652782</v>
      </c>
      <c r="E19" s="23">
        <v>711145.87998378638</v>
      </c>
      <c r="F19" s="23">
        <v>742734.92125473125</v>
      </c>
      <c r="G19" s="23">
        <v>810043.17735123343</v>
      </c>
      <c r="H19" s="23">
        <v>934941</v>
      </c>
      <c r="I19" s="23">
        <v>1031544</v>
      </c>
      <c r="J19" s="23">
        <v>1122262.1166335237</v>
      </c>
      <c r="K19" s="23">
        <v>1244545.8563765397</v>
      </c>
      <c r="L19" s="23">
        <v>580803.81454294501</v>
      </c>
      <c r="M19" s="23">
        <v>894172.47889442462</v>
      </c>
      <c r="N19" s="23">
        <v>1704543.6689383429</v>
      </c>
      <c r="O19" s="23">
        <v>2023087.1083703572</v>
      </c>
      <c r="P19" s="23">
        <v>2415457.0122475647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1" customFormat="1" ht="30" x14ac:dyDescent="0.25">
      <c r="A20" s="32" t="s">
        <v>36</v>
      </c>
      <c r="B20" s="33" t="s">
        <v>10</v>
      </c>
      <c r="C20" s="20">
        <f>SUM(C21:C27)</f>
        <v>2797969.0205678376</v>
      </c>
      <c r="D20" s="20">
        <f t="shared" ref="D20:E20" si="15">SUM(D21:D27)</f>
        <v>3110217.0202982472</v>
      </c>
      <c r="E20" s="20">
        <f t="shared" si="15"/>
        <v>3608615.1169770863</v>
      </c>
      <c r="F20" s="20">
        <f t="shared" ref="F20:M20" si="16">SUM(F21:F27)</f>
        <v>3890330.4752606302</v>
      </c>
      <c r="G20" s="20">
        <f t="shared" si="16"/>
        <v>4137765.0324344002</v>
      </c>
      <c r="H20" s="20">
        <f t="shared" si="16"/>
        <v>4397273.0895999996</v>
      </c>
      <c r="I20" s="20">
        <f t="shared" si="16"/>
        <v>4444449.8423999995</v>
      </c>
      <c r="J20" s="20">
        <f t="shared" si="16"/>
        <v>4735034.6749144318</v>
      </c>
      <c r="K20" s="20">
        <f t="shared" si="16"/>
        <v>5003562.9927332047</v>
      </c>
      <c r="L20" s="20">
        <f t="shared" si="16"/>
        <v>4227210.2051750552</v>
      </c>
      <c r="M20" s="20">
        <f t="shared" si="16"/>
        <v>5821882.1194666186</v>
      </c>
      <c r="N20" s="20">
        <f t="shared" ref="N20:P20" si="17">SUM(N21:N27)</f>
        <v>6580495.7984987013</v>
      </c>
      <c r="O20" s="20">
        <f t="shared" si="17"/>
        <v>7074965.7893721387</v>
      </c>
      <c r="P20" s="20">
        <f t="shared" si="17"/>
        <v>7630421.0707266424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K20" s="12"/>
    </row>
    <row r="21" spans="1:193" ht="15.75" x14ac:dyDescent="0.25">
      <c r="A21" s="21">
        <v>7.1</v>
      </c>
      <c r="B21" s="22" t="s">
        <v>11</v>
      </c>
      <c r="C21" s="23">
        <v>98139.54</v>
      </c>
      <c r="D21" s="23">
        <v>119547.73000000001</v>
      </c>
      <c r="E21" s="23">
        <v>126961.93000000001</v>
      </c>
      <c r="F21" s="23">
        <v>150752</v>
      </c>
      <c r="G21" s="23">
        <v>169675</v>
      </c>
      <c r="H21" s="23">
        <v>184701</v>
      </c>
      <c r="I21" s="23">
        <v>200700</v>
      </c>
      <c r="J21" s="23">
        <v>213233</v>
      </c>
      <c r="K21" s="23">
        <v>223357</v>
      </c>
      <c r="L21" s="23">
        <v>128449</v>
      </c>
      <c r="M21" s="23">
        <v>193658.41538450404</v>
      </c>
      <c r="N21" s="23">
        <v>236581.62988168266</v>
      </c>
      <c r="O21" s="23">
        <v>250451.91586905526</v>
      </c>
      <c r="P21" s="23">
        <v>268104.45605222875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1">
        <v>7.2</v>
      </c>
      <c r="B22" s="22" t="s">
        <v>12</v>
      </c>
      <c r="C22" s="34">
        <v>2001208</v>
      </c>
      <c r="D22" s="34">
        <v>2237489</v>
      </c>
      <c r="E22" s="34">
        <v>2591554.3503179024</v>
      </c>
      <c r="F22" s="34">
        <v>2715969.9236368393</v>
      </c>
      <c r="G22" s="34">
        <v>2754527.068</v>
      </c>
      <c r="H22" s="34">
        <v>2900482.4907999998</v>
      </c>
      <c r="I22" s="34">
        <v>2871505.5525000002</v>
      </c>
      <c r="J22" s="34">
        <v>3095287.772213906</v>
      </c>
      <c r="K22" s="34">
        <v>3144015.0679074544</v>
      </c>
      <c r="L22" s="34">
        <v>2517525.2040628702</v>
      </c>
      <c r="M22" s="34">
        <v>3765950.2580866874</v>
      </c>
      <c r="N22" s="34">
        <v>4140095.2907314729</v>
      </c>
      <c r="O22" s="34">
        <v>4313175.3601044808</v>
      </c>
      <c r="P22" s="34">
        <v>4526862.8077902803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1">
        <v>7.3</v>
      </c>
      <c r="B23" s="22" t="s">
        <v>13</v>
      </c>
      <c r="C23" s="23">
        <v>28281</v>
      </c>
      <c r="D23" s="23">
        <v>24400</v>
      </c>
      <c r="E23" s="23">
        <v>20105.338442111999</v>
      </c>
      <c r="F23" s="23">
        <v>24841.922327877419</v>
      </c>
      <c r="G23" s="23">
        <v>21537.198</v>
      </c>
      <c r="H23" s="23">
        <v>30392.4532</v>
      </c>
      <c r="I23" s="23">
        <v>35915.561999999998</v>
      </c>
      <c r="J23" s="23">
        <v>45943.494178377216</v>
      </c>
      <c r="K23" s="23">
        <v>46222.482770742768</v>
      </c>
      <c r="L23" s="23">
        <v>47984.55456330462</v>
      </c>
      <c r="M23" s="23">
        <v>73096.811912683945</v>
      </c>
      <c r="N23" s="23">
        <v>76256.87439573204</v>
      </c>
      <c r="O23" s="23">
        <v>77348.075781871026</v>
      </c>
      <c r="P23" s="23">
        <v>81902.576206621336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1">
        <v>7.4</v>
      </c>
      <c r="B24" s="22" t="s">
        <v>14</v>
      </c>
      <c r="C24" s="23">
        <v>26891</v>
      </c>
      <c r="D24" s="23">
        <v>52009</v>
      </c>
      <c r="E24" s="23">
        <v>42831.277517951996</v>
      </c>
      <c r="F24" s="23">
        <v>72886.873033336189</v>
      </c>
      <c r="G24" s="23">
        <v>122926.592</v>
      </c>
      <c r="H24" s="23">
        <v>129954.65240000001</v>
      </c>
      <c r="I24" s="23">
        <v>129632.67</v>
      </c>
      <c r="J24" s="23">
        <v>66961.015062735678</v>
      </c>
      <c r="K24" s="23">
        <v>121170.60109596826</v>
      </c>
      <c r="L24" s="23">
        <v>44911.826980729355</v>
      </c>
      <c r="M24" s="23">
        <v>55282.68289311968</v>
      </c>
      <c r="N24" s="23">
        <v>91636.68924855144</v>
      </c>
      <c r="O24" s="23">
        <v>169471.83588757092</v>
      </c>
      <c r="P24" s="23">
        <v>253137.44543622585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1">
        <v>7.5</v>
      </c>
      <c r="B25" s="22" t="s">
        <v>15</v>
      </c>
      <c r="C25" s="23">
        <v>61793</v>
      </c>
      <c r="D25" s="23">
        <v>59010</v>
      </c>
      <c r="E25" s="23">
        <v>69439.630641919983</v>
      </c>
      <c r="F25" s="23">
        <v>76288.984015046532</v>
      </c>
      <c r="G25" s="23">
        <v>83761.686000000002</v>
      </c>
      <c r="H25" s="23">
        <v>136620.4932</v>
      </c>
      <c r="I25" s="23">
        <v>151608.05790000001</v>
      </c>
      <c r="J25" s="23">
        <v>161930.31088095848</v>
      </c>
      <c r="K25" s="23">
        <v>162295.78387693368</v>
      </c>
      <c r="L25" s="23">
        <v>115990.83372320408</v>
      </c>
      <c r="M25" s="23">
        <v>155102.81064853579</v>
      </c>
      <c r="N25" s="23">
        <v>178641.89353798699</v>
      </c>
      <c r="O25" s="23">
        <v>209853.60022445634</v>
      </c>
      <c r="P25" s="23">
        <v>222746.16099940601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1">
        <v>7.6</v>
      </c>
      <c r="B26" s="22" t="s">
        <v>16</v>
      </c>
      <c r="C26" s="31">
        <v>3316.6514949458247</v>
      </c>
      <c r="D26" s="31">
        <v>3736.0835459076179</v>
      </c>
      <c r="E26" s="31">
        <v>2877.0578999999998</v>
      </c>
      <c r="F26" s="31">
        <v>3040.7722475305382</v>
      </c>
      <c r="G26" s="31">
        <v>3327.0895</v>
      </c>
      <c r="H26" s="31">
        <v>5061</v>
      </c>
      <c r="I26" s="31">
        <v>6171</v>
      </c>
      <c r="J26" s="31">
        <v>11378.996143500535</v>
      </c>
      <c r="K26" s="31">
        <v>11802.872334285297</v>
      </c>
      <c r="L26" s="31">
        <v>12910.297488861799</v>
      </c>
      <c r="M26" s="31">
        <v>13451.672898824021</v>
      </c>
      <c r="N26" s="31">
        <v>14179.049572153972</v>
      </c>
      <c r="O26" s="31">
        <v>17509.849757932436</v>
      </c>
      <c r="P26" s="31">
        <v>19810.626021821874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1">
        <v>7.7</v>
      </c>
      <c r="B27" s="22" t="s">
        <v>17</v>
      </c>
      <c r="C27" s="31">
        <v>578339.82907289173</v>
      </c>
      <c r="D27" s="31">
        <v>614025.20675234008</v>
      </c>
      <c r="E27" s="31">
        <v>754845.53215720004</v>
      </c>
      <c r="F27" s="31">
        <v>846550</v>
      </c>
      <c r="G27" s="31">
        <v>982010.39893439994</v>
      </c>
      <c r="H27" s="31">
        <v>1010061</v>
      </c>
      <c r="I27" s="31">
        <v>1048917</v>
      </c>
      <c r="J27" s="31">
        <v>1140300.0864349536</v>
      </c>
      <c r="K27" s="31">
        <v>1294699.1847478203</v>
      </c>
      <c r="L27" s="31">
        <v>1359438.4883560855</v>
      </c>
      <c r="M27" s="31">
        <v>1565339.4676422633</v>
      </c>
      <c r="N27" s="31">
        <v>1843104.3711311216</v>
      </c>
      <c r="O27" s="31">
        <v>2037155.1517467725</v>
      </c>
      <c r="P27" s="31">
        <v>2257856.9982200572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4" t="s">
        <v>37</v>
      </c>
      <c r="B28" s="22" t="s">
        <v>18</v>
      </c>
      <c r="C28" s="31">
        <v>1430847.6360385877</v>
      </c>
      <c r="D28" s="31">
        <v>1629698.1934752641</v>
      </c>
      <c r="E28" s="31">
        <v>1853055.4621963154</v>
      </c>
      <c r="F28" s="31">
        <v>2083412.2952706215</v>
      </c>
      <c r="G28" s="31">
        <v>2233509.707387716</v>
      </c>
      <c r="H28" s="31">
        <v>2342845.3306237506</v>
      </c>
      <c r="I28" s="31">
        <v>2541583.4728945158</v>
      </c>
      <c r="J28" s="31">
        <v>3255543.0950028882</v>
      </c>
      <c r="K28" s="31">
        <v>3482866</v>
      </c>
      <c r="L28" s="31">
        <v>3622028.8696779367</v>
      </c>
      <c r="M28" s="31">
        <v>4025381.0707273479</v>
      </c>
      <c r="N28" s="31">
        <v>4646199.0171962315</v>
      </c>
      <c r="O28" s="31">
        <v>5164301.078050293</v>
      </c>
      <c r="P28" s="31">
        <v>5813449.7254642611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4" t="s">
        <v>38</v>
      </c>
      <c r="B29" s="22" t="s">
        <v>19</v>
      </c>
      <c r="C29" s="31">
        <v>4220948.1398907667</v>
      </c>
      <c r="D29" s="31">
        <v>5223391.3255815636</v>
      </c>
      <c r="E29" s="31">
        <v>6190741.5546269808</v>
      </c>
      <c r="F29" s="31">
        <v>7131836.5724079553</v>
      </c>
      <c r="G29" s="31">
        <v>7824713.9031770388</v>
      </c>
      <c r="H29" s="31">
        <v>8875742</v>
      </c>
      <c r="I29" s="31">
        <v>9974268</v>
      </c>
      <c r="J29" s="31">
        <v>11481716.791207759</v>
      </c>
      <c r="K29" s="31">
        <v>11961034.717410002</v>
      </c>
      <c r="L29" s="31">
        <v>12457582.0055157</v>
      </c>
      <c r="M29" s="31">
        <v>14337511.407944497</v>
      </c>
      <c r="N29" s="31">
        <v>15879247.342187462</v>
      </c>
      <c r="O29" s="31">
        <v>17761117.035717532</v>
      </c>
      <c r="P29" s="31">
        <v>19648599.894994635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4" t="s">
        <v>39</v>
      </c>
      <c r="B30" s="22" t="s">
        <v>54</v>
      </c>
      <c r="C30" s="31">
        <v>1585584.8375022381</v>
      </c>
      <c r="D30" s="31">
        <v>1718356.5706458085</v>
      </c>
      <c r="E30" s="31">
        <v>1874509</v>
      </c>
      <c r="F30" s="31">
        <v>1746538.1732212815</v>
      </c>
      <c r="G30" s="31">
        <v>1849345.6521598322</v>
      </c>
      <c r="H30" s="31">
        <v>2176900</v>
      </c>
      <c r="I30" s="31">
        <v>2600244.2883390593</v>
      </c>
      <c r="J30" s="31">
        <v>2678873.2340035611</v>
      </c>
      <c r="K30" s="31">
        <v>2674444.5461733984</v>
      </c>
      <c r="L30" s="31">
        <v>2473760.1011940669</v>
      </c>
      <c r="M30" s="31">
        <v>3904513.3710881467</v>
      </c>
      <c r="N30" s="31">
        <v>4445733.6373172533</v>
      </c>
      <c r="O30" s="31">
        <v>4566451.0823609242</v>
      </c>
      <c r="P30" s="31">
        <v>4754269.3665624429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4" t="s">
        <v>40</v>
      </c>
      <c r="B31" s="22" t="s">
        <v>20</v>
      </c>
      <c r="C31" s="31">
        <v>3965096.2850987329</v>
      </c>
      <c r="D31" s="31">
        <v>4503097.6683186414</v>
      </c>
      <c r="E31" s="31">
        <v>5035147.432869982</v>
      </c>
      <c r="F31" s="31">
        <v>5390216.3126051072</v>
      </c>
      <c r="G31" s="31">
        <v>6050637.9977922225</v>
      </c>
      <c r="H31" s="31">
        <v>7235061</v>
      </c>
      <c r="I31" s="31">
        <v>8214638.1600000001</v>
      </c>
      <c r="J31" s="31">
        <v>8400230.8264853824</v>
      </c>
      <c r="K31" s="31">
        <v>9277137.451795835</v>
      </c>
      <c r="L31" s="31">
        <v>8270457.2940113908</v>
      </c>
      <c r="M31" s="31">
        <v>9363454.4864652529</v>
      </c>
      <c r="N31" s="31">
        <v>10890392.756777612</v>
      </c>
      <c r="O31" s="31">
        <v>12304570.594624624</v>
      </c>
      <c r="P31" s="31">
        <v>13271839.391051982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2" customFormat="1" ht="15.75" x14ac:dyDescent="0.25">
      <c r="A32" s="25"/>
      <c r="B32" s="26" t="s">
        <v>30</v>
      </c>
      <c r="C32" s="27">
        <f>C17+C20+C28+C29+C30+C31</f>
        <v>19322137.919098161</v>
      </c>
      <c r="D32" s="27">
        <f t="shared" ref="D32:E32" si="18">D17+D20+D28+D29+D30+D31</f>
        <v>22687129.778319523</v>
      </c>
      <c r="E32" s="27">
        <f t="shared" si="18"/>
        <v>25930423.220402151</v>
      </c>
      <c r="F32" s="27">
        <f t="shared" ref="F32:G32" si="19">F17+F20+F28+F29+F30+F31</f>
        <v>28641945.454063937</v>
      </c>
      <c r="G32" s="27">
        <f t="shared" si="19"/>
        <v>31506482.03202064</v>
      </c>
      <c r="H32" s="27">
        <f t="shared" ref="H32:J32" si="20">H17+H20+H28+H29+H30+H31</f>
        <v>35357484.320223749</v>
      </c>
      <c r="I32" s="27">
        <f t="shared" si="20"/>
        <v>39718355.251433574</v>
      </c>
      <c r="J32" s="27">
        <f t="shared" si="20"/>
        <v>44520539.674966298</v>
      </c>
      <c r="K32" s="27">
        <f t="shared" ref="K32:L32" si="21">K17+K20+K28+K29+K30+K31</f>
        <v>47609893.414869517</v>
      </c>
      <c r="L32" s="27">
        <f t="shared" si="21"/>
        <v>42867433.174544998</v>
      </c>
      <c r="M32" s="27">
        <f t="shared" ref="M32" si="22">M17+M20+M28+M29+M30+M31</f>
        <v>52388823.686526984</v>
      </c>
      <c r="N32" s="27">
        <f t="shared" ref="N32:O32" si="23">N17+N20+N28+N29+N30+N31</f>
        <v>61175558.846771978</v>
      </c>
      <c r="O32" s="27">
        <f t="shared" si="23"/>
        <v>67325174.197541609</v>
      </c>
      <c r="P32" s="27">
        <f t="shared" ref="P32" si="24">P17+P20+P28+P29+P30+P31</f>
        <v>75080615.854837298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1"/>
      <c r="GI32" s="11"/>
      <c r="GJ32" s="11"/>
    </row>
    <row r="33" spans="1:193" s="11" customFormat="1" ht="15.75" x14ac:dyDescent="0.25">
      <c r="A33" s="18" t="s">
        <v>27</v>
      </c>
      <c r="B33" s="35" t="s">
        <v>41</v>
      </c>
      <c r="C33" s="20">
        <f t="shared" ref="C33:H33" si="25">C6+C11+C13+C14+C15+C17+C20+C28+C29+C30+C31</f>
        <v>33629309.857622266</v>
      </c>
      <c r="D33" s="20">
        <f t="shared" si="25"/>
        <v>38128287.356598102</v>
      </c>
      <c r="E33" s="20">
        <f t="shared" si="25"/>
        <v>42910029.328825161</v>
      </c>
      <c r="F33" s="20">
        <f t="shared" si="25"/>
        <v>47180919.607688189</v>
      </c>
      <c r="G33" s="20">
        <f t="shared" si="25"/>
        <v>50913738.12846458</v>
      </c>
      <c r="H33" s="20">
        <f t="shared" si="25"/>
        <v>57024818.929240167</v>
      </c>
      <c r="I33" s="20">
        <f t="shared" ref="I33:J33" si="26">I6+I11+I13+I14+I15+I17+I20+I28+I29+I30+I31</f>
        <v>63488389.127224386</v>
      </c>
      <c r="J33" s="20">
        <f t="shared" si="26"/>
        <v>69618249.33180508</v>
      </c>
      <c r="K33" s="20">
        <f t="shared" ref="K33:L33" si="27">K6+K11+K13+K14+K15+K17+K20+K28+K29+K30+K31</f>
        <v>73019294.052279919</v>
      </c>
      <c r="L33" s="20">
        <f t="shared" si="27"/>
        <v>68579334.552366167</v>
      </c>
      <c r="M33" s="20">
        <f t="shared" ref="M33" si="28">M6+M11+M13+M14+M15+M17+M20+M28+M29+M30+M31</f>
        <v>82303201.93918708</v>
      </c>
      <c r="N33" s="20">
        <f t="shared" ref="N33:O33" si="29">N6+N11+N13+N14+N15+N17+N20+N28+N29+N30+N31</f>
        <v>92846959.02822794</v>
      </c>
      <c r="O33" s="20">
        <f t="shared" si="29"/>
        <v>101379260.51301248</v>
      </c>
      <c r="P33" s="20">
        <f t="shared" ref="P33" si="30">P6+P11+P13+P14+P15+P17+P20+P28+P29+P30+P31</f>
        <v>111595025.6624043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K33" s="12"/>
    </row>
    <row r="34" spans="1:193" ht="15.75" x14ac:dyDescent="0.25">
      <c r="A34" s="36" t="s">
        <v>43</v>
      </c>
      <c r="B34" s="37" t="s">
        <v>25</v>
      </c>
      <c r="C34" s="31">
        <v>3407148</v>
      </c>
      <c r="D34" s="31">
        <v>3997082</v>
      </c>
      <c r="E34" s="31">
        <v>4455259.4984515188</v>
      </c>
      <c r="F34" s="31">
        <v>4890426</v>
      </c>
      <c r="G34" s="31">
        <v>6001213</v>
      </c>
      <c r="H34" s="31">
        <v>7010436</v>
      </c>
      <c r="I34" s="31">
        <v>7351739</v>
      </c>
      <c r="J34" s="31">
        <v>9729215</v>
      </c>
      <c r="K34" s="31">
        <v>8792102</v>
      </c>
      <c r="L34" s="31">
        <v>9944871.4005925562</v>
      </c>
      <c r="M34" s="31">
        <v>11598593.006618697</v>
      </c>
      <c r="N34" s="31">
        <v>12115742.446436426</v>
      </c>
      <c r="O34" s="31">
        <v>12945928.679274887</v>
      </c>
      <c r="P34" s="31">
        <v>14274542.238665074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15.75" x14ac:dyDescent="0.25">
      <c r="A35" s="36" t="s">
        <v>44</v>
      </c>
      <c r="B35" s="37" t="s">
        <v>24</v>
      </c>
      <c r="C35" s="31">
        <v>631670</v>
      </c>
      <c r="D35" s="31">
        <v>894069</v>
      </c>
      <c r="E35" s="31">
        <v>861168</v>
      </c>
      <c r="F35" s="31">
        <v>814941</v>
      </c>
      <c r="G35" s="31">
        <v>715590</v>
      </c>
      <c r="H35" s="31">
        <v>546615</v>
      </c>
      <c r="I35" s="31">
        <v>681302</v>
      </c>
      <c r="J35" s="31">
        <v>518906.00000000006</v>
      </c>
      <c r="K35" s="31">
        <v>517933</v>
      </c>
      <c r="L35" s="31">
        <v>1351817</v>
      </c>
      <c r="M35" s="31">
        <v>1455253</v>
      </c>
      <c r="N35" s="31">
        <v>1089295</v>
      </c>
      <c r="O35" s="31">
        <v>788033</v>
      </c>
      <c r="P35" s="31">
        <v>1016266.9310471915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12" customFormat="1" ht="15.75" x14ac:dyDescent="0.25">
      <c r="A36" s="38" t="s">
        <v>45</v>
      </c>
      <c r="B36" s="39" t="s">
        <v>55</v>
      </c>
      <c r="C36" s="27">
        <f>C33+C34-C35</f>
        <v>36404787.857622266</v>
      </c>
      <c r="D36" s="27">
        <f t="shared" ref="D36:E36" si="31">D33+D34-D35</f>
        <v>41231300.356598102</v>
      </c>
      <c r="E36" s="27">
        <f t="shared" si="31"/>
        <v>46504120.827276677</v>
      </c>
      <c r="F36" s="27">
        <f t="shared" ref="F36:M36" si="32">F33+F34-F35</f>
        <v>51256404.607688189</v>
      </c>
      <c r="G36" s="27">
        <f t="shared" si="32"/>
        <v>56199361.12846458</v>
      </c>
      <c r="H36" s="27">
        <f t="shared" si="32"/>
        <v>63488639.929240167</v>
      </c>
      <c r="I36" s="27">
        <f t="shared" si="32"/>
        <v>70158826.127224386</v>
      </c>
      <c r="J36" s="27">
        <f t="shared" si="32"/>
        <v>78828558.33180508</v>
      </c>
      <c r="K36" s="27">
        <f t="shared" si="32"/>
        <v>81293463.052279919</v>
      </c>
      <c r="L36" s="27">
        <f t="shared" si="32"/>
        <v>77172388.952958718</v>
      </c>
      <c r="M36" s="27">
        <f t="shared" si="32"/>
        <v>92446541.945805773</v>
      </c>
      <c r="N36" s="27">
        <f t="shared" ref="N36:P36" si="33">N33+N34-N35</f>
        <v>103873406.47466436</v>
      </c>
      <c r="O36" s="27">
        <f t="shared" si="33"/>
        <v>113537156.19228737</v>
      </c>
      <c r="P36" s="27">
        <f t="shared" si="33"/>
        <v>124853300.97002219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</row>
    <row r="37" spans="1:193" ht="15.75" x14ac:dyDescent="0.25">
      <c r="A37" s="36" t="s">
        <v>46</v>
      </c>
      <c r="B37" s="37" t="s">
        <v>42</v>
      </c>
      <c r="C37" s="31">
        <v>335014.83</v>
      </c>
      <c r="D37" s="31">
        <v>336661.74</v>
      </c>
      <c r="E37" s="31">
        <v>338173.86535729998</v>
      </c>
      <c r="F37" s="31">
        <v>339842.743309749</v>
      </c>
      <c r="G37" s="31">
        <v>341525</v>
      </c>
      <c r="H37" s="31">
        <v>343221</v>
      </c>
      <c r="I37" s="31">
        <v>344932</v>
      </c>
      <c r="J37" s="31">
        <v>346656</v>
      </c>
      <c r="K37" s="31">
        <v>348394</v>
      </c>
      <c r="L37" s="31">
        <v>350147</v>
      </c>
      <c r="M37" s="31">
        <v>355730</v>
      </c>
      <c r="N37" s="31">
        <v>357160</v>
      </c>
      <c r="O37" s="31">
        <v>358600</v>
      </c>
      <c r="P37" s="31">
        <v>360393</v>
      </c>
      <c r="Y37" s="1"/>
      <c r="Z37" s="1"/>
      <c r="AA37" s="1"/>
      <c r="AB37" s="1"/>
    </row>
    <row r="38" spans="1:193" s="12" customFormat="1" ht="15.75" x14ac:dyDescent="0.25">
      <c r="A38" s="38" t="s">
        <v>47</v>
      </c>
      <c r="B38" s="39" t="s">
        <v>58</v>
      </c>
      <c r="C38" s="27">
        <f>C36/C37*1000</f>
        <v>108666.19802359873</v>
      </c>
      <c r="D38" s="27">
        <f t="shared" ref="D38:E38" si="34">D36/D37*1000</f>
        <v>122471.00117939776</v>
      </c>
      <c r="E38" s="27">
        <f t="shared" si="34"/>
        <v>137515.41911183001</v>
      </c>
      <c r="F38" s="27">
        <f t="shared" ref="F38:M38" si="35">F36/F37*1000</f>
        <v>150823.89021610105</v>
      </c>
      <c r="G38" s="27">
        <f t="shared" si="35"/>
        <v>164554.16478578313</v>
      </c>
      <c r="H38" s="27">
        <f t="shared" si="35"/>
        <v>184978.89094560113</v>
      </c>
      <c r="I38" s="27">
        <f t="shared" si="35"/>
        <v>203399.00654976745</v>
      </c>
      <c r="J38" s="27">
        <f t="shared" si="35"/>
        <v>227397.06894386676</v>
      </c>
      <c r="K38" s="27">
        <f t="shared" si="35"/>
        <v>233337.72410627027</v>
      </c>
      <c r="L38" s="27">
        <f t="shared" si="35"/>
        <v>220399.97187740784</v>
      </c>
      <c r="M38" s="27">
        <f t="shared" si="35"/>
        <v>259878.39638435264</v>
      </c>
      <c r="N38" s="27">
        <f t="shared" ref="N38:P38" si="36">N36/N37*1000</f>
        <v>290831.57821330597</v>
      </c>
      <c r="O38" s="27">
        <f t="shared" si="36"/>
        <v>316612.25932037755</v>
      </c>
      <c r="P38" s="27">
        <f t="shared" si="36"/>
        <v>346436.53170295258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CC38" s="13"/>
      <c r="CD38" s="13"/>
      <c r="CE38" s="13"/>
      <c r="CF38" s="13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</row>
    <row r="39" spans="1:193" x14ac:dyDescent="0.25">
      <c r="A39" s="2" t="s">
        <v>75</v>
      </c>
      <c r="C39" s="9"/>
      <c r="D39" s="9"/>
      <c r="E39" s="9"/>
      <c r="F39" s="9"/>
    </row>
  </sheetData>
  <sheetProtection formatColumns="0" formatRows="0"/>
  <pageMargins left="0.70866141732283472" right="0.70866141732283472" top="0.74803149606299213" bottom="0.74803149606299213" header="0.31496062992125984" footer="0.31496062992125984"/>
  <pageSetup paperSize="9" scale="65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V39"/>
  <sheetViews>
    <sheetView zoomScale="62" zoomScaleNormal="62" zoomScaleSheetLayoutView="100" workbookViewId="0">
      <pane xSplit="2" ySplit="5" topLeftCell="C6" activePane="bottomRight" state="frozen"/>
      <selection activeCell="A5" sqref="A5:P38"/>
      <selection pane="topRight" activeCell="A5" sqref="A5:P38"/>
      <selection pane="bottomLeft" activeCell="A5" sqref="A5:P38"/>
      <selection pane="bottomRight" activeCell="A5" sqref="A5:P38"/>
    </sheetView>
  </sheetViews>
  <sheetFormatPr defaultColWidth="8.85546875" defaultRowHeight="15" x14ac:dyDescent="0.25"/>
  <cols>
    <col min="1" max="1" width="11" style="2" customWidth="1"/>
    <col min="2" max="2" width="23.7109375" style="2" customWidth="1"/>
    <col min="3" max="6" width="11.14062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89" width="9.140625" style="2"/>
    <col min="190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49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4" t="s">
        <v>0</v>
      </c>
      <c r="B5" s="15" t="s">
        <v>1</v>
      </c>
      <c r="C5" s="16" t="s">
        <v>21</v>
      </c>
      <c r="D5" s="16" t="s">
        <v>22</v>
      </c>
      <c r="E5" s="16" t="s">
        <v>23</v>
      </c>
      <c r="F5" s="16" t="s">
        <v>56</v>
      </c>
      <c r="G5" s="17" t="s">
        <v>65</v>
      </c>
      <c r="H5" s="17" t="s">
        <v>67</v>
      </c>
      <c r="I5" s="17" t="s">
        <v>68</v>
      </c>
      <c r="J5" s="17" t="s">
        <v>69</v>
      </c>
      <c r="K5" s="17" t="s">
        <v>70</v>
      </c>
      <c r="L5" s="17" t="s">
        <v>71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3" s="11" customFormat="1" ht="30" x14ac:dyDescent="0.25">
      <c r="A6" s="18" t="s">
        <v>26</v>
      </c>
      <c r="B6" s="19" t="s">
        <v>2</v>
      </c>
      <c r="C6" s="20">
        <f>SUM(C7:C10)</f>
        <v>4837593.557436089</v>
      </c>
      <c r="D6" s="20">
        <f t="shared" ref="D6:F6" si="0">SUM(D7:D10)</f>
        <v>4906807.2332517561</v>
      </c>
      <c r="E6" s="20">
        <f t="shared" si="0"/>
        <v>4597158.9533944698</v>
      </c>
      <c r="F6" s="20">
        <f t="shared" si="0"/>
        <v>4598265.0951404897</v>
      </c>
      <c r="G6" s="20">
        <f t="shared" ref="G6:M6" si="1">SUM(G7:G10)</f>
        <v>4363784.605828641</v>
      </c>
      <c r="H6" s="20">
        <f t="shared" si="1"/>
        <v>4335471.7415874563</v>
      </c>
      <c r="I6" s="20">
        <f t="shared" si="1"/>
        <v>4426954.3314247765</v>
      </c>
      <c r="J6" s="20">
        <f t="shared" si="1"/>
        <v>4334270.6225270107</v>
      </c>
      <c r="K6" s="20">
        <f t="shared" si="1"/>
        <v>4223374.3044777606</v>
      </c>
      <c r="L6" s="20">
        <f t="shared" si="1"/>
        <v>4289941.5051970137</v>
      </c>
      <c r="M6" s="20">
        <f t="shared" si="1"/>
        <v>4466501.6957112513</v>
      </c>
      <c r="N6" s="20">
        <f t="shared" ref="N6:P6" si="2">SUM(N7:N10)</f>
        <v>4473112.5295579527</v>
      </c>
      <c r="O6" s="20">
        <f t="shared" si="2"/>
        <v>4529068.4636435211</v>
      </c>
      <c r="P6" s="20">
        <f t="shared" si="2"/>
        <v>4626148.1878109928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K6" s="12"/>
    </row>
    <row r="7" spans="1:193" ht="15.75" x14ac:dyDescent="0.25">
      <c r="A7" s="21">
        <v>1.1000000000000001</v>
      </c>
      <c r="B7" s="22" t="s">
        <v>59</v>
      </c>
      <c r="C7" s="23">
        <v>2904593.3658975204</v>
      </c>
      <c r="D7" s="23">
        <v>2869262.8027326856</v>
      </c>
      <c r="E7" s="23">
        <v>2599876.3253019531</v>
      </c>
      <c r="F7" s="23">
        <v>2474419.6011056951</v>
      </c>
      <c r="G7" s="23">
        <v>2278769.3300840887</v>
      </c>
      <c r="H7" s="23">
        <v>2319185</v>
      </c>
      <c r="I7" s="23">
        <v>2354343.0312007661</v>
      </c>
      <c r="J7" s="23">
        <v>2243943.8496537129</v>
      </c>
      <c r="K7" s="23">
        <v>2207387.7005272177</v>
      </c>
      <c r="L7" s="23">
        <v>2273676.9442453501</v>
      </c>
      <c r="M7" s="23">
        <v>2337310.8694659788</v>
      </c>
      <c r="N7" s="23">
        <v>2422278.9345032615</v>
      </c>
      <c r="O7" s="23">
        <v>2443049.1939825821</v>
      </c>
      <c r="P7" s="23">
        <v>2502427.4727495513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1">
        <v>1.2</v>
      </c>
      <c r="B8" s="22" t="s">
        <v>60</v>
      </c>
      <c r="C8" s="23">
        <v>1125351.1906918595</v>
      </c>
      <c r="D8" s="23">
        <v>1230403.9538934468</v>
      </c>
      <c r="E8" s="23">
        <v>1238024.4568697612</v>
      </c>
      <c r="F8" s="23">
        <v>1280113.8737786734</v>
      </c>
      <c r="G8" s="23">
        <v>1271846.7796212758</v>
      </c>
      <c r="H8" s="23">
        <v>1175115</v>
      </c>
      <c r="I8" s="23">
        <v>1196212.3565694394</v>
      </c>
      <c r="J8" s="23">
        <v>1168082.4435515432</v>
      </c>
      <c r="K8" s="23">
        <v>1146828.3575778028</v>
      </c>
      <c r="L8" s="23">
        <v>1169871.0496001518</v>
      </c>
      <c r="M8" s="23">
        <v>1167513.5670957996</v>
      </c>
      <c r="N8" s="23">
        <v>1090593.2621412345</v>
      </c>
      <c r="O8" s="23">
        <v>1130619.4702934797</v>
      </c>
      <c r="P8" s="23">
        <v>1118861.8900444217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1">
        <v>1.3</v>
      </c>
      <c r="B9" s="22" t="s">
        <v>61</v>
      </c>
      <c r="C9" s="23">
        <v>430286.19107655704</v>
      </c>
      <c r="D9" s="23">
        <v>430721.62902327406</v>
      </c>
      <c r="E9" s="23">
        <v>361412.71490475832</v>
      </c>
      <c r="F9" s="23">
        <v>412369.52984090161</v>
      </c>
      <c r="G9" s="23">
        <v>415171.49612327648</v>
      </c>
      <c r="H9" s="23">
        <v>435912</v>
      </c>
      <c r="I9" s="23">
        <v>426011.94365457038</v>
      </c>
      <c r="J9" s="23">
        <v>442347.73689521803</v>
      </c>
      <c r="K9" s="23">
        <v>469269.4778486432</v>
      </c>
      <c r="L9" s="23">
        <v>475289.61656875658</v>
      </c>
      <c r="M9" s="23">
        <v>466421.75796462438</v>
      </c>
      <c r="N9" s="23">
        <v>456142.29531000665</v>
      </c>
      <c r="O9" s="23">
        <v>469329.24124310561</v>
      </c>
      <c r="P9" s="23">
        <v>467485.23627409356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1">
        <v>1.4</v>
      </c>
      <c r="B10" s="22" t="s">
        <v>62</v>
      </c>
      <c r="C10" s="23">
        <v>377362.80977015157</v>
      </c>
      <c r="D10" s="23">
        <v>376418.84760234988</v>
      </c>
      <c r="E10" s="23">
        <v>397845.45631799783</v>
      </c>
      <c r="F10" s="23">
        <v>431362.0904152196</v>
      </c>
      <c r="G10" s="23">
        <v>397997</v>
      </c>
      <c r="H10" s="23">
        <v>405259.74158745626</v>
      </c>
      <c r="I10" s="23">
        <v>450387</v>
      </c>
      <c r="J10" s="23">
        <v>479896.59242653637</v>
      </c>
      <c r="K10" s="23">
        <v>399888.76852409606</v>
      </c>
      <c r="L10" s="23">
        <v>371103.89478275517</v>
      </c>
      <c r="M10" s="23">
        <v>495255.50118484901</v>
      </c>
      <c r="N10" s="23">
        <v>504098.03760345042</v>
      </c>
      <c r="O10" s="23">
        <v>486070.55812435434</v>
      </c>
      <c r="P10" s="23">
        <v>537373.58874292637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4" t="s">
        <v>31</v>
      </c>
      <c r="B11" s="22" t="s">
        <v>3</v>
      </c>
      <c r="C11" s="23">
        <v>272483.20135236508</v>
      </c>
      <c r="D11" s="23">
        <v>228952.68179636239</v>
      </c>
      <c r="E11" s="23">
        <v>343746.29089982819</v>
      </c>
      <c r="F11" s="23">
        <v>552610.61270350253</v>
      </c>
      <c r="G11" s="23">
        <v>177538</v>
      </c>
      <c r="H11" s="23">
        <v>258222</v>
      </c>
      <c r="I11" s="23">
        <v>334968.50933234126</v>
      </c>
      <c r="J11" s="23">
        <v>277130.89626941824</v>
      </c>
      <c r="K11" s="23">
        <v>207252.42948247178</v>
      </c>
      <c r="L11" s="23">
        <v>208700</v>
      </c>
      <c r="M11" s="23">
        <v>235652.931027001</v>
      </c>
      <c r="N11" s="23">
        <v>286905.20830106485</v>
      </c>
      <c r="O11" s="23">
        <v>242265.58931523742</v>
      </c>
      <c r="P11" s="23">
        <v>257597.80223663422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2" customFormat="1" ht="15.75" x14ac:dyDescent="0.25">
      <c r="A12" s="25"/>
      <c r="B12" s="26" t="s">
        <v>28</v>
      </c>
      <c r="C12" s="27">
        <f>C6+C11</f>
        <v>5110076.7587884543</v>
      </c>
      <c r="D12" s="27">
        <f t="shared" ref="D12:F12" si="3">D6+D11</f>
        <v>5135759.9150481187</v>
      </c>
      <c r="E12" s="27">
        <f t="shared" si="3"/>
        <v>4940905.2442942979</v>
      </c>
      <c r="F12" s="27">
        <f t="shared" si="3"/>
        <v>5150875.7078439919</v>
      </c>
      <c r="G12" s="27">
        <f t="shared" ref="G12:M12" si="4">G6+G11</f>
        <v>4541322.605828641</v>
      </c>
      <c r="H12" s="27">
        <f t="shared" si="4"/>
        <v>4593693.7415874563</v>
      </c>
      <c r="I12" s="27">
        <f t="shared" si="4"/>
        <v>4761922.8407571176</v>
      </c>
      <c r="J12" s="27">
        <f t="shared" si="4"/>
        <v>4611401.518796429</v>
      </c>
      <c r="K12" s="27">
        <f t="shared" si="4"/>
        <v>4430626.7339602327</v>
      </c>
      <c r="L12" s="27">
        <f t="shared" si="4"/>
        <v>4498641.5051970137</v>
      </c>
      <c r="M12" s="27">
        <f t="shared" si="4"/>
        <v>4702154.6267382521</v>
      </c>
      <c r="N12" s="27">
        <f t="shared" ref="N12:P12" si="5">N6+N11</f>
        <v>4760017.7378590172</v>
      </c>
      <c r="O12" s="27">
        <f t="shared" si="5"/>
        <v>4771334.0529587585</v>
      </c>
      <c r="P12" s="27">
        <f t="shared" si="5"/>
        <v>4883745.9900476271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1"/>
      <c r="GI12" s="11"/>
      <c r="GJ12" s="11"/>
    </row>
    <row r="13" spans="1:193" s="1" customFormat="1" ht="15.75" x14ac:dyDescent="0.25">
      <c r="A13" s="28" t="s">
        <v>32</v>
      </c>
      <c r="B13" s="29" t="s">
        <v>4</v>
      </c>
      <c r="C13" s="30">
        <v>3420403.5387228979</v>
      </c>
      <c r="D13" s="30">
        <v>3846914.7760743401</v>
      </c>
      <c r="E13" s="30">
        <v>3668087.0201837793</v>
      </c>
      <c r="F13" s="30">
        <v>3772759.7805029158</v>
      </c>
      <c r="G13" s="30">
        <v>4845374</v>
      </c>
      <c r="H13" s="30">
        <v>5726838.2226364417</v>
      </c>
      <c r="I13" s="30">
        <v>6074124.449295627</v>
      </c>
      <c r="J13" s="30">
        <v>5753666.2156666322</v>
      </c>
      <c r="K13" s="30">
        <v>5697195.7484392943</v>
      </c>
      <c r="L13" s="30">
        <v>5923663.2091632187</v>
      </c>
      <c r="M13" s="30">
        <v>6194816.2520256517</v>
      </c>
      <c r="N13" s="30">
        <v>6386686.3269799286</v>
      </c>
      <c r="O13" s="30">
        <v>7365602.8699603397</v>
      </c>
      <c r="P13" s="30">
        <v>7920373.2633111123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45" x14ac:dyDescent="0.25">
      <c r="A14" s="24" t="s">
        <v>33</v>
      </c>
      <c r="B14" s="22" t="s">
        <v>5</v>
      </c>
      <c r="C14" s="23">
        <v>467897.98699940188</v>
      </c>
      <c r="D14" s="23">
        <v>463167.97645250137</v>
      </c>
      <c r="E14" s="23">
        <v>500727.65921084199</v>
      </c>
      <c r="F14" s="23">
        <v>474326.5549845238</v>
      </c>
      <c r="G14" s="23">
        <v>474729.13411831466</v>
      </c>
      <c r="H14" s="23">
        <v>412109.16690260282</v>
      </c>
      <c r="I14" s="23">
        <v>523442.74635497277</v>
      </c>
      <c r="J14" s="23">
        <v>643628.82065982302</v>
      </c>
      <c r="K14" s="23">
        <v>653736.1766929091</v>
      </c>
      <c r="L14" s="23">
        <v>657582.7459272889</v>
      </c>
      <c r="M14" s="23">
        <v>778583.99521290953</v>
      </c>
      <c r="N14" s="23">
        <v>681336.3778147992</v>
      </c>
      <c r="O14" s="23">
        <v>734146.47830590513</v>
      </c>
      <c r="P14" s="23">
        <v>798048.09176147962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4" t="s">
        <v>34</v>
      </c>
      <c r="B15" s="22" t="s">
        <v>6</v>
      </c>
      <c r="C15" s="23">
        <v>5308793.6540133515</v>
      </c>
      <c r="D15" s="23">
        <v>5144715.1595220864</v>
      </c>
      <c r="E15" s="23">
        <v>5615518.9242783822</v>
      </c>
      <c r="F15" s="23">
        <v>5744060.134909166</v>
      </c>
      <c r="G15" s="23">
        <v>5741786</v>
      </c>
      <c r="H15" s="23">
        <v>6190002</v>
      </c>
      <c r="I15" s="23">
        <v>6389058.4324485492</v>
      </c>
      <c r="J15" s="23">
        <v>6647743.6889844146</v>
      </c>
      <c r="K15" s="23">
        <v>6897092.7131663673</v>
      </c>
      <c r="L15" s="23">
        <v>6514292.2135791853</v>
      </c>
      <c r="M15" s="23">
        <v>7235908.6122259377</v>
      </c>
      <c r="N15" s="23">
        <v>7506571.1003832156</v>
      </c>
      <c r="O15" s="23">
        <v>7894127.3229380623</v>
      </c>
      <c r="P15" s="23">
        <v>8534950.8657410294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2" customFormat="1" ht="15.75" x14ac:dyDescent="0.25">
      <c r="A16" s="25"/>
      <c r="B16" s="26" t="s">
        <v>29</v>
      </c>
      <c r="C16" s="27">
        <f>+C13+C14+C15</f>
        <v>9197095.1797356512</v>
      </c>
      <c r="D16" s="27">
        <f t="shared" ref="D16:F16" si="6">+D13+D14+D15</f>
        <v>9454797.9120489284</v>
      </c>
      <c r="E16" s="27">
        <f t="shared" si="6"/>
        <v>9784333.6036730036</v>
      </c>
      <c r="F16" s="27">
        <f t="shared" si="6"/>
        <v>9991146.4703966044</v>
      </c>
      <c r="G16" s="27">
        <f t="shared" ref="G16:M16" si="7">+G13+G14+G15</f>
        <v>11061889.134118315</v>
      </c>
      <c r="H16" s="27">
        <f t="shared" si="7"/>
        <v>12328949.389539044</v>
      </c>
      <c r="I16" s="27">
        <f t="shared" si="7"/>
        <v>12986625.628099149</v>
      </c>
      <c r="J16" s="27">
        <f t="shared" si="7"/>
        <v>13045038.72531087</v>
      </c>
      <c r="K16" s="27">
        <f t="shared" si="7"/>
        <v>13248024.638298571</v>
      </c>
      <c r="L16" s="27">
        <f t="shared" si="7"/>
        <v>13095538.168669693</v>
      </c>
      <c r="M16" s="27">
        <f t="shared" si="7"/>
        <v>14209308.8594645</v>
      </c>
      <c r="N16" s="27">
        <f t="shared" ref="N16:O16" si="8">+N13+N14+N15</f>
        <v>14574593.805177944</v>
      </c>
      <c r="O16" s="27">
        <f t="shared" si="8"/>
        <v>15993876.671204306</v>
      </c>
      <c r="P16" s="27">
        <f t="shared" ref="P16" si="9">+P13+P14+P15</f>
        <v>17253372.220813621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0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0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0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1"/>
      <c r="GI16" s="11"/>
      <c r="GJ16" s="11"/>
    </row>
    <row r="17" spans="1:193" s="11" customFormat="1" ht="30" x14ac:dyDescent="0.25">
      <c r="A17" s="18" t="s">
        <v>35</v>
      </c>
      <c r="B17" s="19" t="s">
        <v>7</v>
      </c>
      <c r="C17" s="20">
        <f>C18+C19</f>
        <v>5321692</v>
      </c>
      <c r="D17" s="20">
        <f t="shared" ref="D17:F17" si="10">D18+D19</f>
        <v>6056645</v>
      </c>
      <c r="E17" s="20">
        <f t="shared" si="10"/>
        <v>6191493.030330006</v>
      </c>
      <c r="F17" s="20">
        <f t="shared" si="10"/>
        <v>6572440.757842645</v>
      </c>
      <c r="G17" s="20">
        <f t="shared" ref="G17:K17" si="11">G18+G19</f>
        <v>7068460.6552736768</v>
      </c>
      <c r="H17" s="20">
        <f t="shared" si="11"/>
        <v>7188898.7931963196</v>
      </c>
      <c r="I17" s="20">
        <f t="shared" si="11"/>
        <v>7738372.9679139778</v>
      </c>
      <c r="J17" s="20">
        <f t="shared" si="11"/>
        <v>8545827.5356922913</v>
      </c>
      <c r="K17" s="20">
        <f t="shared" si="11"/>
        <v>9117190.7279445753</v>
      </c>
      <c r="L17" s="20">
        <f t="shared" ref="L17:M17" si="12">L18+L19</f>
        <v>6885193.8308616234</v>
      </c>
      <c r="M17" s="20">
        <f t="shared" si="12"/>
        <v>8349769.0653998749</v>
      </c>
      <c r="N17" s="20">
        <f t="shared" ref="N17:O17" si="13">N18+N19</f>
        <v>9924364.738347223</v>
      </c>
      <c r="O17" s="20">
        <f t="shared" si="13"/>
        <v>10329246.319483049</v>
      </c>
      <c r="P17" s="20">
        <f t="shared" ref="P17" si="14">P18+P19</f>
        <v>11560960.452795554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K17" s="12"/>
    </row>
    <row r="18" spans="1:193" ht="15.75" x14ac:dyDescent="0.25">
      <c r="A18" s="21">
        <v>6.1</v>
      </c>
      <c r="B18" s="22" t="s">
        <v>8</v>
      </c>
      <c r="C18" s="23">
        <v>4732163</v>
      </c>
      <c r="D18" s="23">
        <v>5448610</v>
      </c>
      <c r="E18" s="23">
        <v>5593394.0656722635</v>
      </c>
      <c r="F18" s="23">
        <v>5990979.2691712128</v>
      </c>
      <c r="G18" s="23">
        <v>6459639.2386330748</v>
      </c>
      <c r="H18" s="23">
        <v>6539724.3729769057</v>
      </c>
      <c r="I18" s="23">
        <v>7072860.7098494619</v>
      </c>
      <c r="J18" s="23">
        <v>7858256.469766262</v>
      </c>
      <c r="K18" s="23">
        <v>8368972.871178912</v>
      </c>
      <c r="L18" s="23">
        <v>6544201.8075513653</v>
      </c>
      <c r="M18" s="23">
        <v>7846464.3944203993</v>
      </c>
      <c r="N18" s="23">
        <v>9017274.3882558811</v>
      </c>
      <c r="O18" s="23">
        <v>9303250.5272222944</v>
      </c>
      <c r="P18" s="23">
        <v>10390649.306849254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1">
        <v>6.2</v>
      </c>
      <c r="B19" s="22" t="s">
        <v>9</v>
      </c>
      <c r="C19" s="23">
        <v>589529</v>
      </c>
      <c r="D19" s="23">
        <v>608035</v>
      </c>
      <c r="E19" s="23">
        <v>598098.96465774218</v>
      </c>
      <c r="F19" s="23">
        <v>581461.48867143225</v>
      </c>
      <c r="G19" s="23">
        <v>608821.4166406024</v>
      </c>
      <c r="H19" s="23">
        <v>649174.42021941394</v>
      </c>
      <c r="I19" s="23">
        <v>665512.25806451612</v>
      </c>
      <c r="J19" s="23">
        <v>687571.06592602911</v>
      </c>
      <c r="K19" s="23">
        <v>748217.8567656629</v>
      </c>
      <c r="L19" s="23">
        <v>340992.02331025817</v>
      </c>
      <c r="M19" s="23">
        <v>503304.67097947525</v>
      </c>
      <c r="N19" s="23">
        <v>907090.3500913413</v>
      </c>
      <c r="O19" s="23">
        <v>1025995.7922607554</v>
      </c>
      <c r="P19" s="23">
        <v>1170311.145946299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1" customFormat="1" ht="60" x14ac:dyDescent="0.25">
      <c r="A20" s="32" t="s">
        <v>36</v>
      </c>
      <c r="B20" s="33" t="s">
        <v>10</v>
      </c>
      <c r="C20" s="20">
        <f>SUM(C21:C27)</f>
        <v>2797970</v>
      </c>
      <c r="D20" s="20">
        <f t="shared" ref="D20:F20" si="15">SUM(D21:D27)</f>
        <v>2941811</v>
      </c>
      <c r="E20" s="20">
        <f t="shared" si="15"/>
        <v>3255998.2220357656</v>
      </c>
      <c r="F20" s="20">
        <f t="shared" si="15"/>
        <v>3397740.9439174472</v>
      </c>
      <c r="G20" s="20">
        <f t="shared" ref="G20:M20" si="16">SUM(G21:G27)</f>
        <v>3521020.0787045872</v>
      </c>
      <c r="H20" s="20">
        <f t="shared" si="16"/>
        <v>3667976.0387218986</v>
      </c>
      <c r="I20" s="20">
        <f t="shared" si="16"/>
        <v>3496749.3268430657</v>
      </c>
      <c r="J20" s="20">
        <f t="shared" si="16"/>
        <v>3614947.4535776069</v>
      </c>
      <c r="K20" s="20">
        <f t="shared" si="16"/>
        <v>3693878.3990682447</v>
      </c>
      <c r="L20" s="20">
        <f t="shared" si="16"/>
        <v>2930860.4163843142</v>
      </c>
      <c r="M20" s="20">
        <f t="shared" si="16"/>
        <v>3772183.5368466577</v>
      </c>
      <c r="N20" s="20">
        <f t="shared" ref="N20:P20" si="17">SUM(N21:N27)</f>
        <v>3930510.996043785</v>
      </c>
      <c r="O20" s="20">
        <f t="shared" si="17"/>
        <v>4074740.3172361995</v>
      </c>
      <c r="P20" s="20">
        <f t="shared" si="17"/>
        <v>4455438.5247700475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K20" s="12"/>
    </row>
    <row r="21" spans="1:193" ht="15.75" x14ac:dyDescent="0.25">
      <c r="A21" s="21">
        <v>7.1</v>
      </c>
      <c r="B21" s="22" t="s">
        <v>11</v>
      </c>
      <c r="C21" s="23">
        <v>98140</v>
      </c>
      <c r="D21" s="23">
        <v>119322</v>
      </c>
      <c r="E21" s="23">
        <v>117820</v>
      </c>
      <c r="F21" s="23">
        <v>126308</v>
      </c>
      <c r="G21" s="23">
        <v>135407.49332880665</v>
      </c>
      <c r="H21" s="23">
        <v>142124.09934070162</v>
      </c>
      <c r="I21" s="23">
        <v>170731.55007557888</v>
      </c>
      <c r="J21" s="23">
        <v>157725.68977762337</v>
      </c>
      <c r="K21" s="23">
        <v>135689.17372588982</v>
      </c>
      <c r="L21" s="23">
        <v>65112.371671509958</v>
      </c>
      <c r="M21" s="23">
        <v>106249.9242839463</v>
      </c>
      <c r="N21" s="23">
        <v>136359.31883323542</v>
      </c>
      <c r="O21" s="23">
        <v>142030.13195521588</v>
      </c>
      <c r="P21" s="23">
        <v>146575.09617778281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1">
        <v>7.2</v>
      </c>
      <c r="B22" s="22" t="s">
        <v>12</v>
      </c>
      <c r="C22" s="23">
        <v>2001208</v>
      </c>
      <c r="D22" s="23">
        <v>2131348</v>
      </c>
      <c r="E22" s="23">
        <v>2337451.8313343446</v>
      </c>
      <c r="F22" s="23">
        <v>2383422.6671993025</v>
      </c>
      <c r="G22" s="23">
        <v>2360834.8000244545</v>
      </c>
      <c r="H22" s="23">
        <v>2435473.8783373744</v>
      </c>
      <c r="I22" s="23">
        <v>2235743.0469271485</v>
      </c>
      <c r="J22" s="23">
        <v>2356840.3309171461</v>
      </c>
      <c r="K22" s="23">
        <v>2329236.2604012853</v>
      </c>
      <c r="L22" s="23">
        <v>1777255.611518017</v>
      </c>
      <c r="M22" s="23">
        <v>2458791.2421642267</v>
      </c>
      <c r="N22" s="23">
        <v>2474927.5122919865</v>
      </c>
      <c r="O22" s="23">
        <v>2480566.224527956</v>
      </c>
      <c r="P22" s="23">
        <v>2737394.2978839101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1">
        <v>7.3</v>
      </c>
      <c r="B23" s="22" t="s">
        <v>13</v>
      </c>
      <c r="C23" s="23">
        <v>28281</v>
      </c>
      <c r="D23" s="23">
        <v>23242</v>
      </c>
      <c r="E23" s="23">
        <v>18173.041803129876</v>
      </c>
      <c r="F23" s="23">
        <v>21628.050733321394</v>
      </c>
      <c r="G23" s="23">
        <v>18222.622761827948</v>
      </c>
      <c r="H23" s="23">
        <v>25079.94682818728</v>
      </c>
      <c r="I23" s="23">
        <v>27672.521025641025</v>
      </c>
      <c r="J23" s="23">
        <v>35343.059121385166</v>
      </c>
      <c r="K23" s="23">
        <v>33882.561552200008</v>
      </c>
      <c r="L23" s="23">
        <v>32412.873985055259</v>
      </c>
      <c r="M23" s="23">
        <v>45879.866999999998</v>
      </c>
      <c r="N23" s="23">
        <v>43758.086168819769</v>
      </c>
      <c r="O23" s="23">
        <v>42618.628822798863</v>
      </c>
      <c r="P23" s="23">
        <v>43536.682907278548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1">
        <v>7.4</v>
      </c>
      <c r="B24" s="22" t="s">
        <v>14</v>
      </c>
      <c r="C24" s="23">
        <v>26891</v>
      </c>
      <c r="D24" s="23">
        <v>49541</v>
      </c>
      <c r="E24" s="23">
        <v>38714.82188953556</v>
      </c>
      <c r="F24" s="23">
        <v>63457.286716862669</v>
      </c>
      <c r="G24" s="23">
        <v>104008.18683159887</v>
      </c>
      <c r="H24" s="23">
        <v>107238.98300738554</v>
      </c>
      <c r="I24" s="23">
        <v>99880.458119658128</v>
      </c>
      <c r="J24" s="23">
        <v>50837.974512637273</v>
      </c>
      <c r="K24" s="23">
        <v>88821.934778239636</v>
      </c>
      <c r="L24" s="23">
        <v>30337.290855633444</v>
      </c>
      <c r="M24" s="23">
        <v>34698.669601326226</v>
      </c>
      <c r="N24" s="23">
        <v>52583.405445580363</v>
      </c>
      <c r="O24" s="23">
        <v>93378.628965240903</v>
      </c>
      <c r="P24" s="23">
        <v>131880.07484753686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30" x14ac:dyDescent="0.25">
      <c r="A25" s="21">
        <v>7.5</v>
      </c>
      <c r="B25" s="22" t="s">
        <v>15</v>
      </c>
      <c r="C25" s="23">
        <v>61793</v>
      </c>
      <c r="D25" s="23">
        <v>63258</v>
      </c>
      <c r="E25" s="23">
        <v>59793.720538572386</v>
      </c>
      <c r="F25" s="23">
        <v>63708.73514774473</v>
      </c>
      <c r="G25" s="23">
        <v>69512.285663366434</v>
      </c>
      <c r="H25" s="23">
        <v>109673.90677449078</v>
      </c>
      <c r="I25" s="23">
        <v>132204.24518267572</v>
      </c>
      <c r="J25" s="23">
        <v>136561.9665123834</v>
      </c>
      <c r="K25" s="23">
        <v>133032.09256029778</v>
      </c>
      <c r="L25" s="23">
        <v>88333.518446056085</v>
      </c>
      <c r="M25" s="23">
        <v>126724.2770704017</v>
      </c>
      <c r="N25" s="23">
        <v>144359.98096102959</v>
      </c>
      <c r="O25" s="23">
        <v>166695.78172609844</v>
      </c>
      <c r="P25" s="23">
        <v>175033.36873748401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1">
        <v>7.6</v>
      </c>
      <c r="B26" s="22" t="s">
        <v>16</v>
      </c>
      <c r="C26" s="23">
        <v>3317</v>
      </c>
      <c r="D26" s="23">
        <v>3480</v>
      </c>
      <c r="E26" s="23">
        <v>2530.241503408085</v>
      </c>
      <c r="F26" s="23">
        <v>2573.3221153431509</v>
      </c>
      <c r="G26" s="23">
        <v>2722.3548155953954</v>
      </c>
      <c r="H26" s="23">
        <v>4139.2001308579374</v>
      </c>
      <c r="I26" s="23">
        <v>4471.4151148467499</v>
      </c>
      <c r="J26" s="23">
        <v>8424.6999811684709</v>
      </c>
      <c r="K26" s="23">
        <v>8273.2577262317354</v>
      </c>
      <c r="L26" s="23">
        <v>7905.9792817296584</v>
      </c>
      <c r="M26" s="23">
        <v>7784.5629847415648</v>
      </c>
      <c r="N26" s="23">
        <v>7635.1965158390967</v>
      </c>
      <c r="O26" s="23">
        <v>8867.5161865367372</v>
      </c>
      <c r="P26" s="23">
        <v>9480.9854814588471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45" x14ac:dyDescent="0.25">
      <c r="A27" s="21">
        <v>7.7</v>
      </c>
      <c r="B27" s="22" t="s">
        <v>17</v>
      </c>
      <c r="C27" s="23">
        <v>578340</v>
      </c>
      <c r="D27" s="23">
        <v>551620</v>
      </c>
      <c r="E27" s="23">
        <v>681514.56496677501</v>
      </c>
      <c r="F27" s="23">
        <v>736642.88200487301</v>
      </c>
      <c r="G27" s="23">
        <v>830312.33527893794</v>
      </c>
      <c r="H27" s="23">
        <v>844246.024302901</v>
      </c>
      <c r="I27" s="23">
        <v>826046.09039751673</v>
      </c>
      <c r="J27" s="23">
        <v>869213.7327552631</v>
      </c>
      <c r="K27" s="23">
        <v>964943.11832410051</v>
      </c>
      <c r="L27" s="23">
        <v>929502.77062631259</v>
      </c>
      <c r="M27" s="23">
        <v>992054.99374201475</v>
      </c>
      <c r="N27" s="23">
        <v>1070887.4958272944</v>
      </c>
      <c r="O27" s="23">
        <v>1140583.4050523527</v>
      </c>
      <c r="P27" s="23">
        <v>1211538.018734596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4" t="s">
        <v>37</v>
      </c>
      <c r="B28" s="22" t="s">
        <v>18</v>
      </c>
      <c r="C28" s="23">
        <v>1430848</v>
      </c>
      <c r="D28" s="23">
        <v>1527917</v>
      </c>
      <c r="E28" s="23">
        <v>1696260.2131126421</v>
      </c>
      <c r="F28" s="23">
        <v>1838229.7810890465</v>
      </c>
      <c r="G28" s="23">
        <v>2081051.7068834349</v>
      </c>
      <c r="H28" s="23">
        <v>2176955.8272113507</v>
      </c>
      <c r="I28" s="23">
        <v>2193636.6242827307</v>
      </c>
      <c r="J28" s="23">
        <v>2600609.2009421424</v>
      </c>
      <c r="K28" s="23">
        <v>2660129.2334229946</v>
      </c>
      <c r="L28" s="23">
        <v>2750255.8152853209</v>
      </c>
      <c r="M28" s="23">
        <v>2852205.9730734616</v>
      </c>
      <c r="N28" s="23">
        <v>2889302.0931187174</v>
      </c>
      <c r="O28" s="23">
        <v>3143700.5080067283</v>
      </c>
      <c r="P28" s="23">
        <v>3288440.511439973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45" x14ac:dyDescent="0.25">
      <c r="A29" s="24" t="s">
        <v>38</v>
      </c>
      <c r="B29" s="22" t="s">
        <v>19</v>
      </c>
      <c r="C29" s="23">
        <v>4220948</v>
      </c>
      <c r="D29" s="23">
        <v>4793379</v>
      </c>
      <c r="E29" s="23">
        <v>5477583.4969182173</v>
      </c>
      <c r="F29" s="23">
        <v>5985214.2901058411</v>
      </c>
      <c r="G29" s="23">
        <v>6387217.0273733009</v>
      </c>
      <c r="H29" s="23">
        <v>6888964.2194721848</v>
      </c>
      <c r="I29" s="23">
        <v>7530868.3957024636</v>
      </c>
      <c r="J29" s="23">
        <v>8048627.1118327165</v>
      </c>
      <c r="K29" s="23">
        <v>8301889.2035551276</v>
      </c>
      <c r="L29" s="23">
        <v>8215530.0213877894</v>
      </c>
      <c r="M29" s="23">
        <v>8830080.5219489653</v>
      </c>
      <c r="N29" s="23">
        <v>9282721.264476262</v>
      </c>
      <c r="O29" s="23">
        <v>10111010.573798586</v>
      </c>
      <c r="P29" s="23">
        <v>10565325.352470992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4" t="s">
        <v>39</v>
      </c>
      <c r="B30" s="22" t="s">
        <v>54</v>
      </c>
      <c r="C30" s="23">
        <v>1585585</v>
      </c>
      <c r="D30" s="23">
        <v>1576474</v>
      </c>
      <c r="E30" s="23">
        <v>1571388.2135971163</v>
      </c>
      <c r="F30" s="23">
        <v>1364909.4820422644</v>
      </c>
      <c r="G30" s="23">
        <v>1387043.9152177544</v>
      </c>
      <c r="H30" s="23">
        <v>1511526.1769198722</v>
      </c>
      <c r="I30" s="23">
        <v>1677576.9602187481</v>
      </c>
      <c r="J30" s="23">
        <v>1731992.7807613378</v>
      </c>
      <c r="K30" s="23">
        <v>1669809.9602177413</v>
      </c>
      <c r="L30" s="23">
        <v>1427261.3942997714</v>
      </c>
      <c r="M30" s="23">
        <v>2159448.5672382014</v>
      </c>
      <c r="N30" s="23">
        <v>2324260.7437202479</v>
      </c>
      <c r="O30" s="23">
        <v>2274488.3244625069</v>
      </c>
      <c r="P30" s="23">
        <v>2261740.3816586994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4" t="s">
        <v>40</v>
      </c>
      <c r="B31" s="22" t="s">
        <v>20</v>
      </c>
      <c r="C31" s="23">
        <v>3965096</v>
      </c>
      <c r="D31" s="23">
        <v>4148689</v>
      </c>
      <c r="E31" s="23">
        <v>4247185.0561504168</v>
      </c>
      <c r="F31" s="23">
        <v>4286404.9040175341</v>
      </c>
      <c r="G31" s="23">
        <v>4600001.3993762769</v>
      </c>
      <c r="H31" s="23">
        <v>5180142.3612887561</v>
      </c>
      <c r="I31" s="23">
        <v>5689646.8132452825</v>
      </c>
      <c r="J31" s="23">
        <v>5824159.5441782949</v>
      </c>
      <c r="K31" s="23">
        <v>6275874.2501717843</v>
      </c>
      <c r="L31" s="23">
        <v>4694931.5155513696</v>
      </c>
      <c r="M31" s="23">
        <v>5224196.8738302188</v>
      </c>
      <c r="N31" s="23">
        <v>5746359.6136859516</v>
      </c>
      <c r="O31" s="23">
        <v>6122268.0269890483</v>
      </c>
      <c r="P31" s="23">
        <v>6297517.5910662664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2" customFormat="1" ht="15.75" x14ac:dyDescent="0.25">
      <c r="A32" s="25"/>
      <c r="B32" s="26" t="s">
        <v>30</v>
      </c>
      <c r="C32" s="27">
        <f>C17+C20+C28+C29+C30+C31</f>
        <v>19322139</v>
      </c>
      <c r="D32" s="27">
        <f t="shared" ref="D32:F32" si="18">D17+D20+D28+D29+D30+D31</f>
        <v>21044915</v>
      </c>
      <c r="E32" s="27">
        <f t="shared" si="18"/>
        <v>22439908.232144162</v>
      </c>
      <c r="F32" s="27">
        <f t="shared" si="18"/>
        <v>23444940.15901478</v>
      </c>
      <c r="G32" s="27">
        <f t="shared" ref="G32:H32" si="19">G17+G20+G28+G29+G30+G31</f>
        <v>25044794.782829031</v>
      </c>
      <c r="H32" s="27">
        <f t="shared" si="19"/>
        <v>26614463.416810382</v>
      </c>
      <c r="I32" s="27">
        <f t="shared" ref="I32:J32" si="20">I17+I20+I28+I29+I30+I31</f>
        <v>28326851.088206269</v>
      </c>
      <c r="J32" s="27">
        <f t="shared" si="20"/>
        <v>30366163.626984391</v>
      </c>
      <c r="K32" s="27">
        <f t="shared" ref="K32:L32" si="21">K17+K20+K28+K29+K30+K31</f>
        <v>31718771.774380468</v>
      </c>
      <c r="L32" s="27">
        <f t="shared" si="21"/>
        <v>26904032.99377019</v>
      </c>
      <c r="M32" s="27">
        <f t="shared" ref="M32" si="22">M17+M20+M28+M29+M30+M31</f>
        <v>31187884.53833738</v>
      </c>
      <c r="N32" s="27">
        <f t="shared" ref="N32:O32" si="23">N17+N20+N28+N29+N30+N31</f>
        <v>34097519.449392185</v>
      </c>
      <c r="O32" s="27">
        <f t="shared" si="23"/>
        <v>36055454.069976121</v>
      </c>
      <c r="P32" s="27">
        <f t="shared" ref="P32" si="24">P17+P20+P28+P29+P30+P31</f>
        <v>38429422.814201534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1"/>
      <c r="GI32" s="11"/>
      <c r="GJ32" s="11"/>
    </row>
    <row r="33" spans="1:193" s="11" customFormat="1" ht="30" x14ac:dyDescent="0.25">
      <c r="A33" s="18" t="s">
        <v>27</v>
      </c>
      <c r="B33" s="35" t="s">
        <v>41</v>
      </c>
      <c r="C33" s="20">
        <f t="shared" ref="C33:H33" si="25">C6+C11+C13+C14+C15+C17+C20+C28+C29+C30+C31</f>
        <v>33629310.938524105</v>
      </c>
      <c r="D33" s="20">
        <f t="shared" si="25"/>
        <v>35635472.827097043</v>
      </c>
      <c r="E33" s="20">
        <f t="shared" si="25"/>
        <v>37165147.080111459</v>
      </c>
      <c r="F33" s="20">
        <f t="shared" si="25"/>
        <v>38586962.337255374</v>
      </c>
      <c r="G33" s="20">
        <f t="shared" si="25"/>
        <v>40648006.522775993</v>
      </c>
      <c r="H33" s="20">
        <f t="shared" si="25"/>
        <v>43537106.547936879</v>
      </c>
      <c r="I33" s="20">
        <f t="shared" ref="I33:J33" si="26">I6+I11+I13+I14+I15+I17+I20+I28+I29+I30+I31</f>
        <v>46075399.557062536</v>
      </c>
      <c r="J33" s="20">
        <f t="shared" si="26"/>
        <v>48022603.871091686</v>
      </c>
      <c r="K33" s="20">
        <f t="shared" ref="K33:L33" si="27">K6+K11+K13+K14+K15+K17+K20+K28+K29+K30+K31</f>
        <v>49397423.146639273</v>
      </c>
      <c r="L33" s="20">
        <f t="shared" si="27"/>
        <v>44498212.667636886</v>
      </c>
      <c r="M33" s="20">
        <f t="shared" ref="M33" si="28">M6+M11+M13+M14+M15+M17+M20+M28+M29+M30+M31</f>
        <v>50099348.024540134</v>
      </c>
      <c r="N33" s="20">
        <f t="shared" ref="N33:O33" si="29">N6+N11+N13+N14+N15+N17+N20+N28+N29+N30+N31</f>
        <v>53432130.992429152</v>
      </c>
      <c r="O33" s="20">
        <f t="shared" si="29"/>
        <v>56820664.794139184</v>
      </c>
      <c r="P33" s="20">
        <f t="shared" ref="P33" si="30">P6+P11+P13+P14+P15+P17+P20+P28+P29+P30+P31</f>
        <v>60566541.025062777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K33" s="12"/>
    </row>
    <row r="34" spans="1:193" ht="15.75" x14ac:dyDescent="0.25">
      <c r="A34" s="36" t="s">
        <v>43</v>
      </c>
      <c r="B34" s="37" t="s">
        <v>25</v>
      </c>
      <c r="C34" s="23">
        <v>3407148</v>
      </c>
      <c r="D34" s="23">
        <v>3827884</v>
      </c>
      <c r="E34" s="23">
        <v>3858878</v>
      </c>
      <c r="F34" s="23">
        <v>4090181</v>
      </c>
      <c r="G34" s="23">
        <v>5078568</v>
      </c>
      <c r="H34" s="23">
        <v>5457715</v>
      </c>
      <c r="I34" s="23">
        <v>6099394</v>
      </c>
      <c r="J34" s="23">
        <v>7817154</v>
      </c>
      <c r="K34" s="23">
        <v>6930248</v>
      </c>
      <c r="L34" s="23">
        <v>7721698</v>
      </c>
      <c r="M34" s="23">
        <v>8117426</v>
      </c>
      <c r="N34" s="23">
        <v>7725744.1765767867</v>
      </c>
      <c r="O34" s="23">
        <v>8210095.0157211926</v>
      </c>
      <c r="P34" s="23">
        <v>8579328.0678729918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15.75" x14ac:dyDescent="0.25">
      <c r="A35" s="36" t="s">
        <v>44</v>
      </c>
      <c r="B35" s="37" t="s">
        <v>24</v>
      </c>
      <c r="C35" s="23">
        <v>631670</v>
      </c>
      <c r="D35" s="23">
        <v>694011</v>
      </c>
      <c r="E35" s="23">
        <v>745892</v>
      </c>
      <c r="F35" s="23">
        <v>681588</v>
      </c>
      <c r="G35" s="23">
        <v>605573</v>
      </c>
      <c r="H35" s="23">
        <v>464668</v>
      </c>
      <c r="I35" s="23">
        <v>555818</v>
      </c>
      <c r="J35" s="23">
        <v>416927</v>
      </c>
      <c r="K35" s="23">
        <v>408253</v>
      </c>
      <c r="L35" s="23">
        <v>1049619</v>
      </c>
      <c r="M35" s="23">
        <v>1018478</v>
      </c>
      <c r="N35" s="23">
        <v>694601.63419861032</v>
      </c>
      <c r="O35" s="23">
        <v>499757.56593509979</v>
      </c>
      <c r="P35" s="23">
        <v>617552.93998327223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12" customFormat="1" ht="30" x14ac:dyDescent="0.25">
      <c r="A36" s="38" t="s">
        <v>45</v>
      </c>
      <c r="B36" s="39" t="s">
        <v>55</v>
      </c>
      <c r="C36" s="27">
        <f>C33+C34-C35</f>
        <v>36404788.938524105</v>
      </c>
      <c r="D36" s="27">
        <f t="shared" ref="D36:F36" si="31">D33+D34-D35</f>
        <v>38769345.827097043</v>
      </c>
      <c r="E36" s="27">
        <f t="shared" si="31"/>
        <v>40278133.080111459</v>
      </c>
      <c r="F36" s="27">
        <f t="shared" si="31"/>
        <v>41995555.337255374</v>
      </c>
      <c r="G36" s="27">
        <f t="shared" ref="G36:M36" si="32">G33+G34-G35</f>
        <v>45121001.522775993</v>
      </c>
      <c r="H36" s="27">
        <f t="shared" si="32"/>
        <v>48530153.547936879</v>
      </c>
      <c r="I36" s="27">
        <f t="shared" si="32"/>
        <v>51618975.557062536</v>
      </c>
      <c r="J36" s="27">
        <f t="shared" si="32"/>
        <v>55422830.871091686</v>
      </c>
      <c r="K36" s="27">
        <f t="shared" si="32"/>
        <v>55919418.146639273</v>
      </c>
      <c r="L36" s="27">
        <f t="shared" si="32"/>
        <v>51170291.667636886</v>
      </c>
      <c r="M36" s="27">
        <f t="shared" si="32"/>
        <v>57198296.024540134</v>
      </c>
      <c r="N36" s="27">
        <f t="shared" ref="N36:O36" si="33">N33+N34-N35</f>
        <v>60463273.534807324</v>
      </c>
      <c r="O36" s="27">
        <f t="shared" si="33"/>
        <v>64531002.243925281</v>
      </c>
      <c r="P36" s="27">
        <f t="shared" ref="P36" si="34">P33+P34-P35</f>
        <v>68528316.152952492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</row>
    <row r="37" spans="1:193" s="12" customFormat="1" ht="15.75" x14ac:dyDescent="0.25">
      <c r="A37" s="38" t="s">
        <v>46</v>
      </c>
      <c r="B37" s="39" t="s">
        <v>42</v>
      </c>
      <c r="C37" s="27">
        <f>GSVA_cur!C37</f>
        <v>335014.83</v>
      </c>
      <c r="D37" s="27">
        <f>GSVA_cur!D37</f>
        <v>336661.74</v>
      </c>
      <c r="E37" s="27">
        <f>GSVA_cur!E37</f>
        <v>338173.86535729998</v>
      </c>
      <c r="F37" s="27">
        <f>GSVA_cur!F37</f>
        <v>339842.743309749</v>
      </c>
      <c r="G37" s="27">
        <f>GSVA_cur!G37</f>
        <v>341525</v>
      </c>
      <c r="H37" s="27">
        <f>GSVA_cur!H37</f>
        <v>343221</v>
      </c>
      <c r="I37" s="27">
        <f>GSVA_cur!I37</f>
        <v>344932</v>
      </c>
      <c r="J37" s="27">
        <f>GSVA_cur!J37</f>
        <v>346656</v>
      </c>
      <c r="K37" s="27">
        <f>GSVA_cur!K37</f>
        <v>348394</v>
      </c>
      <c r="L37" s="27">
        <f>GSVA_cur!L37</f>
        <v>350147</v>
      </c>
      <c r="M37" s="27">
        <f>GSVA_cur!M37</f>
        <v>355730</v>
      </c>
      <c r="N37" s="27">
        <f>GSVA_cur!N37</f>
        <v>357160</v>
      </c>
      <c r="O37" s="27">
        <f>GSVA_cur!O37</f>
        <v>358600</v>
      </c>
      <c r="P37" s="27">
        <f>GSVA_cur!P37</f>
        <v>360393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</row>
    <row r="38" spans="1:193" s="12" customFormat="1" ht="15.75" x14ac:dyDescent="0.25">
      <c r="A38" s="38" t="s">
        <v>47</v>
      </c>
      <c r="B38" s="39" t="s">
        <v>58</v>
      </c>
      <c r="C38" s="27">
        <f>C36/C37*1000</f>
        <v>108666.20125002855</v>
      </c>
      <c r="D38" s="27">
        <f t="shared" ref="D38:F38" si="35">D36/D37*1000</f>
        <v>115158.15793947077</v>
      </c>
      <c r="E38" s="27">
        <f t="shared" si="35"/>
        <v>119104.80733795119</v>
      </c>
      <c r="F38" s="27">
        <f t="shared" si="35"/>
        <v>123573.49439996312</v>
      </c>
      <c r="G38" s="27">
        <f t="shared" ref="G38:M38" si="36">G36/G37*1000</f>
        <v>132116.24777915524</v>
      </c>
      <c r="H38" s="27">
        <f t="shared" si="36"/>
        <v>141396.22443829742</v>
      </c>
      <c r="I38" s="27">
        <f t="shared" si="36"/>
        <v>149649.71518172434</v>
      </c>
      <c r="J38" s="27">
        <f t="shared" si="36"/>
        <v>159878.46992722378</v>
      </c>
      <c r="K38" s="27">
        <f t="shared" si="36"/>
        <v>160506.26057463465</v>
      </c>
      <c r="L38" s="27">
        <f t="shared" si="36"/>
        <v>146139.45476510405</v>
      </c>
      <c r="M38" s="27">
        <f t="shared" si="36"/>
        <v>160791.31932797385</v>
      </c>
      <c r="N38" s="27">
        <f t="shared" ref="N38:O38" si="37">N36/N37*1000</f>
        <v>169289.04002353936</v>
      </c>
      <c r="O38" s="27">
        <f t="shared" si="37"/>
        <v>179952.59967631142</v>
      </c>
      <c r="P38" s="27">
        <f t="shared" ref="P38" si="38">P36/P37*1000</f>
        <v>190148.85459193849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CC38" s="13"/>
      <c r="CD38" s="13"/>
      <c r="CE38" s="13"/>
      <c r="CF38" s="13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O39"/>
  <sheetViews>
    <sheetView zoomScale="66" zoomScaleNormal="66" zoomScaleSheetLayoutView="100" workbookViewId="0">
      <pane xSplit="2" ySplit="5" topLeftCell="C6" activePane="bottomRight" state="frozen"/>
      <selection activeCell="A5" sqref="A5:P38"/>
      <selection pane="topRight" activeCell="A5" sqref="A5:P38"/>
      <selection pane="bottomLeft" activeCell="A5" sqref="A5:P38"/>
      <selection pane="bottomRight" activeCell="S20" sqref="S20"/>
    </sheetView>
  </sheetViews>
  <sheetFormatPr defaultColWidth="15.42578125" defaultRowHeight="15" x14ac:dyDescent="0.25"/>
  <cols>
    <col min="1" max="6" width="15.42578125" style="2"/>
    <col min="7" max="17" width="15.42578125" style="1"/>
    <col min="18" max="19" width="15.42578125" style="2"/>
    <col min="20" max="20" width="15.42578125" style="1"/>
    <col min="21" max="24" width="15.42578125" style="2"/>
    <col min="25" max="25" width="15.42578125" style="1"/>
    <col min="26" max="27" width="15.42578125" style="2"/>
    <col min="28" max="28" width="15.42578125" style="1"/>
    <col min="29" max="117" width="15.42578125" style="2"/>
    <col min="118" max="136" width="15.42578125" style="1"/>
    <col min="137" max="16384" width="15.42578125" style="2"/>
  </cols>
  <sheetData>
    <row r="1" spans="1:197" ht="18.75" x14ac:dyDescent="0.3">
      <c r="A1" s="2" t="s">
        <v>53</v>
      </c>
      <c r="B1" s="6" t="s">
        <v>66</v>
      </c>
      <c r="AA1" s="3"/>
    </row>
    <row r="2" spans="1:197" ht="15.75" x14ac:dyDescent="0.25">
      <c r="A2" s="7" t="s">
        <v>50</v>
      </c>
      <c r="I2" s="1" t="str">
        <f>[1]GSVA_cur!$I$3</f>
        <v>01.08.2025</v>
      </c>
    </row>
    <row r="3" spans="1:197" ht="15.75" x14ac:dyDescent="0.25">
      <c r="A3" s="7"/>
    </row>
    <row r="4" spans="1:197" ht="15.75" x14ac:dyDescent="0.25">
      <c r="A4" s="7"/>
      <c r="E4" s="8"/>
      <c r="F4" s="8" t="s">
        <v>57</v>
      </c>
    </row>
    <row r="5" spans="1:197" ht="15.75" x14ac:dyDescent="0.25">
      <c r="A5" s="14" t="s">
        <v>0</v>
      </c>
      <c r="B5" s="15" t="s">
        <v>1</v>
      </c>
      <c r="C5" s="16" t="s">
        <v>21</v>
      </c>
      <c r="D5" s="16" t="s">
        <v>22</v>
      </c>
      <c r="E5" s="16" t="s">
        <v>23</v>
      </c>
      <c r="F5" s="16" t="s">
        <v>56</v>
      </c>
      <c r="G5" s="17" t="s">
        <v>65</v>
      </c>
      <c r="H5" s="17" t="s">
        <v>67</v>
      </c>
      <c r="I5" s="17" t="s">
        <v>68</v>
      </c>
      <c r="J5" s="17" t="s">
        <v>69</v>
      </c>
      <c r="K5" s="17" t="s">
        <v>70</v>
      </c>
      <c r="L5" s="17" t="s">
        <v>71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7" s="11" customFormat="1" ht="45" x14ac:dyDescent="0.25">
      <c r="A6" s="18" t="s">
        <v>26</v>
      </c>
      <c r="B6" s="19" t="s">
        <v>2</v>
      </c>
      <c r="C6" s="20">
        <f>SUM(C7:C10)</f>
        <v>4026831.3663060688</v>
      </c>
      <c r="D6" s="20">
        <f t="shared" ref="D6:F6" si="0">SUM(D7:D10)</f>
        <v>4089863.3307531942</v>
      </c>
      <c r="E6" s="20">
        <f t="shared" si="0"/>
        <v>4403935.9759594081</v>
      </c>
      <c r="F6" s="20">
        <f t="shared" si="0"/>
        <v>4835659.5683455337</v>
      </c>
      <c r="G6" s="20">
        <f t="shared" ref="G6:M6" si="1">SUM(G7:G10)</f>
        <v>5069387.0662627034</v>
      </c>
      <c r="H6" s="20">
        <f t="shared" si="1"/>
        <v>5470396</v>
      </c>
      <c r="I6" s="20">
        <f t="shared" si="1"/>
        <v>5869998.9389476981</v>
      </c>
      <c r="J6" s="20">
        <f t="shared" si="1"/>
        <v>6038565.6998160705</v>
      </c>
      <c r="K6" s="20">
        <f t="shared" si="1"/>
        <v>6280337.2826733906</v>
      </c>
      <c r="L6" s="20">
        <f t="shared" si="1"/>
        <v>6529480.5654062005</v>
      </c>
      <c r="M6" s="20">
        <f t="shared" si="1"/>
        <v>6556060.0980581269</v>
      </c>
      <c r="N6" s="20">
        <f t="shared" ref="N6:P6" si="2">SUM(N7:N10)</f>
        <v>6739657.40051712</v>
      </c>
      <c r="O6" s="20">
        <f t="shared" si="2"/>
        <v>6767063.4958213363</v>
      </c>
      <c r="P6" s="20">
        <f t="shared" si="2"/>
        <v>6920599.9268491613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O6" s="12"/>
    </row>
    <row r="7" spans="1:197" ht="15.75" x14ac:dyDescent="0.25">
      <c r="A7" s="21">
        <v>1.1000000000000001</v>
      </c>
      <c r="B7" s="22" t="s">
        <v>59</v>
      </c>
      <c r="C7" s="23">
        <v>2156600.4217587523</v>
      </c>
      <c r="D7" s="23">
        <v>1773676.4431462199</v>
      </c>
      <c r="E7" s="23">
        <v>1829736.3742357779</v>
      </c>
      <c r="F7" s="23">
        <v>1887211.4527378795</v>
      </c>
      <c r="G7" s="23">
        <v>1391992.1612408394</v>
      </c>
      <c r="H7" s="23">
        <v>1573753</v>
      </c>
      <c r="I7" s="23">
        <v>1705410.7902765519</v>
      </c>
      <c r="J7" s="23">
        <v>1406508.7061801679</v>
      </c>
      <c r="K7" s="23">
        <v>1367888.3132931679</v>
      </c>
      <c r="L7" s="23">
        <v>1373633.1035502644</v>
      </c>
      <c r="M7" s="23">
        <v>1281512.7990490999</v>
      </c>
      <c r="N7" s="23">
        <v>1342880.7999901501</v>
      </c>
      <c r="O7" s="23">
        <v>1208687.6842903364</v>
      </c>
      <c r="P7" s="23">
        <v>1160700.6147906105</v>
      </c>
      <c r="Q7" s="3"/>
      <c r="R7" s="4"/>
      <c r="S7" s="4"/>
      <c r="T7" s="3"/>
      <c r="U7" s="4"/>
      <c r="V7" s="4"/>
      <c r="W7" s="4"/>
      <c r="X7" s="4"/>
      <c r="Y7" s="3"/>
      <c r="Z7" s="4"/>
      <c r="AA7" s="4"/>
      <c r="AB7" s="3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1"/>
      <c r="GM7" s="1"/>
      <c r="GN7" s="1"/>
    </row>
    <row r="8" spans="1:197" ht="15.75" x14ac:dyDescent="0.25">
      <c r="A8" s="21">
        <v>1.2</v>
      </c>
      <c r="B8" s="22" t="s">
        <v>60</v>
      </c>
      <c r="C8" s="23">
        <v>1111658.2121654816</v>
      </c>
      <c r="D8" s="23">
        <v>1394255.8904004889</v>
      </c>
      <c r="E8" s="23">
        <v>1529777.9720361845</v>
      </c>
      <c r="F8" s="23">
        <v>1666129.0873765899</v>
      </c>
      <c r="G8" s="23">
        <v>1838123.9904137244</v>
      </c>
      <c r="H8" s="23">
        <v>1914195</v>
      </c>
      <c r="I8" s="23">
        <v>2143070.8460724643</v>
      </c>
      <c r="J8" s="23">
        <v>2243162.2534993221</v>
      </c>
      <c r="K8" s="23">
        <v>2412492.5111208861</v>
      </c>
      <c r="L8" s="23">
        <v>2579993.1850070874</v>
      </c>
      <c r="M8" s="23">
        <v>2595145.6779838195</v>
      </c>
      <c r="N8" s="23">
        <v>2497669.1724207546</v>
      </c>
      <c r="O8" s="23">
        <v>2645209.5522616571</v>
      </c>
      <c r="P8" s="23">
        <v>2669354.3273194907</v>
      </c>
      <c r="Q8" s="3"/>
      <c r="R8" s="4"/>
      <c r="S8" s="4"/>
      <c r="T8" s="3"/>
      <c r="U8" s="4"/>
      <c r="V8" s="4"/>
      <c r="W8" s="4"/>
      <c r="X8" s="4"/>
      <c r="Y8" s="3"/>
      <c r="Z8" s="4"/>
      <c r="AA8" s="4"/>
      <c r="AB8" s="3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1"/>
      <c r="GM8" s="1"/>
      <c r="GN8" s="1"/>
    </row>
    <row r="9" spans="1:197" ht="30" x14ac:dyDescent="0.25">
      <c r="A9" s="21">
        <v>1.3</v>
      </c>
      <c r="B9" s="22" t="s">
        <v>61</v>
      </c>
      <c r="C9" s="23">
        <v>425567.395238147</v>
      </c>
      <c r="D9" s="23">
        <v>464566.24262167339</v>
      </c>
      <c r="E9" s="23">
        <v>487220.74977824406</v>
      </c>
      <c r="F9" s="23">
        <v>648187.76535967609</v>
      </c>
      <c r="G9" s="23">
        <v>1079619.5431785886</v>
      </c>
      <c r="H9" s="23">
        <v>1088370</v>
      </c>
      <c r="I9" s="23">
        <v>984157.52956965228</v>
      </c>
      <c r="J9" s="23">
        <v>1322873.8074374923</v>
      </c>
      <c r="K9" s="23">
        <v>1518055.2422392492</v>
      </c>
      <c r="L9" s="23">
        <v>1589713.1092465681</v>
      </c>
      <c r="M9" s="23">
        <v>1360823.7051674342</v>
      </c>
      <c r="N9" s="23">
        <v>1406125.9426448748</v>
      </c>
      <c r="O9" s="23">
        <v>1472762.1944021424</v>
      </c>
      <c r="P9" s="23">
        <v>1441686.2672062824</v>
      </c>
      <c r="Q9" s="3"/>
      <c r="R9" s="4"/>
      <c r="S9" s="4"/>
      <c r="T9" s="3"/>
      <c r="U9" s="4"/>
      <c r="V9" s="4"/>
      <c r="W9" s="4"/>
      <c r="X9" s="4"/>
      <c r="Y9" s="3"/>
      <c r="Z9" s="4"/>
      <c r="AA9" s="4"/>
      <c r="AB9" s="3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1"/>
      <c r="GM9" s="1"/>
      <c r="GN9" s="1"/>
    </row>
    <row r="10" spans="1:197" ht="30" x14ac:dyDescent="0.25">
      <c r="A10" s="21">
        <v>1.4</v>
      </c>
      <c r="B10" s="22" t="s">
        <v>62</v>
      </c>
      <c r="C10" s="23">
        <v>333005.33714368811</v>
      </c>
      <c r="D10" s="23">
        <v>457364.75458481209</v>
      </c>
      <c r="E10" s="23">
        <v>557200.87990920118</v>
      </c>
      <c r="F10" s="23">
        <v>634131.26287138846</v>
      </c>
      <c r="G10" s="23">
        <v>759651.37142955128</v>
      </c>
      <c r="H10" s="23">
        <v>894078</v>
      </c>
      <c r="I10" s="23">
        <v>1037359.7730290298</v>
      </c>
      <c r="J10" s="23">
        <v>1066020.9326990875</v>
      </c>
      <c r="K10" s="23">
        <v>981901.21602008736</v>
      </c>
      <c r="L10" s="23">
        <v>986141.16760228085</v>
      </c>
      <c r="M10" s="23">
        <v>1318577.9158577737</v>
      </c>
      <c r="N10" s="23">
        <v>1492981.4854613405</v>
      </c>
      <c r="O10" s="23">
        <v>1440404.0648672003</v>
      </c>
      <c r="P10" s="23">
        <v>1648858.7175327775</v>
      </c>
      <c r="Q10" s="3"/>
      <c r="R10" s="4"/>
      <c r="S10" s="4"/>
      <c r="T10" s="3"/>
      <c r="U10" s="4"/>
      <c r="V10" s="4"/>
      <c r="W10" s="4"/>
      <c r="X10" s="4"/>
      <c r="Y10" s="3"/>
      <c r="Z10" s="4"/>
      <c r="AA10" s="4"/>
      <c r="AB10" s="3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1"/>
      <c r="GM10" s="1"/>
      <c r="GN10" s="1"/>
    </row>
    <row r="11" spans="1:197" ht="30" x14ac:dyDescent="0.25">
      <c r="A11" s="24" t="s">
        <v>31</v>
      </c>
      <c r="B11" s="22" t="s">
        <v>3</v>
      </c>
      <c r="C11" s="23">
        <v>239592.74381033357</v>
      </c>
      <c r="D11" s="23">
        <v>235207.61802028213</v>
      </c>
      <c r="E11" s="23">
        <v>344105.88152448088</v>
      </c>
      <c r="F11" s="23">
        <v>551385.76981107204</v>
      </c>
      <c r="G11" s="23">
        <v>173525</v>
      </c>
      <c r="H11" s="23">
        <v>253072</v>
      </c>
      <c r="I11" s="23">
        <v>330187.21173052595</v>
      </c>
      <c r="J11" s="23">
        <v>272196.05753098172</v>
      </c>
      <c r="K11" s="23">
        <v>198385.99507385894</v>
      </c>
      <c r="L11" s="23">
        <v>190780.02471633014</v>
      </c>
      <c r="M11" s="23">
        <v>232972.36925330965</v>
      </c>
      <c r="N11" s="23">
        <v>282140.72076504084</v>
      </c>
      <c r="O11" s="23">
        <v>236440.01970786558</v>
      </c>
      <c r="P11" s="23">
        <v>257737.48187464292</v>
      </c>
      <c r="Q11" s="3"/>
      <c r="R11" s="4"/>
      <c r="S11" s="4"/>
      <c r="T11" s="3"/>
      <c r="U11" s="4"/>
      <c r="V11" s="4"/>
      <c r="W11" s="4"/>
      <c r="X11" s="4"/>
      <c r="Y11" s="3"/>
      <c r="Z11" s="4"/>
      <c r="AA11" s="4"/>
      <c r="AB11" s="3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1"/>
      <c r="GM11" s="1"/>
      <c r="GN11" s="1"/>
    </row>
    <row r="12" spans="1:197" s="12" customFormat="1" ht="15.75" x14ac:dyDescent="0.25">
      <c r="A12" s="25"/>
      <c r="B12" s="26" t="s">
        <v>28</v>
      </c>
      <c r="C12" s="27">
        <f>C6+C11</f>
        <v>4266424.1101164026</v>
      </c>
      <c r="D12" s="27">
        <f t="shared" ref="D12:F12" si="3">D6+D11</f>
        <v>4325070.9487734763</v>
      </c>
      <c r="E12" s="27">
        <f t="shared" si="3"/>
        <v>4748041.857483889</v>
      </c>
      <c r="F12" s="27">
        <f t="shared" si="3"/>
        <v>5387045.3381566061</v>
      </c>
      <c r="G12" s="27">
        <f t="shared" ref="G12:M12" si="4">G6+G11</f>
        <v>5242912.0662627034</v>
      </c>
      <c r="H12" s="27">
        <f t="shared" si="4"/>
        <v>5723468</v>
      </c>
      <c r="I12" s="27">
        <f t="shared" si="4"/>
        <v>6200186.1506782239</v>
      </c>
      <c r="J12" s="27">
        <f t="shared" si="4"/>
        <v>6310761.757347052</v>
      </c>
      <c r="K12" s="27">
        <f t="shared" si="4"/>
        <v>6478723.2777472492</v>
      </c>
      <c r="L12" s="27">
        <f t="shared" si="4"/>
        <v>6720260.5901225302</v>
      </c>
      <c r="M12" s="27">
        <f t="shared" si="4"/>
        <v>6789032.4673114363</v>
      </c>
      <c r="N12" s="27">
        <f t="shared" ref="N12:P12" si="5">N6+N11</f>
        <v>7021798.1212821612</v>
      </c>
      <c r="O12" s="27">
        <f t="shared" si="5"/>
        <v>7003503.5155292023</v>
      </c>
      <c r="P12" s="27">
        <f t="shared" si="5"/>
        <v>7178337.4087238042</v>
      </c>
      <c r="Q12" s="3"/>
      <c r="R12" s="4"/>
      <c r="S12" s="4"/>
      <c r="T12" s="3"/>
      <c r="U12" s="4"/>
      <c r="V12" s="4"/>
      <c r="W12" s="4"/>
      <c r="X12" s="4"/>
      <c r="Y12" s="3"/>
      <c r="Z12" s="4"/>
      <c r="AA12" s="4"/>
      <c r="AB12" s="3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1"/>
      <c r="GM12" s="11"/>
      <c r="GN12" s="11"/>
    </row>
    <row r="13" spans="1:197" s="1" customFormat="1" ht="15.75" x14ac:dyDescent="0.25">
      <c r="A13" s="28" t="s">
        <v>32</v>
      </c>
      <c r="B13" s="29" t="s">
        <v>4</v>
      </c>
      <c r="C13" s="30">
        <v>3000616.3855567132</v>
      </c>
      <c r="D13" s="30">
        <v>3587813.0907750283</v>
      </c>
      <c r="E13" s="30">
        <v>3540228.6287574763</v>
      </c>
      <c r="F13" s="30">
        <v>3673903.2609169991</v>
      </c>
      <c r="G13" s="30">
        <v>4425392.111883386</v>
      </c>
      <c r="H13" s="30">
        <v>5394018.1270621335</v>
      </c>
      <c r="I13" s="30">
        <v>6003412.5955512058</v>
      </c>
      <c r="J13" s="30">
        <v>5839371.5780418199</v>
      </c>
      <c r="K13" s="30">
        <v>5654346.5830375403</v>
      </c>
      <c r="L13" s="30">
        <v>5593948.250522756</v>
      </c>
      <c r="M13" s="30">
        <v>6413360.5439678896</v>
      </c>
      <c r="N13" s="30">
        <v>6542264.4573278297</v>
      </c>
      <c r="O13" s="30">
        <v>7896333.345576196</v>
      </c>
      <c r="P13" s="30">
        <v>8663725.7246370558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O13" s="2"/>
    </row>
    <row r="14" spans="1:197" ht="60" x14ac:dyDescent="0.25">
      <c r="A14" s="24" t="s">
        <v>33</v>
      </c>
      <c r="B14" s="22" t="s">
        <v>5</v>
      </c>
      <c r="C14" s="23">
        <v>311148.40333078848</v>
      </c>
      <c r="D14" s="23">
        <v>352635.72420774604</v>
      </c>
      <c r="E14" s="23">
        <v>377733.69714880845</v>
      </c>
      <c r="F14" s="23">
        <v>320347.5228727723</v>
      </c>
      <c r="G14" s="23">
        <v>408211.3705678095</v>
      </c>
      <c r="H14" s="23">
        <v>385039</v>
      </c>
      <c r="I14" s="23">
        <v>539112.76454770891</v>
      </c>
      <c r="J14" s="23">
        <v>652560.0845366104</v>
      </c>
      <c r="K14" s="23">
        <v>736265.45561842225</v>
      </c>
      <c r="L14" s="23">
        <v>770744.53420165204</v>
      </c>
      <c r="M14" s="23">
        <v>923463.68507534161</v>
      </c>
      <c r="N14" s="23">
        <v>800703.02537775447</v>
      </c>
      <c r="O14" s="23">
        <v>1033779.9829416513</v>
      </c>
      <c r="P14" s="23">
        <v>1053570.9656341854</v>
      </c>
      <c r="Q14" s="3"/>
      <c r="R14" s="4"/>
      <c r="S14" s="4"/>
      <c r="T14" s="3"/>
      <c r="U14" s="4"/>
      <c r="V14" s="4"/>
      <c r="W14" s="4"/>
      <c r="X14" s="4"/>
      <c r="Y14" s="3"/>
      <c r="Z14" s="4"/>
      <c r="AA14" s="4"/>
      <c r="AB14" s="3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3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3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3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1"/>
      <c r="GM14" s="1"/>
      <c r="GN14" s="1"/>
    </row>
    <row r="15" spans="1:197" ht="15.75" x14ac:dyDescent="0.25">
      <c r="A15" s="24" t="s">
        <v>34</v>
      </c>
      <c r="B15" s="22" t="s">
        <v>6</v>
      </c>
      <c r="C15" s="23">
        <v>5058201.8808248453</v>
      </c>
      <c r="D15" s="23">
        <v>5251555.8427218189</v>
      </c>
      <c r="E15" s="23">
        <v>6045684.4586969754</v>
      </c>
      <c r="F15" s="23">
        <v>6598420.5949798711</v>
      </c>
      <c r="G15" s="23">
        <v>6610948</v>
      </c>
      <c r="H15" s="23">
        <v>7197089</v>
      </c>
      <c r="I15" s="23">
        <v>7766066.6960085966</v>
      </c>
      <c r="J15" s="23">
        <v>8838976.7738809455</v>
      </c>
      <c r="K15" s="23">
        <v>8521984.4290111959</v>
      </c>
      <c r="L15" s="23">
        <v>8244762.5955099333</v>
      </c>
      <c r="M15" s="23">
        <v>10906556.737313097</v>
      </c>
      <c r="N15" s="23">
        <v>11840007.473578328</v>
      </c>
      <c r="O15" s="23">
        <v>12397490.831770038</v>
      </c>
      <c r="P15" s="23">
        <v>13573823.307861436</v>
      </c>
      <c r="Q15" s="3"/>
      <c r="R15" s="4"/>
      <c r="S15" s="4"/>
      <c r="T15" s="3"/>
      <c r="U15" s="4"/>
      <c r="V15" s="4"/>
      <c r="W15" s="4"/>
      <c r="X15" s="4"/>
      <c r="Y15" s="3"/>
      <c r="Z15" s="4"/>
      <c r="AA15" s="4"/>
      <c r="AB15" s="3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3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3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3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1"/>
      <c r="GM15" s="1"/>
      <c r="GN15" s="1"/>
    </row>
    <row r="16" spans="1:197" s="12" customFormat="1" ht="15.75" x14ac:dyDescent="0.25">
      <c r="A16" s="25"/>
      <c r="B16" s="26" t="s">
        <v>29</v>
      </c>
      <c r="C16" s="27">
        <f>+C13+C14+C15</f>
        <v>8369966.669712347</v>
      </c>
      <c r="D16" s="27">
        <f t="shared" ref="D16:F16" si="6">+D13+D14+D15</f>
        <v>9192004.6577045936</v>
      </c>
      <c r="E16" s="27">
        <f t="shared" si="6"/>
        <v>9963646.7846032605</v>
      </c>
      <c r="F16" s="27">
        <f t="shared" si="6"/>
        <v>10592671.378769644</v>
      </c>
      <c r="G16" s="27">
        <f t="shared" ref="G16:M16" si="7">+G13+G14+G15</f>
        <v>11444551.482451197</v>
      </c>
      <c r="H16" s="27">
        <f t="shared" si="7"/>
        <v>12976146.127062134</v>
      </c>
      <c r="I16" s="27">
        <f t="shared" si="7"/>
        <v>14308592.056107512</v>
      </c>
      <c r="J16" s="27">
        <f t="shared" si="7"/>
        <v>15330908.436459376</v>
      </c>
      <c r="K16" s="27">
        <f t="shared" si="7"/>
        <v>14912596.467667159</v>
      </c>
      <c r="L16" s="27">
        <f t="shared" si="7"/>
        <v>14609455.380234342</v>
      </c>
      <c r="M16" s="27">
        <f t="shared" si="7"/>
        <v>18243380.96635633</v>
      </c>
      <c r="N16" s="27">
        <f t="shared" ref="N16:O16" si="8">+N13+N14+N15</f>
        <v>19182974.956283912</v>
      </c>
      <c r="O16" s="27">
        <f t="shared" si="8"/>
        <v>21327604.160287887</v>
      </c>
      <c r="P16" s="27">
        <f t="shared" ref="P16" si="9">+P13+P14+P15</f>
        <v>23291119.998132676</v>
      </c>
      <c r="Q16" s="3"/>
      <c r="R16" s="4"/>
      <c r="S16" s="4"/>
      <c r="T16" s="3"/>
      <c r="U16" s="4"/>
      <c r="V16" s="4"/>
      <c r="W16" s="4"/>
      <c r="X16" s="4"/>
      <c r="Y16" s="3"/>
      <c r="Z16" s="4"/>
      <c r="AA16" s="4"/>
      <c r="AB16" s="3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0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0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0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1"/>
      <c r="GM16" s="11"/>
      <c r="GN16" s="11"/>
    </row>
    <row r="17" spans="1:197" s="11" customFormat="1" ht="45" x14ac:dyDescent="0.25">
      <c r="A17" s="18" t="s">
        <v>35</v>
      </c>
      <c r="B17" s="19" t="s">
        <v>7</v>
      </c>
      <c r="C17" s="20">
        <f>C18+C19</f>
        <v>5125614.7278936962</v>
      </c>
      <c r="D17" s="20">
        <f t="shared" ref="D17:F17" si="10">D18+D19</f>
        <v>6266807.4760362525</v>
      </c>
      <c r="E17" s="20">
        <f t="shared" si="10"/>
        <v>7097012.9022615934</v>
      </c>
      <c r="F17" s="20">
        <f t="shared" si="10"/>
        <v>8092975.5980601367</v>
      </c>
      <c r="G17" s="20">
        <f t="shared" ref="G17:M17" si="11">G18+G19</f>
        <v>9026618.7367756069</v>
      </c>
      <c r="H17" s="20">
        <f t="shared" si="11"/>
        <v>9615249.7764663696</v>
      </c>
      <c r="I17" s="20">
        <f t="shared" si="11"/>
        <v>11436388.337636853</v>
      </c>
      <c r="J17" s="20">
        <f t="shared" si="11"/>
        <v>13390446.394372182</v>
      </c>
      <c r="K17" s="20">
        <f t="shared" si="11"/>
        <v>14572184.922342274</v>
      </c>
      <c r="L17" s="20">
        <f t="shared" si="11"/>
        <v>11122399.191404706</v>
      </c>
      <c r="M17" s="20">
        <f t="shared" si="11"/>
        <v>14092914.003116157</v>
      </c>
      <c r="N17" s="20">
        <f t="shared" ref="N17:O17" si="12">N18+N19</f>
        <v>17671246.873480838</v>
      </c>
      <c r="O17" s="20">
        <f t="shared" si="12"/>
        <v>19297986.338938627</v>
      </c>
      <c r="P17" s="20">
        <f t="shared" ref="P17" si="13">P18+P19</f>
        <v>22602553.138877049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O17" s="12"/>
    </row>
    <row r="18" spans="1:197" ht="30" x14ac:dyDescent="0.25">
      <c r="A18" s="21">
        <v>6.1</v>
      </c>
      <c r="B18" s="22" t="s">
        <v>8</v>
      </c>
      <c r="C18" s="23">
        <v>4557807.1662132265</v>
      </c>
      <c r="D18" s="23">
        <v>5637674.2782926299</v>
      </c>
      <c r="E18" s="23">
        <v>6435066.6248058043</v>
      </c>
      <c r="F18" s="23">
        <v>7401782.1061940119</v>
      </c>
      <c r="G18" s="23">
        <v>8306849.5662615662</v>
      </c>
      <c r="H18" s="23">
        <v>9295567.7684780471</v>
      </c>
      <c r="I18" s="23">
        <v>10516117.337636853</v>
      </c>
      <c r="J18" s="23">
        <v>12394061.822035164</v>
      </c>
      <c r="K18" s="23">
        <v>13470653.257092463</v>
      </c>
      <c r="L18" s="23">
        <v>10700445.090944519</v>
      </c>
      <c r="M18" s="23">
        <v>13401560.508688712</v>
      </c>
      <c r="N18" s="23">
        <v>16256913.577137211</v>
      </c>
      <c r="O18" s="23">
        <v>17608584.38725346</v>
      </c>
      <c r="P18" s="23">
        <v>20585498.226204634</v>
      </c>
      <c r="Q18" s="3"/>
      <c r="R18" s="4"/>
      <c r="S18" s="4"/>
      <c r="T18" s="3"/>
      <c r="U18" s="4"/>
      <c r="V18" s="4"/>
      <c r="W18" s="4"/>
      <c r="X18" s="4"/>
      <c r="Y18" s="3"/>
      <c r="Z18" s="4"/>
      <c r="AA18" s="4"/>
      <c r="AB18" s="3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1"/>
      <c r="GM18" s="1"/>
      <c r="GN18" s="1"/>
    </row>
    <row r="19" spans="1:197" ht="30" x14ac:dyDescent="0.25">
      <c r="A19" s="21">
        <v>6.2</v>
      </c>
      <c r="B19" s="22" t="s">
        <v>9</v>
      </c>
      <c r="C19" s="23">
        <v>567807.56168046966</v>
      </c>
      <c r="D19" s="23">
        <v>629133.19774362235</v>
      </c>
      <c r="E19" s="23">
        <v>661946.27745578927</v>
      </c>
      <c r="F19" s="23">
        <v>691193.49186612444</v>
      </c>
      <c r="G19" s="23">
        <v>719769.17051404028</v>
      </c>
      <c r="H19" s="23">
        <v>319682.00798832183</v>
      </c>
      <c r="I19" s="23">
        <v>920271</v>
      </c>
      <c r="J19" s="23">
        <v>996384.57233701856</v>
      </c>
      <c r="K19" s="23">
        <v>1101531.6652498122</v>
      </c>
      <c r="L19" s="23">
        <v>421954.10046018579</v>
      </c>
      <c r="M19" s="23">
        <v>691353.49442744383</v>
      </c>
      <c r="N19" s="23">
        <v>1414333.2963436251</v>
      </c>
      <c r="O19" s="23">
        <v>1689401.9516851695</v>
      </c>
      <c r="P19" s="23">
        <v>2017054.9126724172</v>
      </c>
      <c r="Q19" s="3"/>
      <c r="R19" s="4"/>
      <c r="S19" s="4"/>
      <c r="T19" s="3"/>
      <c r="U19" s="4"/>
      <c r="V19" s="4"/>
      <c r="W19" s="4"/>
      <c r="X19" s="4"/>
      <c r="Y19" s="3"/>
      <c r="Z19" s="4"/>
      <c r="AA19" s="4"/>
      <c r="AB19" s="3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1"/>
      <c r="GM19" s="1"/>
      <c r="GN19" s="1"/>
    </row>
    <row r="20" spans="1:197" s="11" customFormat="1" ht="90" x14ac:dyDescent="0.25">
      <c r="A20" s="32" t="s">
        <v>36</v>
      </c>
      <c r="B20" s="33" t="s">
        <v>10</v>
      </c>
      <c r="C20" s="20">
        <f>SUM(C21:C27)</f>
        <v>2490301.2814251455</v>
      </c>
      <c r="D20" s="20">
        <f t="shared" ref="D20:F20" si="14">SUM(D21:D27)</f>
        <v>2779788.2833357565</v>
      </c>
      <c r="E20" s="20">
        <f t="shared" si="14"/>
        <v>3157736.9561844855</v>
      </c>
      <c r="F20" s="20">
        <f t="shared" si="14"/>
        <v>3427498.0302640637</v>
      </c>
      <c r="G20" s="20">
        <f t="shared" ref="G20:M20" si="15">SUM(G21:G27)</f>
        <v>3609834.8583408752</v>
      </c>
      <c r="H20" s="20">
        <f t="shared" si="15"/>
        <v>4255844.795167136</v>
      </c>
      <c r="I20" s="20">
        <f t="shared" si="15"/>
        <v>3699838.3114143945</v>
      </c>
      <c r="J20" s="20">
        <f t="shared" si="15"/>
        <v>3832520.8244634373</v>
      </c>
      <c r="K20" s="20">
        <f t="shared" si="15"/>
        <v>3954877.3839610852</v>
      </c>
      <c r="L20" s="20">
        <f t="shared" si="15"/>
        <v>3179074.6070204871</v>
      </c>
      <c r="M20" s="20">
        <f t="shared" si="15"/>
        <v>4641216.5086488156</v>
      </c>
      <c r="N20" s="20">
        <f t="shared" ref="N20:P20" si="16">SUM(N21:N27)</f>
        <v>5283372.9184791129</v>
      </c>
      <c r="O20" s="20">
        <f t="shared" si="16"/>
        <v>5647163.1917469753</v>
      </c>
      <c r="P20" s="20">
        <f t="shared" si="16"/>
        <v>6061585.8394539542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O20" s="12"/>
    </row>
    <row r="21" spans="1:197" ht="15.75" x14ac:dyDescent="0.25">
      <c r="A21" s="21">
        <v>7.1</v>
      </c>
      <c r="B21" s="22" t="s">
        <v>11</v>
      </c>
      <c r="C21" s="23">
        <v>80346.33327869502</v>
      </c>
      <c r="D21" s="23">
        <v>99329.473492502104</v>
      </c>
      <c r="E21" s="23">
        <v>103092.67062567348</v>
      </c>
      <c r="F21" s="23">
        <v>120664.04670630628</v>
      </c>
      <c r="G21" s="23">
        <v>133434</v>
      </c>
      <c r="H21" s="23">
        <v>144026.41925996495</v>
      </c>
      <c r="I21" s="23">
        <v>160115.26495528608</v>
      </c>
      <c r="J21" s="23">
        <v>167235.93497063487</v>
      </c>
      <c r="K21" s="23">
        <v>174693.22879437971</v>
      </c>
      <c r="L21" s="23">
        <v>97364.627950222348</v>
      </c>
      <c r="M21" s="23">
        <v>142592.97152879208</v>
      </c>
      <c r="N21" s="23">
        <v>173292.13269122667</v>
      </c>
      <c r="O21" s="23">
        <v>182538.71487048164</v>
      </c>
      <c r="P21" s="23">
        <v>195404.54577480874</v>
      </c>
      <c r="Q21" s="3"/>
      <c r="R21" s="4"/>
      <c r="S21" s="4"/>
      <c r="T21" s="3"/>
      <c r="U21" s="4"/>
      <c r="V21" s="4"/>
      <c r="W21" s="4"/>
      <c r="X21" s="4"/>
      <c r="Y21" s="3"/>
      <c r="Z21" s="4"/>
      <c r="AA21" s="4"/>
      <c r="AB21" s="3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1"/>
      <c r="GM21" s="1"/>
      <c r="GN21" s="1"/>
    </row>
    <row r="22" spans="1:197" ht="15.75" x14ac:dyDescent="0.25">
      <c r="A22" s="21">
        <v>7.2</v>
      </c>
      <c r="B22" s="22" t="s">
        <v>12</v>
      </c>
      <c r="C22" s="23">
        <v>1830748.2476574448</v>
      </c>
      <c r="D22" s="23">
        <v>2049226.5547620426</v>
      </c>
      <c r="E22" s="23">
        <v>2390525.0504512032</v>
      </c>
      <c r="F22" s="23">
        <v>2508901.3007082362</v>
      </c>
      <c r="G22" s="23">
        <v>2527286.068</v>
      </c>
      <c r="H22" s="23">
        <v>2891159.5834292616</v>
      </c>
      <c r="I22" s="23">
        <v>2541271.2648723288</v>
      </c>
      <c r="J22" s="23">
        <v>2697264.0118431435</v>
      </c>
      <c r="K22" s="23">
        <v>2683053.3447007313</v>
      </c>
      <c r="L22" s="23">
        <v>2050194.0009078039</v>
      </c>
      <c r="M22" s="23">
        <v>3258482.0716635599</v>
      </c>
      <c r="N22" s="23">
        <v>3600060.626959533</v>
      </c>
      <c r="O22" s="23">
        <v>3727926.0639945529</v>
      </c>
      <c r="P22" s="23">
        <v>3912618.5328296404</v>
      </c>
      <c r="Q22" s="3"/>
      <c r="R22" s="4"/>
      <c r="S22" s="4"/>
      <c r="T22" s="3"/>
      <c r="U22" s="4"/>
      <c r="V22" s="4"/>
      <c r="W22" s="4"/>
      <c r="X22" s="4"/>
      <c r="Y22" s="3"/>
      <c r="Z22" s="4"/>
      <c r="AA22" s="4"/>
      <c r="AB22" s="3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1"/>
      <c r="GM22" s="1"/>
      <c r="GN22" s="1"/>
    </row>
    <row r="23" spans="1:197" ht="15.75" x14ac:dyDescent="0.25">
      <c r="A23" s="21">
        <v>7.3</v>
      </c>
      <c r="B23" s="22" t="s">
        <v>13</v>
      </c>
      <c r="C23" s="23">
        <v>25872.209270814612</v>
      </c>
      <c r="D23" s="23">
        <v>22346.87998042909</v>
      </c>
      <c r="E23" s="23">
        <v>11173.937927503201</v>
      </c>
      <c r="F23" s="23">
        <v>15721.462300089554</v>
      </c>
      <c r="G23" s="23">
        <v>13087.114662720773</v>
      </c>
      <c r="H23" s="23">
        <v>9934.9095975934106</v>
      </c>
      <c r="I23" s="23">
        <v>25479.784749221406</v>
      </c>
      <c r="J23" s="23">
        <v>35642.359562759921</v>
      </c>
      <c r="K23" s="23">
        <v>36025.966293937337</v>
      </c>
      <c r="L23" s="23">
        <v>36712.967137936452</v>
      </c>
      <c r="M23" s="23">
        <v>59677.095221832678</v>
      </c>
      <c r="N23" s="23">
        <v>62930.541833317613</v>
      </c>
      <c r="O23" s="23">
        <v>62961.831976598623</v>
      </c>
      <c r="P23" s="23">
        <v>66669.224663252739</v>
      </c>
      <c r="Q23" s="3"/>
      <c r="R23" s="4"/>
      <c r="S23" s="4"/>
      <c r="T23" s="3"/>
      <c r="U23" s="4"/>
      <c r="V23" s="4"/>
      <c r="W23" s="4"/>
      <c r="X23" s="4"/>
      <c r="Y23" s="3"/>
      <c r="Z23" s="4"/>
      <c r="AA23" s="4"/>
      <c r="AB23" s="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1"/>
      <c r="GM23" s="1"/>
      <c r="GN23" s="1"/>
    </row>
    <row r="24" spans="1:197" ht="15.75" x14ac:dyDescent="0.25">
      <c r="A24" s="21">
        <v>7.4</v>
      </c>
      <c r="B24" s="22" t="s">
        <v>14</v>
      </c>
      <c r="C24" s="23">
        <v>24600.243317626595</v>
      </c>
      <c r="D24" s="23">
        <v>47632.6203241599</v>
      </c>
      <c r="E24" s="23">
        <v>20925.132517341837</v>
      </c>
      <c r="F24" s="23">
        <v>48399.400866153228</v>
      </c>
      <c r="G24" s="23">
        <v>101309.592</v>
      </c>
      <c r="H24" s="23">
        <v>112290.12726466029</v>
      </c>
      <c r="I24" s="23">
        <v>108879.67</v>
      </c>
      <c r="J24" s="23">
        <v>47292.806959063339</v>
      </c>
      <c r="K24" s="23">
        <v>73855.559446107392</v>
      </c>
      <c r="L24" s="23">
        <v>5846.5179555928626</v>
      </c>
      <c r="M24" s="23">
        <v>3941.5889585903424</v>
      </c>
      <c r="N24" s="23">
        <v>35393.543325557242</v>
      </c>
      <c r="O24" s="23">
        <v>103497.27725502467</v>
      </c>
      <c r="P24" s="23">
        <v>154592.27332217264</v>
      </c>
      <c r="Q24" s="3"/>
      <c r="R24" s="4"/>
      <c r="S24" s="4"/>
      <c r="T24" s="3"/>
      <c r="U24" s="4"/>
      <c r="V24" s="4"/>
      <c r="W24" s="4"/>
      <c r="X24" s="4"/>
      <c r="Y24" s="3"/>
      <c r="Z24" s="4"/>
      <c r="AA24" s="4"/>
      <c r="AB24" s="3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1"/>
      <c r="GM24" s="1"/>
      <c r="GN24" s="1"/>
    </row>
    <row r="25" spans="1:197" ht="45" x14ac:dyDescent="0.25">
      <c r="A25" s="21">
        <v>7.5</v>
      </c>
      <c r="B25" s="22" t="s">
        <v>15</v>
      </c>
      <c r="C25" s="23">
        <v>56529.146175082751</v>
      </c>
      <c r="D25" s="23">
        <v>54045.000508172881</v>
      </c>
      <c r="E25" s="23">
        <v>60071.925223636106</v>
      </c>
      <c r="F25" s="23">
        <v>67570.554377000168</v>
      </c>
      <c r="G25" s="23">
        <v>73317.686000000002</v>
      </c>
      <c r="H25" s="23">
        <v>135812.67486025486</v>
      </c>
      <c r="I25" s="23">
        <v>130937.16191833963</v>
      </c>
      <c r="J25" s="23">
        <v>136675.62573809273</v>
      </c>
      <c r="K25" s="23">
        <v>134823.05347535145</v>
      </c>
      <c r="L25" s="23">
        <v>92653.241127024186</v>
      </c>
      <c r="M25" s="23">
        <v>128540.38435867435</v>
      </c>
      <c r="N25" s="23">
        <v>149719.15815375536</v>
      </c>
      <c r="O25" s="23">
        <v>179185.71676469428</v>
      </c>
      <c r="P25" s="23">
        <v>190194.16618334054</v>
      </c>
      <c r="Q25" s="3"/>
      <c r="R25" s="4"/>
      <c r="S25" s="4"/>
      <c r="T25" s="3"/>
      <c r="U25" s="4"/>
      <c r="V25" s="4"/>
      <c r="W25" s="4"/>
      <c r="X25" s="4"/>
      <c r="Y25" s="3"/>
      <c r="Z25" s="4"/>
      <c r="AA25" s="4"/>
      <c r="AB25" s="3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1"/>
      <c r="GM25" s="1"/>
      <c r="GN25" s="1"/>
    </row>
    <row r="26" spans="1:197" ht="15.75" x14ac:dyDescent="0.25">
      <c r="A26" s="21">
        <v>7.6</v>
      </c>
      <c r="B26" s="22" t="s">
        <v>16</v>
      </c>
      <c r="C26" s="23">
        <v>2839.4659263339872</v>
      </c>
      <c r="D26" s="23">
        <v>3235.1997753314595</v>
      </c>
      <c r="E26" s="23">
        <v>2433.5351500068755</v>
      </c>
      <c r="F26" s="23">
        <v>2574.835477981746</v>
      </c>
      <c r="G26" s="23">
        <v>2794.0895</v>
      </c>
      <c r="H26" s="23">
        <v>4253.2015626218017</v>
      </c>
      <c r="I26" s="23">
        <v>5192</v>
      </c>
      <c r="J26" s="23">
        <v>10376.499486043129</v>
      </c>
      <c r="K26" s="23">
        <v>10698.030399718624</v>
      </c>
      <c r="L26" s="23">
        <v>11586.513135058303</v>
      </c>
      <c r="M26" s="23">
        <v>11901.208201126599</v>
      </c>
      <c r="N26" s="23">
        <v>12441.871114051293</v>
      </c>
      <c r="O26" s="23">
        <v>15141.91239181898</v>
      </c>
      <c r="P26" s="23">
        <v>17131.544119253296</v>
      </c>
      <c r="Q26" s="3"/>
      <c r="R26" s="4"/>
      <c r="S26" s="4"/>
      <c r="T26" s="3"/>
      <c r="U26" s="4"/>
      <c r="V26" s="4"/>
      <c r="W26" s="4"/>
      <c r="X26" s="4"/>
      <c r="Y26" s="3"/>
      <c r="Z26" s="4"/>
      <c r="AA26" s="4"/>
      <c r="AB26" s="3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1"/>
      <c r="GM26" s="1"/>
      <c r="GN26" s="1"/>
    </row>
    <row r="27" spans="1:197" ht="60" x14ac:dyDescent="0.25">
      <c r="A27" s="21">
        <v>7.7</v>
      </c>
      <c r="B27" s="22" t="s">
        <v>17</v>
      </c>
      <c r="C27" s="23">
        <v>469365.6357991476</v>
      </c>
      <c r="D27" s="23">
        <v>503972.55449311796</v>
      </c>
      <c r="E27" s="23">
        <v>569514.70428912062</v>
      </c>
      <c r="F27" s="23">
        <v>663666.42982829618</v>
      </c>
      <c r="G27" s="23">
        <v>758606.3081781544</v>
      </c>
      <c r="H27" s="23">
        <v>958367.87919277942</v>
      </c>
      <c r="I27" s="23">
        <v>727963.16491921875</v>
      </c>
      <c r="J27" s="23">
        <v>738033.58590370021</v>
      </c>
      <c r="K27" s="23">
        <v>841728.20085085905</v>
      </c>
      <c r="L27" s="23">
        <v>884716.73880684876</v>
      </c>
      <c r="M27" s="23">
        <v>1036081.1887162396</v>
      </c>
      <c r="N27" s="23">
        <v>1249535.0444016713</v>
      </c>
      <c r="O27" s="23">
        <v>1375911.6744938034</v>
      </c>
      <c r="P27" s="23">
        <v>1524975.5525614857</v>
      </c>
      <c r="Q27" s="3"/>
      <c r="R27" s="4"/>
      <c r="S27" s="4"/>
      <c r="T27" s="3"/>
      <c r="U27" s="4"/>
      <c r="V27" s="4"/>
      <c r="W27" s="4"/>
      <c r="X27" s="4"/>
      <c r="Y27" s="3"/>
      <c r="Z27" s="4"/>
      <c r="AA27" s="4"/>
      <c r="AB27" s="3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1"/>
      <c r="GM27" s="1"/>
      <c r="GN27" s="1"/>
    </row>
    <row r="28" spans="1:197" ht="30" x14ac:dyDescent="0.25">
      <c r="A28" s="24" t="s">
        <v>37</v>
      </c>
      <c r="B28" s="22" t="s">
        <v>18</v>
      </c>
      <c r="C28" s="23">
        <v>1408253.7384447788</v>
      </c>
      <c r="D28" s="23">
        <v>1601339.0527737865</v>
      </c>
      <c r="E28" s="23">
        <v>1822101.2175679971</v>
      </c>
      <c r="F28" s="23">
        <v>2046259.2040337557</v>
      </c>
      <c r="G28" s="23">
        <v>2187845.602444856</v>
      </c>
      <c r="H28" s="23">
        <v>1102011.409526455</v>
      </c>
      <c r="I28" s="23">
        <v>2486710.4224998509</v>
      </c>
      <c r="J28" s="23">
        <v>3181442.1924612969</v>
      </c>
      <c r="K28" s="23">
        <v>3403535.1702994974</v>
      </c>
      <c r="L28" s="23">
        <v>3527916.9252404356</v>
      </c>
      <c r="M28" s="23">
        <v>3919387.4462855393</v>
      </c>
      <c r="N28" s="23">
        <v>4537290.0166900354</v>
      </c>
      <c r="O28" s="23">
        <v>5044490.8015359174</v>
      </c>
      <c r="P28" s="23">
        <v>5678579.3899467103</v>
      </c>
      <c r="Q28" s="3"/>
      <c r="R28" s="4"/>
      <c r="S28" s="4"/>
      <c r="T28" s="3"/>
      <c r="U28" s="4"/>
      <c r="V28" s="4"/>
      <c r="W28" s="4"/>
      <c r="X28" s="4"/>
      <c r="Y28" s="3"/>
      <c r="Z28" s="4"/>
      <c r="AA28" s="4"/>
      <c r="AB28" s="3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1"/>
      <c r="GM28" s="1"/>
      <c r="GN28" s="1"/>
    </row>
    <row r="29" spans="1:197" ht="75" x14ac:dyDescent="0.25">
      <c r="A29" s="24" t="s">
        <v>38</v>
      </c>
      <c r="B29" s="22" t="s">
        <v>19</v>
      </c>
      <c r="C29" s="23">
        <v>3549759.9244021275</v>
      </c>
      <c r="D29" s="23">
        <v>4431326.5586168617</v>
      </c>
      <c r="E29" s="23">
        <v>5261901.2498029834</v>
      </c>
      <c r="F29" s="23">
        <v>6100925.0406132434</v>
      </c>
      <c r="G29" s="23">
        <v>6692320.9241647692</v>
      </c>
      <c r="H29" s="23">
        <v>8460221.7394967359</v>
      </c>
      <c r="I29" s="23">
        <v>8595766</v>
      </c>
      <c r="J29" s="23">
        <v>9918783.5306954496</v>
      </c>
      <c r="K29" s="23">
        <v>10293454.018852865</v>
      </c>
      <c r="L29" s="23">
        <v>10664810.474114602</v>
      </c>
      <c r="M29" s="23">
        <v>12274167.659673598</v>
      </c>
      <c r="N29" s="23">
        <v>13513623.48042302</v>
      </c>
      <c r="O29" s="23">
        <v>15247617.823768329</v>
      </c>
      <c r="P29" s="23">
        <v>16867989.854947172</v>
      </c>
      <c r="Q29" s="3"/>
      <c r="R29" s="4"/>
      <c r="S29" s="4"/>
      <c r="T29" s="3"/>
      <c r="U29" s="4"/>
      <c r="V29" s="4"/>
      <c r="W29" s="4"/>
      <c r="X29" s="4"/>
      <c r="Y29" s="3"/>
      <c r="Z29" s="4"/>
      <c r="AA29" s="4"/>
      <c r="AB29" s="3"/>
      <c r="AC29" s="5"/>
      <c r="AD29" s="5"/>
      <c r="AE29" s="5"/>
      <c r="AF29" s="5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1"/>
      <c r="GM29" s="1"/>
      <c r="GN29" s="1"/>
    </row>
    <row r="30" spans="1:197" ht="30" x14ac:dyDescent="0.25">
      <c r="A30" s="24" t="s">
        <v>39</v>
      </c>
      <c r="B30" s="22" t="s">
        <v>54</v>
      </c>
      <c r="C30" s="23">
        <v>1223565.6108417301</v>
      </c>
      <c r="D30" s="23">
        <v>1336124.3830764485</v>
      </c>
      <c r="E30" s="23">
        <v>1466779.5745300837</v>
      </c>
      <c r="F30" s="23">
        <v>1380632.1566145101</v>
      </c>
      <c r="G30" s="23">
        <v>1481748.5225290721</v>
      </c>
      <c r="H30" s="23">
        <v>1702075.9633941271</v>
      </c>
      <c r="I30" s="23">
        <v>2132104.1354328934</v>
      </c>
      <c r="J30" s="23">
        <v>2211859.9540446475</v>
      </c>
      <c r="K30" s="23">
        <v>2224061.1744643203</v>
      </c>
      <c r="L30" s="23">
        <v>2050694.7778876782</v>
      </c>
      <c r="M30" s="23">
        <v>3222255.7285298696</v>
      </c>
      <c r="N30" s="23">
        <v>3663036.7896024315</v>
      </c>
      <c r="O30" s="23">
        <v>3797827.5024800003</v>
      </c>
      <c r="P30" s="23">
        <v>3954032.2733937716</v>
      </c>
      <c r="Q30" s="3"/>
      <c r="R30" s="4"/>
      <c r="S30" s="4"/>
      <c r="T30" s="3"/>
      <c r="U30" s="4"/>
      <c r="V30" s="4"/>
      <c r="W30" s="4"/>
      <c r="X30" s="4"/>
      <c r="Y30" s="3"/>
      <c r="Z30" s="4"/>
      <c r="AA30" s="4"/>
      <c r="AB30" s="3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1"/>
      <c r="GM30" s="1"/>
      <c r="GN30" s="1"/>
    </row>
    <row r="31" spans="1:197" ht="15.75" x14ac:dyDescent="0.25">
      <c r="A31" s="24" t="s">
        <v>40</v>
      </c>
      <c r="B31" s="22" t="s">
        <v>20</v>
      </c>
      <c r="C31" s="23">
        <v>3592748.2297423896</v>
      </c>
      <c r="D31" s="23">
        <v>4102938.006813609</v>
      </c>
      <c r="E31" s="23">
        <v>4615184.7378150569</v>
      </c>
      <c r="F31" s="23">
        <v>4957940.0589688439</v>
      </c>
      <c r="G31" s="23">
        <v>5619541.9995027296</v>
      </c>
      <c r="H31" s="23">
        <v>6760236.9528078223</v>
      </c>
      <c r="I31" s="23">
        <v>7679344.2147372756</v>
      </c>
      <c r="J31" s="23">
        <v>7829077.6684051901</v>
      </c>
      <c r="K31" s="23">
        <v>8658582.3194696791</v>
      </c>
      <c r="L31" s="23">
        <v>7612131.9530679854</v>
      </c>
      <c r="M31" s="23">
        <v>8591899.2635468189</v>
      </c>
      <c r="N31" s="23">
        <v>9999955.0418138131</v>
      </c>
      <c r="O31" s="23">
        <v>11339094.121260514</v>
      </c>
      <c r="P31" s="23">
        <v>12230466.301939428</v>
      </c>
      <c r="Q31" s="3"/>
      <c r="R31" s="4"/>
      <c r="S31" s="4"/>
      <c r="T31" s="3"/>
      <c r="U31" s="4"/>
      <c r="V31" s="4"/>
      <c r="W31" s="4"/>
      <c r="X31" s="4"/>
      <c r="Y31" s="3"/>
      <c r="Z31" s="4"/>
      <c r="AA31" s="4"/>
      <c r="AB31" s="3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1"/>
      <c r="GM31" s="1"/>
      <c r="GN31" s="1"/>
    </row>
    <row r="32" spans="1:197" s="12" customFormat="1" ht="15.75" x14ac:dyDescent="0.25">
      <c r="A32" s="25"/>
      <c r="B32" s="26" t="s">
        <v>30</v>
      </c>
      <c r="C32" s="27">
        <f>C17+C20+C28+C29+C30+C31</f>
        <v>17390243.512749869</v>
      </c>
      <c r="D32" s="27">
        <f t="shared" ref="D32:F32" si="17">D17+D20+D28+D29+D30+D31</f>
        <v>20518323.760652713</v>
      </c>
      <c r="E32" s="27">
        <f t="shared" si="17"/>
        <v>23420716.638162199</v>
      </c>
      <c r="F32" s="27">
        <f t="shared" si="17"/>
        <v>26006230.088554554</v>
      </c>
      <c r="G32" s="27">
        <f t="shared" ref="G32:H32" si="18">G17+G20+G28+G29+G30+G31</f>
        <v>28617910.64375791</v>
      </c>
      <c r="H32" s="27">
        <f t="shared" si="18"/>
        <v>31895640.636858646</v>
      </c>
      <c r="I32" s="27">
        <f t="shared" ref="I32:J32" si="19">I17+I20+I28+I29+I30+I31</f>
        <v>36030151.421721265</v>
      </c>
      <c r="J32" s="27">
        <f t="shared" si="19"/>
        <v>40364130.564442202</v>
      </c>
      <c r="K32" s="27">
        <f t="shared" ref="K32:L32" si="20">K17+K20+K28+K29+K30+K31</f>
        <v>43106694.989389718</v>
      </c>
      <c r="L32" s="27">
        <f t="shared" si="20"/>
        <v>38157027.928735897</v>
      </c>
      <c r="M32" s="27">
        <f t="shared" ref="M32" si="21">M17+M20+M28+M29+M30+M31</f>
        <v>46741840.609800793</v>
      </c>
      <c r="N32" s="27">
        <f t="shared" ref="N32:O32" si="22">N17+N20+N28+N29+N30+N31</f>
        <v>54668525.120489247</v>
      </c>
      <c r="O32" s="27">
        <f t="shared" si="22"/>
        <v>60374179.779730372</v>
      </c>
      <c r="P32" s="27">
        <f t="shared" ref="P32" si="23">P17+P20+P28+P29+P30+P31</f>
        <v>67395206.798558086</v>
      </c>
      <c r="Q32" s="3"/>
      <c r="R32" s="4"/>
      <c r="S32" s="4"/>
      <c r="T32" s="3"/>
      <c r="U32" s="4"/>
      <c r="V32" s="4"/>
      <c r="W32" s="4"/>
      <c r="X32" s="4"/>
      <c r="Y32" s="3"/>
      <c r="Z32" s="4"/>
      <c r="AA32" s="4"/>
      <c r="AB32" s="3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1"/>
      <c r="GM32" s="11"/>
      <c r="GN32" s="11"/>
    </row>
    <row r="33" spans="1:197" s="11" customFormat="1" ht="30" x14ac:dyDescent="0.25">
      <c r="A33" s="18" t="s">
        <v>27</v>
      </c>
      <c r="B33" s="35" t="s">
        <v>51</v>
      </c>
      <c r="C33" s="20">
        <f t="shared" ref="C33:H33" si="24">C6+C11+C13+C14+C15+C17+C20+C28+C29+C30+C31</f>
        <v>30026634.292578615</v>
      </c>
      <c r="D33" s="20">
        <f t="shared" si="24"/>
        <v>34035399.367130786</v>
      </c>
      <c r="E33" s="20">
        <f t="shared" si="24"/>
        <v>38132405.28024935</v>
      </c>
      <c r="F33" s="20">
        <f t="shared" si="24"/>
        <v>41985946.805480801</v>
      </c>
      <c r="G33" s="20">
        <f t="shared" si="24"/>
        <v>45305374.192471817</v>
      </c>
      <c r="H33" s="20">
        <f t="shared" si="24"/>
        <v>50595254.763920784</v>
      </c>
      <c r="I33" s="20">
        <f t="shared" ref="I33:J33" si="25">I6+I11+I13+I14+I15+I17+I20+I28+I29+I30+I31</f>
        <v>56538929.628507003</v>
      </c>
      <c r="J33" s="20">
        <f t="shared" si="25"/>
        <v>62005800.758248635</v>
      </c>
      <c r="K33" s="20">
        <f t="shared" ref="K33:L33" si="26">K6+K11+K13+K14+K15+K17+K20+K28+K29+K30+K31</f>
        <v>64498014.734804124</v>
      </c>
      <c r="L33" s="20">
        <f t="shared" si="26"/>
        <v>59486743.899092779</v>
      </c>
      <c r="M33" s="20">
        <f t="shared" ref="M33" si="27">M6+M11+M13+M14+M15+M17+M20+M28+M29+M30+M31</f>
        <v>71774254.043468565</v>
      </c>
      <c r="N33" s="20">
        <f t="shared" ref="N33:O33" si="28">N6+N11+N13+N14+N15+N17+N20+N28+N29+N30+N31</f>
        <v>80873298.198055327</v>
      </c>
      <c r="O33" s="20">
        <f t="shared" si="28"/>
        <v>88705287.455547437</v>
      </c>
      <c r="P33" s="20">
        <f t="shared" ref="P33" si="29">P6+P11+P13+P14+P15+P17+P20+P28+P29+P30+P31</f>
        <v>97864664.205414549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O33" s="12"/>
    </row>
    <row r="34" spans="1:197" s="12" customFormat="1" ht="30" x14ac:dyDescent="0.25">
      <c r="A34" s="38" t="s">
        <v>43</v>
      </c>
      <c r="B34" s="39" t="s">
        <v>25</v>
      </c>
      <c r="C34" s="27">
        <f>GSVA_cur!C34</f>
        <v>3407148</v>
      </c>
      <c r="D34" s="27">
        <f>GSVA_cur!D34</f>
        <v>3997082</v>
      </c>
      <c r="E34" s="27">
        <f>GSVA_cur!E34</f>
        <v>4455259.4984515188</v>
      </c>
      <c r="F34" s="27">
        <f>GSVA_cur!F34</f>
        <v>4890426</v>
      </c>
      <c r="G34" s="27">
        <f>GSVA_cur!G34</f>
        <v>6001213</v>
      </c>
      <c r="H34" s="27">
        <f>GSVA_cur!H34</f>
        <v>7010436</v>
      </c>
      <c r="I34" s="27">
        <f>GSVA_cur!I34</f>
        <v>7351739</v>
      </c>
      <c r="J34" s="27">
        <f>GSVA_cur!J34</f>
        <v>9729215</v>
      </c>
      <c r="K34" s="27">
        <f>GSVA_cur!K34</f>
        <v>8792102</v>
      </c>
      <c r="L34" s="27">
        <f>GSVA_cur!L34</f>
        <v>9944871.4005925562</v>
      </c>
      <c r="M34" s="27">
        <f>GSVA_cur!M34</f>
        <v>11598593.006618697</v>
      </c>
      <c r="N34" s="27">
        <f>GSVA_cur!N34</f>
        <v>12115742.446436426</v>
      </c>
      <c r="O34" s="27">
        <f>GSVA_cur!O34</f>
        <v>12945928.679274887</v>
      </c>
      <c r="P34" s="27">
        <f>GSVA_cur!P34</f>
        <v>14274542.238665074</v>
      </c>
      <c r="Q34" s="3"/>
      <c r="R34" s="4"/>
      <c r="S34" s="4"/>
      <c r="T34" s="3"/>
      <c r="U34" s="4"/>
      <c r="V34" s="4"/>
      <c r="W34" s="4"/>
      <c r="X34" s="4"/>
      <c r="Y34" s="3"/>
      <c r="Z34" s="4"/>
      <c r="AA34" s="4"/>
      <c r="AB34" s="3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</row>
    <row r="35" spans="1:197" s="12" customFormat="1" ht="30" x14ac:dyDescent="0.25">
      <c r="A35" s="38" t="s">
        <v>44</v>
      </c>
      <c r="B35" s="39" t="s">
        <v>24</v>
      </c>
      <c r="C35" s="27">
        <f>GSVA_cur!C35</f>
        <v>631670</v>
      </c>
      <c r="D35" s="27">
        <f>GSVA_cur!D35</f>
        <v>894069</v>
      </c>
      <c r="E35" s="27">
        <f>GSVA_cur!E35</f>
        <v>861168</v>
      </c>
      <c r="F35" s="27">
        <f>GSVA_cur!F35</f>
        <v>814941</v>
      </c>
      <c r="G35" s="27">
        <f>GSVA_cur!G35</f>
        <v>715590</v>
      </c>
      <c r="H35" s="27">
        <f>GSVA_cur!H35</f>
        <v>546615</v>
      </c>
      <c r="I35" s="27">
        <f>GSVA_cur!I35</f>
        <v>681302</v>
      </c>
      <c r="J35" s="27">
        <f>GSVA_cur!J35</f>
        <v>518906.00000000006</v>
      </c>
      <c r="K35" s="27">
        <f>GSVA_cur!K35</f>
        <v>517933</v>
      </c>
      <c r="L35" s="27">
        <f>GSVA_cur!L35</f>
        <v>1351817</v>
      </c>
      <c r="M35" s="27">
        <f>GSVA_cur!M35</f>
        <v>1455253</v>
      </c>
      <c r="N35" s="27">
        <f>GSVA_cur!N35</f>
        <v>1089295</v>
      </c>
      <c r="O35" s="27">
        <f>GSVA_cur!O35</f>
        <v>788033</v>
      </c>
      <c r="P35" s="27">
        <f>GSVA_cur!P35</f>
        <v>1016266.9310471915</v>
      </c>
      <c r="Q35" s="3"/>
      <c r="R35" s="4"/>
      <c r="S35" s="4"/>
      <c r="T35" s="3"/>
      <c r="U35" s="4"/>
      <c r="V35" s="4"/>
      <c r="W35" s="4"/>
      <c r="X35" s="4"/>
      <c r="Y35" s="3"/>
      <c r="Z35" s="4"/>
      <c r="AA35" s="4"/>
      <c r="AB35" s="3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</row>
    <row r="36" spans="1:197" s="12" customFormat="1" ht="45" x14ac:dyDescent="0.25">
      <c r="A36" s="38" t="s">
        <v>45</v>
      </c>
      <c r="B36" s="39" t="s">
        <v>63</v>
      </c>
      <c r="C36" s="27">
        <f>C33+C34-C35</f>
        <v>32802112.292578615</v>
      </c>
      <c r="D36" s="27">
        <f t="shared" ref="D36:M36" si="30">D33+D34-D35</f>
        <v>37138412.367130786</v>
      </c>
      <c r="E36" s="27">
        <f t="shared" si="30"/>
        <v>41726496.778700866</v>
      </c>
      <c r="F36" s="27">
        <f t="shared" si="30"/>
        <v>46061431.805480801</v>
      </c>
      <c r="G36" s="27">
        <f t="shared" si="30"/>
        <v>50590997.192471817</v>
      </c>
      <c r="H36" s="27">
        <f t="shared" si="30"/>
        <v>57059075.763920784</v>
      </c>
      <c r="I36" s="27">
        <f t="shared" si="30"/>
        <v>63209366.628507003</v>
      </c>
      <c r="J36" s="27">
        <f t="shared" si="30"/>
        <v>71216109.758248627</v>
      </c>
      <c r="K36" s="27">
        <f t="shared" si="30"/>
        <v>72772183.734804124</v>
      </c>
      <c r="L36" s="27">
        <f t="shared" si="30"/>
        <v>68079798.299685329</v>
      </c>
      <c r="M36" s="27">
        <f t="shared" si="30"/>
        <v>81917594.050087258</v>
      </c>
      <c r="N36" s="27">
        <f t="shared" ref="N36:O36" si="31">N33+N34-N35</f>
        <v>91899745.644491747</v>
      </c>
      <c r="O36" s="27">
        <f t="shared" si="31"/>
        <v>100863183.13482232</v>
      </c>
      <c r="P36" s="27">
        <f t="shared" ref="P36" si="32">P33+P34-P35</f>
        <v>111122939.51303244</v>
      </c>
      <c r="Q36" s="3"/>
      <c r="R36" s="4"/>
      <c r="S36" s="4"/>
      <c r="T36" s="3"/>
      <c r="U36" s="4"/>
      <c r="V36" s="4"/>
      <c r="W36" s="4"/>
      <c r="X36" s="4"/>
      <c r="Y36" s="3"/>
      <c r="Z36" s="4"/>
      <c r="AA36" s="4"/>
      <c r="AB36" s="3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</row>
    <row r="37" spans="1:197" s="12" customFormat="1" ht="15.75" x14ac:dyDescent="0.25">
      <c r="A37" s="38" t="s">
        <v>46</v>
      </c>
      <c r="B37" s="39" t="s">
        <v>42</v>
      </c>
      <c r="C37" s="27">
        <f>GSVA_cur!C37</f>
        <v>335014.83</v>
      </c>
      <c r="D37" s="27">
        <f>GSVA_cur!D37</f>
        <v>336661.74</v>
      </c>
      <c r="E37" s="27">
        <f>GSVA_cur!E37</f>
        <v>338173.86535729998</v>
      </c>
      <c r="F37" s="27">
        <f>GSVA_cur!F37</f>
        <v>339842.743309749</v>
      </c>
      <c r="G37" s="27">
        <f>GSVA_cur!G37</f>
        <v>341525</v>
      </c>
      <c r="H37" s="27">
        <f>GSVA_cur!H37</f>
        <v>343221</v>
      </c>
      <c r="I37" s="27">
        <f>GSVA_cur!I37</f>
        <v>344932</v>
      </c>
      <c r="J37" s="27">
        <f>GSVA_cur!J37</f>
        <v>346656</v>
      </c>
      <c r="K37" s="27">
        <f>GSVA_cur!K37</f>
        <v>348394</v>
      </c>
      <c r="L37" s="27">
        <f>GSVA_cur!L37</f>
        <v>350147</v>
      </c>
      <c r="M37" s="27">
        <f>GSVA_cur!M37</f>
        <v>355730</v>
      </c>
      <c r="N37" s="27">
        <f>GSVA_cur!N37</f>
        <v>357160</v>
      </c>
      <c r="O37" s="27">
        <f>GSVA_cur!O37</f>
        <v>358600</v>
      </c>
      <c r="P37" s="27">
        <f>GSVA_cur!P37</f>
        <v>360393</v>
      </c>
      <c r="Q37" s="1"/>
      <c r="R37" s="2"/>
      <c r="S37" s="2"/>
      <c r="T37" s="1"/>
      <c r="U37" s="2"/>
      <c r="V37" s="2"/>
      <c r="W37" s="2"/>
      <c r="X37" s="2"/>
      <c r="Y37" s="1"/>
      <c r="Z37" s="2"/>
      <c r="AA37" s="2"/>
      <c r="AB37" s="1"/>
      <c r="AC37" s="1"/>
      <c r="AD37" s="1"/>
      <c r="AE37" s="1"/>
      <c r="AF37" s="1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</row>
    <row r="38" spans="1:197" s="12" customFormat="1" ht="30" x14ac:dyDescent="0.25">
      <c r="A38" s="38" t="s">
        <v>47</v>
      </c>
      <c r="B38" s="39" t="s">
        <v>64</v>
      </c>
      <c r="C38" s="27">
        <f>C36/C37*1000</f>
        <v>97912.418660924988</v>
      </c>
      <c r="D38" s="27">
        <f t="shared" ref="D38:M38" si="33">D36/D37*1000</f>
        <v>110313.73023596559</v>
      </c>
      <c r="E38" s="27">
        <f t="shared" si="33"/>
        <v>123387.70393925752</v>
      </c>
      <c r="F38" s="27">
        <f t="shared" si="33"/>
        <v>135537.48818316887</v>
      </c>
      <c r="G38" s="27">
        <f t="shared" si="33"/>
        <v>148132.63214251318</v>
      </c>
      <c r="H38" s="27">
        <f t="shared" si="33"/>
        <v>166245.87587566258</v>
      </c>
      <c r="I38" s="27">
        <f t="shared" si="33"/>
        <v>183251.67461559671</v>
      </c>
      <c r="J38" s="27">
        <f t="shared" si="33"/>
        <v>205437.40699208618</v>
      </c>
      <c r="K38" s="27">
        <f t="shared" si="33"/>
        <v>208878.98108120152</v>
      </c>
      <c r="L38" s="27">
        <f t="shared" si="33"/>
        <v>194432.04796752601</v>
      </c>
      <c r="M38" s="27">
        <f t="shared" si="33"/>
        <v>230280.25201722447</v>
      </c>
      <c r="N38" s="27">
        <f t="shared" ref="N38:O38" si="34">N36/N37*1000</f>
        <v>257306.93707159747</v>
      </c>
      <c r="O38" s="27">
        <f t="shared" si="34"/>
        <v>281269.33389521</v>
      </c>
      <c r="P38" s="27">
        <f t="shared" ref="P38" si="35">P36/P37*1000</f>
        <v>308338.22941353591</v>
      </c>
      <c r="Q38" s="1"/>
      <c r="R38" s="2"/>
      <c r="S38" s="2"/>
      <c r="T38" s="3"/>
      <c r="U38" s="2"/>
      <c r="V38" s="2"/>
      <c r="W38" s="2"/>
      <c r="X38" s="2"/>
      <c r="Y38" s="1"/>
      <c r="Z38" s="2"/>
      <c r="AA38" s="2"/>
      <c r="AB38" s="3"/>
      <c r="AC38" s="3"/>
      <c r="AD38" s="3"/>
      <c r="AE38" s="3"/>
      <c r="AF38" s="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CG38" s="13"/>
      <c r="CH38" s="13"/>
      <c r="CI38" s="13"/>
      <c r="CJ38" s="13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</row>
    <row r="39" spans="1:197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32" max="1048575" man="1"/>
    <brk id="44" max="1048575" man="1"/>
    <brk id="60" max="1048575" man="1"/>
    <brk id="124" max="95" man="1"/>
    <brk id="160" max="1048575" man="1"/>
    <brk id="184" max="1048575" man="1"/>
    <brk id="192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V39"/>
  <sheetViews>
    <sheetView zoomScale="68" zoomScaleNormal="68" zoomScaleSheetLayoutView="100" workbookViewId="0">
      <pane xSplit="2" ySplit="5" topLeftCell="C6" activePane="bottomRight" state="frozen"/>
      <selection activeCell="A5" sqref="A5:P38"/>
      <selection pane="topRight" activeCell="A5" sqref="A5:P38"/>
      <selection pane="bottomLeft" activeCell="A5" sqref="A5:P38"/>
      <selection pane="bottomRight" activeCell="S27" sqref="S27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3" width="13.140625" style="2" customWidth="1"/>
    <col min="4" max="4" width="10.85546875" style="2" customWidth="1"/>
    <col min="5" max="5" width="14.5703125" style="2" customWidth="1"/>
    <col min="6" max="6" width="13.4257812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52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4" t="s">
        <v>0</v>
      </c>
      <c r="B5" s="15" t="s">
        <v>1</v>
      </c>
      <c r="C5" s="16" t="s">
        <v>21</v>
      </c>
      <c r="D5" s="16" t="s">
        <v>22</v>
      </c>
      <c r="E5" s="16" t="s">
        <v>23</v>
      </c>
      <c r="F5" s="16" t="s">
        <v>56</v>
      </c>
      <c r="G5" s="17" t="s">
        <v>65</v>
      </c>
      <c r="H5" s="17" t="s">
        <v>67</v>
      </c>
      <c r="I5" s="17" t="s">
        <v>68</v>
      </c>
      <c r="J5" s="17" t="s">
        <v>69</v>
      </c>
      <c r="K5" s="17" t="s">
        <v>70</v>
      </c>
      <c r="L5" s="17" t="s">
        <v>71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3" s="11" customFormat="1" ht="15.75" x14ac:dyDescent="0.25">
      <c r="A6" s="18" t="s">
        <v>26</v>
      </c>
      <c r="B6" s="19" t="s">
        <v>2</v>
      </c>
      <c r="C6" s="20">
        <f>SUM(C7:C10)</f>
        <v>4026831.3663060688</v>
      </c>
      <c r="D6" s="20">
        <f t="shared" ref="D6:F6" si="0">SUM(D7:D10)</f>
        <v>3903240.4923130018</v>
      </c>
      <c r="E6" s="20">
        <f t="shared" si="0"/>
        <v>3754082.010454135</v>
      </c>
      <c r="F6" s="20">
        <f t="shared" si="0"/>
        <v>3782065.6375950952</v>
      </c>
      <c r="G6" s="20">
        <f t="shared" ref="G6:M6" si="1">SUM(G7:G10)</f>
        <v>3483464.1610299139</v>
      </c>
      <c r="H6" s="20">
        <f t="shared" si="1"/>
        <v>3487744</v>
      </c>
      <c r="I6" s="20">
        <f t="shared" si="1"/>
        <v>3576379.6933631049</v>
      </c>
      <c r="J6" s="20">
        <f t="shared" si="1"/>
        <v>3439488.3821963449</v>
      </c>
      <c r="K6" s="20">
        <f t="shared" si="1"/>
        <v>3336032.9477987154</v>
      </c>
      <c r="L6" s="20">
        <f t="shared" si="1"/>
        <v>3381612.982446007</v>
      </c>
      <c r="M6" s="20">
        <f t="shared" si="1"/>
        <v>3312224.2452106383</v>
      </c>
      <c r="N6" s="20">
        <f t="shared" ref="N6:P6" si="2">SUM(N7:N10)</f>
        <v>3222353.043633583</v>
      </c>
      <c r="O6" s="20">
        <f t="shared" si="2"/>
        <v>3187786.5228541726</v>
      </c>
      <c r="P6" s="20">
        <f t="shared" si="2"/>
        <v>3135501.9917351566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K6" s="12"/>
    </row>
    <row r="7" spans="1:193" ht="15.75" x14ac:dyDescent="0.25">
      <c r="A7" s="21">
        <v>1.1000000000000001</v>
      </c>
      <c r="B7" s="22" t="s">
        <v>59</v>
      </c>
      <c r="C7" s="23">
        <v>2156600.4217587523</v>
      </c>
      <c r="D7" s="23">
        <v>1927695.2443685676</v>
      </c>
      <c r="E7" s="23">
        <v>1810319.3041325998</v>
      </c>
      <c r="F7" s="23">
        <v>1710997.5404658443</v>
      </c>
      <c r="G7" s="23">
        <v>1444814.097533809</v>
      </c>
      <c r="H7" s="23">
        <v>1513952</v>
      </c>
      <c r="I7" s="23">
        <v>1545932.8299660049</v>
      </c>
      <c r="J7" s="23">
        <v>1390909.6362437613</v>
      </c>
      <c r="K7" s="23">
        <v>1355567.0359313437</v>
      </c>
      <c r="L7" s="23">
        <v>1400131.1118522552</v>
      </c>
      <c r="M7" s="23">
        <v>1278133</v>
      </c>
      <c r="N7" s="23">
        <v>1271696.4406142123</v>
      </c>
      <c r="O7" s="23">
        <v>1197094.1050514651</v>
      </c>
      <c r="P7" s="23">
        <v>1136907.0503745405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1">
        <v>1.2</v>
      </c>
      <c r="B8" s="22" t="s">
        <v>60</v>
      </c>
      <c r="C8" s="23">
        <v>1111658.2121654816</v>
      </c>
      <c r="D8" s="23">
        <v>1215464.7964361759</v>
      </c>
      <c r="E8" s="23">
        <v>1224902.293651219</v>
      </c>
      <c r="F8" s="23">
        <v>1267033.7845571416</v>
      </c>
      <c r="G8" s="23">
        <v>1260046.8646670852</v>
      </c>
      <c r="H8" s="23">
        <v>1164980</v>
      </c>
      <c r="I8" s="23">
        <v>1186678.5786016048</v>
      </c>
      <c r="J8" s="23">
        <v>1159055.1471773167</v>
      </c>
      <c r="K8" s="23">
        <v>1138493.840129772</v>
      </c>
      <c r="L8" s="23">
        <v>1161668.6038119912</v>
      </c>
      <c r="M8" s="23">
        <v>1159499.6366740514</v>
      </c>
      <c r="N8" s="23">
        <v>1083147.9151402502</v>
      </c>
      <c r="O8" s="23">
        <v>1123006.4074333753</v>
      </c>
      <c r="P8" s="23">
        <v>1111432.9975776167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1">
        <v>1.3</v>
      </c>
      <c r="B9" s="22" t="s">
        <v>61</v>
      </c>
      <c r="C9" s="23">
        <v>425567.395238147</v>
      </c>
      <c r="D9" s="23">
        <v>425906.28000555979</v>
      </c>
      <c r="E9" s="23">
        <v>357800.65585978096</v>
      </c>
      <c r="F9" s="23">
        <v>408682.82833032712</v>
      </c>
      <c r="G9" s="23">
        <v>411742.19882902002</v>
      </c>
      <c r="H9" s="23">
        <v>432963</v>
      </c>
      <c r="I9" s="23">
        <v>422705.41192442738</v>
      </c>
      <c r="J9" s="23">
        <v>439226.45401460316</v>
      </c>
      <c r="K9" s="23">
        <v>466110.92118403927</v>
      </c>
      <c r="L9" s="23">
        <v>471969.07420970983</v>
      </c>
      <c r="M9" s="23">
        <v>463101.23403593898</v>
      </c>
      <c r="N9" s="23">
        <v>453178.04661345313</v>
      </c>
      <c r="O9" s="23">
        <v>466247.8326498465</v>
      </c>
      <c r="P9" s="23">
        <v>464479.7550152826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1">
        <v>1.4</v>
      </c>
      <c r="B10" s="22" t="s">
        <v>62</v>
      </c>
      <c r="C10" s="23">
        <v>333005.33714368811</v>
      </c>
      <c r="D10" s="23">
        <v>334174.17150269827</v>
      </c>
      <c r="E10" s="23">
        <v>361059.75681053521</v>
      </c>
      <c r="F10" s="23">
        <v>395351.48424178187</v>
      </c>
      <c r="G10" s="23">
        <v>366861</v>
      </c>
      <c r="H10" s="23">
        <v>375849</v>
      </c>
      <c r="I10" s="23">
        <v>421062.87287106761</v>
      </c>
      <c r="J10" s="23">
        <v>450297.1447606642</v>
      </c>
      <c r="K10" s="23">
        <v>375861.15055356093</v>
      </c>
      <c r="L10" s="23">
        <v>347844.19257205131</v>
      </c>
      <c r="M10" s="23">
        <v>411490.374500648</v>
      </c>
      <c r="N10" s="23">
        <v>414330.64126566763</v>
      </c>
      <c r="O10" s="23">
        <v>401438.17771948618</v>
      </c>
      <c r="P10" s="23">
        <v>422682.1887677167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4" t="s">
        <v>31</v>
      </c>
      <c r="B11" s="22" t="s">
        <v>3</v>
      </c>
      <c r="C11" s="23">
        <v>239592.74381033357</v>
      </c>
      <c r="D11" s="23">
        <v>201176.42019432329</v>
      </c>
      <c r="E11" s="23">
        <v>298541.75279576721</v>
      </c>
      <c r="F11" s="23">
        <v>481234.61270350253</v>
      </c>
      <c r="G11" s="23">
        <v>153294</v>
      </c>
      <c r="H11" s="23">
        <v>224159</v>
      </c>
      <c r="I11" s="23">
        <v>293420.36553156422</v>
      </c>
      <c r="J11" s="23">
        <v>243474.89626941824</v>
      </c>
      <c r="K11" s="23">
        <v>179674.67333046329</v>
      </c>
      <c r="L11" s="23">
        <v>176270.888686183</v>
      </c>
      <c r="M11" s="23">
        <v>203758.19128053699</v>
      </c>
      <c r="N11" s="23">
        <v>257807.64229737519</v>
      </c>
      <c r="O11" s="23">
        <v>217375.61415050362</v>
      </c>
      <c r="P11" s="23">
        <v>236353.57469458962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2" customFormat="1" ht="15.75" x14ac:dyDescent="0.25">
      <c r="A12" s="25"/>
      <c r="B12" s="26" t="s">
        <v>28</v>
      </c>
      <c r="C12" s="27">
        <f>C6+C11</f>
        <v>4266424.1101164026</v>
      </c>
      <c r="D12" s="27">
        <f t="shared" ref="D12:F12" si="3">D6+D11</f>
        <v>4104416.9125073249</v>
      </c>
      <c r="E12" s="27">
        <f t="shared" si="3"/>
        <v>4052623.7632499021</v>
      </c>
      <c r="F12" s="27">
        <f t="shared" si="3"/>
        <v>4263300.2502985978</v>
      </c>
      <c r="G12" s="27">
        <f t="shared" ref="G12:M12" si="4">G6+G11</f>
        <v>3636758.1610299139</v>
      </c>
      <c r="H12" s="27">
        <f t="shared" si="4"/>
        <v>3711903</v>
      </c>
      <c r="I12" s="27">
        <f t="shared" si="4"/>
        <v>3869800.0588946692</v>
      </c>
      <c r="J12" s="27">
        <f t="shared" si="4"/>
        <v>3682963.2784657632</v>
      </c>
      <c r="K12" s="27">
        <f t="shared" si="4"/>
        <v>3515707.6211291789</v>
      </c>
      <c r="L12" s="27">
        <f t="shared" si="4"/>
        <v>3557883.8711321899</v>
      </c>
      <c r="M12" s="27">
        <f t="shared" si="4"/>
        <v>3515982.4364911751</v>
      </c>
      <c r="N12" s="27">
        <f t="shared" ref="N12:P12" si="5">N6+N11</f>
        <v>3480160.685930958</v>
      </c>
      <c r="O12" s="27">
        <f t="shared" si="5"/>
        <v>3405162.1370046763</v>
      </c>
      <c r="P12" s="27">
        <f t="shared" si="5"/>
        <v>3371855.5664297463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1"/>
      <c r="GI12" s="11"/>
      <c r="GJ12" s="11"/>
    </row>
    <row r="13" spans="1:193" s="1" customFormat="1" ht="15.75" x14ac:dyDescent="0.25">
      <c r="A13" s="28" t="s">
        <v>32</v>
      </c>
      <c r="B13" s="29" t="s">
        <v>4</v>
      </c>
      <c r="C13" s="30">
        <v>3000616.3855567132</v>
      </c>
      <c r="D13" s="30">
        <v>3404419.6068765968</v>
      </c>
      <c r="E13" s="30">
        <v>3226609.0025249468</v>
      </c>
      <c r="F13" s="30">
        <v>3276047.3659358518</v>
      </c>
      <c r="G13" s="30">
        <v>4226212</v>
      </c>
      <c r="H13" s="30">
        <v>5059919.8728307988</v>
      </c>
      <c r="I13" s="30">
        <v>5443664.3638159381</v>
      </c>
      <c r="J13" s="30">
        <v>5099027.7550561978</v>
      </c>
      <c r="K13" s="30">
        <v>5196507.3147035353</v>
      </c>
      <c r="L13" s="30">
        <v>5123894.2158495979</v>
      </c>
      <c r="M13" s="30">
        <v>5493763.4930370133</v>
      </c>
      <c r="N13" s="30">
        <v>5708613.1909887502</v>
      </c>
      <c r="O13" s="30">
        <v>6672812.1068855962</v>
      </c>
      <c r="P13" s="30">
        <v>6925091.8904968454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4" t="s">
        <v>33</v>
      </c>
      <c r="B14" s="22" t="s">
        <v>5</v>
      </c>
      <c r="C14" s="23">
        <v>311148.40333078848</v>
      </c>
      <c r="D14" s="23">
        <v>303268.81186512153</v>
      </c>
      <c r="E14" s="23">
        <v>343220.09147204598</v>
      </c>
      <c r="F14" s="23">
        <v>323700.31531038322</v>
      </c>
      <c r="G14" s="23">
        <v>333823.19184131169</v>
      </c>
      <c r="H14" s="23">
        <v>288892</v>
      </c>
      <c r="I14" s="23">
        <v>384709.80583149596</v>
      </c>
      <c r="J14" s="23">
        <v>472241.06080361095</v>
      </c>
      <c r="K14" s="23">
        <v>488960.37324428774</v>
      </c>
      <c r="L14" s="23">
        <v>485224.07577152801</v>
      </c>
      <c r="M14" s="23">
        <v>593382.31989075826</v>
      </c>
      <c r="N14" s="23">
        <v>522509.91821516247</v>
      </c>
      <c r="O14" s="23">
        <v>589154.79747366754</v>
      </c>
      <c r="P14" s="23">
        <v>596338.27968174638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4" t="s">
        <v>34</v>
      </c>
      <c r="B15" s="22" t="s">
        <v>6</v>
      </c>
      <c r="C15" s="23">
        <v>5058201.8808248453</v>
      </c>
      <c r="D15" s="23">
        <v>4873177.7399417022</v>
      </c>
      <c r="E15" s="23">
        <v>5295563.2142318822</v>
      </c>
      <c r="F15" s="23">
        <v>5434182.4900958613</v>
      </c>
      <c r="G15" s="23">
        <v>5424132</v>
      </c>
      <c r="H15" s="23">
        <v>5828664</v>
      </c>
      <c r="I15" s="23">
        <v>5993033.8034686539</v>
      </c>
      <c r="J15" s="23">
        <v>6387080.1656751828</v>
      </c>
      <c r="K15" s="23">
        <v>6508830.6805487834</v>
      </c>
      <c r="L15" s="23">
        <v>5994442.7816040944</v>
      </c>
      <c r="M15" s="23">
        <v>6955622.0596493231</v>
      </c>
      <c r="N15" s="23">
        <v>7048513.597977858</v>
      </c>
      <c r="O15" s="23">
        <v>7416081.0022206297</v>
      </c>
      <c r="P15" s="23">
        <v>7951926.3547900682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2" customFormat="1" ht="15.75" x14ac:dyDescent="0.25">
      <c r="A16" s="25"/>
      <c r="B16" s="26" t="s">
        <v>29</v>
      </c>
      <c r="C16" s="27">
        <f>+C13+C14+C15</f>
        <v>8369966.669712347</v>
      </c>
      <c r="D16" s="27">
        <f t="shared" ref="D16:F16" si="6">+D13+D14+D15</f>
        <v>8580866.1586834211</v>
      </c>
      <c r="E16" s="27">
        <f t="shared" si="6"/>
        <v>8865392.3082288746</v>
      </c>
      <c r="F16" s="27">
        <f t="shared" si="6"/>
        <v>9033930.1713420972</v>
      </c>
      <c r="G16" s="27">
        <f t="shared" ref="G16:M16" si="7">+G13+G14+G15</f>
        <v>9984167.1918413118</v>
      </c>
      <c r="H16" s="27">
        <f t="shared" si="7"/>
        <v>11177475.872830799</v>
      </c>
      <c r="I16" s="27">
        <f t="shared" si="7"/>
        <v>11821407.973116089</v>
      </c>
      <c r="J16" s="27">
        <f t="shared" si="7"/>
        <v>11958348.981534991</v>
      </c>
      <c r="K16" s="27">
        <f t="shared" si="7"/>
        <v>12194298.368496606</v>
      </c>
      <c r="L16" s="27">
        <f t="shared" si="7"/>
        <v>11603561.073225221</v>
      </c>
      <c r="M16" s="27">
        <f t="shared" si="7"/>
        <v>13042767.872577094</v>
      </c>
      <c r="N16" s="27">
        <f t="shared" ref="N16:O16" si="8">+N13+N14+N15</f>
        <v>13279636.70718177</v>
      </c>
      <c r="O16" s="27">
        <f t="shared" si="8"/>
        <v>14678047.906579893</v>
      </c>
      <c r="P16" s="27">
        <f t="shared" ref="P16" si="9">+P13+P14+P15</f>
        <v>15473356.524968661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0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0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0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1"/>
      <c r="GI16" s="11"/>
      <c r="GJ16" s="11"/>
    </row>
    <row r="17" spans="1:193" s="11" customFormat="1" ht="15.75" x14ac:dyDescent="0.25">
      <c r="A17" s="18" t="s">
        <v>35</v>
      </c>
      <c r="B17" s="19" t="s">
        <v>7</v>
      </c>
      <c r="C17" s="20">
        <f>C18+C19</f>
        <v>5125614.7278936962</v>
      </c>
      <c r="D17" s="20">
        <f t="shared" ref="D17:F17" si="10">D18+D19</f>
        <v>5837230.946387901</v>
      </c>
      <c r="E17" s="20">
        <f t="shared" si="10"/>
        <v>5984279.8063964639</v>
      </c>
      <c r="F17" s="20">
        <f t="shared" si="10"/>
        <v>6359779.1253115246</v>
      </c>
      <c r="G17" s="20">
        <f t="shared" ref="G17:K17" si="11">G18+G19</f>
        <v>6810952.9660483692</v>
      </c>
      <c r="H17" s="20">
        <f t="shared" si="11"/>
        <v>6925376.6384662781</v>
      </c>
      <c r="I17" s="20">
        <f t="shared" si="11"/>
        <v>7461124.6869253665</v>
      </c>
      <c r="J17" s="20">
        <f t="shared" si="11"/>
        <v>8260295.0183780473</v>
      </c>
      <c r="K17" s="20">
        <f t="shared" si="11"/>
        <v>8839409.1899426803</v>
      </c>
      <c r="L17" s="20">
        <f t="shared" ref="L17:M17" si="12">L18+L19</f>
        <v>6572419.4104291247</v>
      </c>
      <c r="M17" s="20">
        <f t="shared" si="12"/>
        <v>8017525.0103263883</v>
      </c>
      <c r="N17" s="20">
        <f t="shared" ref="N17:O17" si="13">N18+N19</f>
        <v>9561830.2391824704</v>
      </c>
      <c r="O17" s="20">
        <f t="shared" si="13"/>
        <v>9955990.7651462723</v>
      </c>
      <c r="P17" s="20">
        <f t="shared" ref="P17" si="14">P18+P19</f>
        <v>11141529.231766732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K17" s="12"/>
    </row>
    <row r="18" spans="1:193" ht="15.75" x14ac:dyDescent="0.25">
      <c r="A18" s="21">
        <v>6.1</v>
      </c>
      <c r="B18" s="22" t="s">
        <v>8</v>
      </c>
      <c r="C18" s="23">
        <v>4557807.1662132265</v>
      </c>
      <c r="D18" s="23">
        <v>5251223.5119307255</v>
      </c>
      <c r="E18" s="23">
        <v>5424008.1339218812</v>
      </c>
      <c r="F18" s="23">
        <v>5814268.2104546754</v>
      </c>
      <c r="G18" s="23">
        <v>6262625.0663272468</v>
      </c>
      <c r="H18" s="23">
        <v>6337049.6423359858</v>
      </c>
      <c r="I18" s="23">
        <v>6856306.6224092375</v>
      </c>
      <c r="J18" s="23">
        <v>7634455.0008940175</v>
      </c>
      <c r="K18" s="23">
        <v>8158229.1052527148</v>
      </c>
      <c r="L18" s="23">
        <v>6302831.4590460276</v>
      </c>
      <c r="M18" s="23">
        <v>7593658.1438369267</v>
      </c>
      <c r="N18" s="23">
        <v>8753290.8011570908</v>
      </c>
      <c r="O18" s="23">
        <v>9037172.7444867287</v>
      </c>
      <c r="P18" s="23">
        <v>10093471.355910556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1">
        <v>6.2</v>
      </c>
      <c r="B19" s="22" t="s">
        <v>9</v>
      </c>
      <c r="C19" s="23">
        <v>567807.56168046966</v>
      </c>
      <c r="D19" s="23">
        <v>586007.43445717543</v>
      </c>
      <c r="E19" s="23">
        <v>560271.67247458233</v>
      </c>
      <c r="F19" s="23">
        <v>545510.91485684935</v>
      </c>
      <c r="G19" s="23">
        <v>548327.89972112223</v>
      </c>
      <c r="H19" s="23">
        <v>588326.99613029184</v>
      </c>
      <c r="I19" s="23">
        <v>604818.06451612897</v>
      </c>
      <c r="J19" s="23">
        <v>625840.01748402975</v>
      </c>
      <c r="K19" s="23">
        <v>681180.08468996477</v>
      </c>
      <c r="L19" s="23">
        <v>269587.95138309727</v>
      </c>
      <c r="M19" s="23">
        <v>423866.86648946127</v>
      </c>
      <c r="N19" s="23">
        <v>808539.43802537932</v>
      </c>
      <c r="O19" s="23">
        <v>918818.02065954392</v>
      </c>
      <c r="P19" s="23">
        <v>1048057.8758561753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1" customFormat="1" ht="30" x14ac:dyDescent="0.25">
      <c r="A20" s="32" t="s">
        <v>36</v>
      </c>
      <c r="B20" s="33" t="s">
        <v>10</v>
      </c>
      <c r="C20" s="20">
        <f>SUM(C21:C27)</f>
        <v>2490301.2814251455</v>
      </c>
      <c r="D20" s="20">
        <f t="shared" ref="D20:F20" si="15">SUM(D21:D27)</f>
        <v>2631519.1175504671</v>
      </c>
      <c r="E20" s="20">
        <f t="shared" si="15"/>
        <v>2870922.4936689707</v>
      </c>
      <c r="F20" s="20">
        <f t="shared" si="15"/>
        <v>3024833.0876840372</v>
      </c>
      <c r="G20" s="20">
        <f t="shared" ref="G20:M20" si="16">SUM(G21:G27)</f>
        <v>3122688.5295021585</v>
      </c>
      <c r="H20" s="20">
        <f t="shared" si="16"/>
        <v>3210420.5383864045</v>
      </c>
      <c r="I20" s="20">
        <f t="shared" si="16"/>
        <v>2987408.7818859797</v>
      </c>
      <c r="J20" s="20">
        <f t="shared" si="16"/>
        <v>3032200.9124688124</v>
      </c>
      <c r="K20" s="20">
        <f t="shared" si="16"/>
        <v>3058326.4843983324</v>
      </c>
      <c r="L20" s="20">
        <f t="shared" si="16"/>
        <v>2333502.1039779624</v>
      </c>
      <c r="M20" s="20">
        <f t="shared" si="16"/>
        <v>3201859.3364663594</v>
      </c>
      <c r="N20" s="20">
        <f t="shared" ref="N20:P20" si="17">SUM(N21:N27)</f>
        <v>3388046.4233828271</v>
      </c>
      <c r="O20" s="20">
        <f t="shared" si="17"/>
        <v>3504969.3944414095</v>
      </c>
      <c r="P20" s="20">
        <f t="shared" si="17"/>
        <v>3857533.8757027104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K20" s="12"/>
    </row>
    <row r="21" spans="1:193" ht="15.75" x14ac:dyDescent="0.25">
      <c r="A21" s="21">
        <v>7.1</v>
      </c>
      <c r="B21" s="22" t="s">
        <v>11</v>
      </c>
      <c r="C21" s="23">
        <v>80346.33327869502</v>
      </c>
      <c r="D21" s="23">
        <v>99142.232732680175</v>
      </c>
      <c r="E21" s="23">
        <v>97603.384360694996</v>
      </c>
      <c r="F21" s="23">
        <v>103589.69238530546</v>
      </c>
      <c r="G21" s="23">
        <v>110239.69537913478</v>
      </c>
      <c r="H21" s="23">
        <v>110825.74062180931</v>
      </c>
      <c r="I21" s="23">
        <v>142055.58703724295</v>
      </c>
      <c r="J21" s="23">
        <v>130639.31297790149</v>
      </c>
      <c r="K21" s="23">
        <v>112668.25058301259</v>
      </c>
      <c r="L21" s="23">
        <v>53143.608866275659</v>
      </c>
      <c r="M21" s="23">
        <v>86200.830212551373</v>
      </c>
      <c r="N21" s="23">
        <v>111356.2422372811</v>
      </c>
      <c r="O21" s="23">
        <v>115884.47898056199</v>
      </c>
      <c r="P21" s="23">
        <v>119592.78230793998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1">
        <v>7.2</v>
      </c>
      <c r="B22" s="22" t="s">
        <v>12</v>
      </c>
      <c r="C22" s="23">
        <v>1830748.2476574448</v>
      </c>
      <c r="D22" s="23">
        <v>1952016.1504687013</v>
      </c>
      <c r="E22" s="23">
        <v>2169853.1753570801</v>
      </c>
      <c r="F22" s="23">
        <v>2217781.3047553864</v>
      </c>
      <c r="G22" s="23">
        <v>2179275.2032003761</v>
      </c>
      <c r="H22" s="23">
        <v>2224206.0584729696</v>
      </c>
      <c r="I22" s="23">
        <v>2005942.0336081905</v>
      </c>
      <c r="J22" s="23">
        <v>2090655.5238992651</v>
      </c>
      <c r="K22" s="23">
        <v>2044194.2033569322</v>
      </c>
      <c r="L22" s="23">
        <v>1500956.2927215989</v>
      </c>
      <c r="M22" s="23">
        <v>2210843.9029719909</v>
      </c>
      <c r="N22" s="23">
        <v>2260673.7108934745</v>
      </c>
      <c r="O22" s="23">
        <v>2257672.437718784</v>
      </c>
      <c r="P22" s="23">
        <v>2515490.1040070392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1">
        <v>7.3</v>
      </c>
      <c r="B23" s="22" t="s">
        <v>13</v>
      </c>
      <c r="C23" s="23">
        <v>25872.209270814612</v>
      </c>
      <c r="D23" s="23">
        <v>21286.797466592765</v>
      </c>
      <c r="E23" s="23">
        <v>10679.484136531268</v>
      </c>
      <c r="F23" s="23">
        <v>14362.229245643701</v>
      </c>
      <c r="G23" s="23">
        <v>11550.118240718333</v>
      </c>
      <c r="H23" s="23">
        <v>18017.411939026359</v>
      </c>
      <c r="I23" s="23">
        <v>20484.437497979794</v>
      </c>
      <c r="J23" s="23">
        <v>28401.376955565887</v>
      </c>
      <c r="K23" s="23">
        <v>27674.581148795922</v>
      </c>
      <c r="L23" s="23">
        <v>25801.662349253864</v>
      </c>
      <c r="M23" s="23">
        <v>39568.390777787703</v>
      </c>
      <c r="N23" s="23">
        <v>38272.168087662722</v>
      </c>
      <c r="O23" s="23">
        <v>37131.226043477196</v>
      </c>
      <c r="P23" s="23">
        <v>37929.497525871586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1">
        <v>7.4</v>
      </c>
      <c r="B24" s="22" t="s">
        <v>14</v>
      </c>
      <c r="C24" s="23">
        <v>24600.243317626595</v>
      </c>
      <c r="D24" s="23">
        <v>45373.042793065251</v>
      </c>
      <c r="E24" s="23">
        <v>20338.340584361275</v>
      </c>
      <c r="F24" s="23">
        <v>43920.611750467375</v>
      </c>
      <c r="G24" s="23">
        <v>87118.020263576545</v>
      </c>
      <c r="H24" s="23">
        <v>91899.269837711501</v>
      </c>
      <c r="I24" s="23">
        <v>85737.381196581206</v>
      </c>
      <c r="J24" s="23">
        <v>37924.18561209624</v>
      </c>
      <c r="K24" s="23">
        <v>58144.848527035094</v>
      </c>
      <c r="L24" s="23">
        <v>2065.1800092589292</v>
      </c>
      <c r="M24" s="23">
        <v>10566.565379509331</v>
      </c>
      <c r="N24" s="23">
        <v>29505.435615082071</v>
      </c>
      <c r="O24" s="23">
        <v>68393.355614093278</v>
      </c>
      <c r="P24" s="23">
        <v>96583.057441703015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1">
        <v>7.5</v>
      </c>
      <c r="B25" s="22" t="s">
        <v>15</v>
      </c>
      <c r="C25" s="23">
        <v>56529.146175082751</v>
      </c>
      <c r="D25" s="23">
        <v>57935.147773692843</v>
      </c>
      <c r="E25" s="23">
        <v>52207.783248956875</v>
      </c>
      <c r="F25" s="23">
        <v>57035.153393364766</v>
      </c>
      <c r="G25" s="23">
        <v>61901.655650328285</v>
      </c>
      <c r="H25" s="23">
        <v>97313.758202452096</v>
      </c>
      <c r="I25" s="23">
        <v>116891.68634057426</v>
      </c>
      <c r="J25" s="23">
        <v>119166.81580372529</v>
      </c>
      <c r="K25" s="23">
        <v>115025.55879258597</v>
      </c>
      <c r="L25" s="23">
        <v>74399.874286451944</v>
      </c>
      <c r="M25" s="23">
        <v>110675.35935768245</v>
      </c>
      <c r="N25" s="23">
        <v>127864.29088819386</v>
      </c>
      <c r="O25" s="23">
        <v>149713.59511496325</v>
      </c>
      <c r="P25" s="23">
        <v>157201.78775627064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1">
        <v>7.6</v>
      </c>
      <c r="B26" s="22" t="s">
        <v>16</v>
      </c>
      <c r="C26" s="23">
        <v>2839.4659263339872</v>
      </c>
      <c r="D26" s="23">
        <v>3013.4336053126162</v>
      </c>
      <c r="E26" s="23">
        <v>2176.1125972258037</v>
      </c>
      <c r="F26" s="23">
        <v>2225.2798629274985</v>
      </c>
      <c r="G26" s="23">
        <v>2334.6881761907989</v>
      </c>
      <c r="H26" s="23">
        <v>3555.4804772956622</v>
      </c>
      <c r="I26" s="23">
        <v>3876.5306861821605</v>
      </c>
      <c r="J26" s="23">
        <v>7834.7781619624211</v>
      </c>
      <c r="K26" s="23">
        <v>7662.1538173412673</v>
      </c>
      <c r="L26" s="23">
        <v>7281.411976682929</v>
      </c>
      <c r="M26" s="23">
        <v>7164.5340224776646</v>
      </c>
      <c r="N26" s="23">
        <v>7029.4737310373566</v>
      </c>
      <c r="O26" s="23">
        <v>8089.0443434034469</v>
      </c>
      <c r="P26" s="23">
        <v>8648.6281579029182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1">
        <v>7.7</v>
      </c>
      <c r="B27" s="22" t="s">
        <v>17</v>
      </c>
      <c r="C27" s="23">
        <v>469365.6357991476</v>
      </c>
      <c r="D27" s="23">
        <v>452752.31271042232</v>
      </c>
      <c r="E27" s="23">
        <v>518064.21338412049</v>
      </c>
      <c r="F27" s="23">
        <v>585918.81629094214</v>
      </c>
      <c r="G27" s="23">
        <v>670269.14859183377</v>
      </c>
      <c r="H27" s="23">
        <v>664602.81883513951</v>
      </c>
      <c r="I27" s="23">
        <v>612421.1255192284</v>
      </c>
      <c r="J27" s="23">
        <v>617578.91905829567</v>
      </c>
      <c r="K27" s="23">
        <v>692956.88817262987</v>
      </c>
      <c r="L27" s="23">
        <v>669854.0737684404</v>
      </c>
      <c r="M27" s="23">
        <v>736839.75374436041</v>
      </c>
      <c r="N27" s="23">
        <v>813345.10193009512</v>
      </c>
      <c r="O27" s="23">
        <v>868085.25662612636</v>
      </c>
      <c r="P27" s="23">
        <v>922088.01850598259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4" t="s">
        <v>37</v>
      </c>
      <c r="B28" s="22" t="s">
        <v>18</v>
      </c>
      <c r="C28" s="23">
        <v>1408253.7384447788</v>
      </c>
      <c r="D28" s="23">
        <v>1501328.8806803846</v>
      </c>
      <c r="E28" s="23">
        <v>1669300.4888291778</v>
      </c>
      <c r="F28" s="23">
        <v>1807803.2593196544</v>
      </c>
      <c r="G28" s="23">
        <v>2044107.6334184806</v>
      </c>
      <c r="H28" s="23">
        <v>2134931.9267354636</v>
      </c>
      <c r="I28" s="23">
        <v>2153266.3443606109</v>
      </c>
      <c r="J28" s="23">
        <v>2552054.1053082016</v>
      </c>
      <c r="K28" s="23">
        <v>2611290.7037833463</v>
      </c>
      <c r="L28" s="23">
        <v>2693153.1446866272</v>
      </c>
      <c r="M28" s="23">
        <v>2795194.0392406466</v>
      </c>
      <c r="N28" s="23">
        <v>2839999.0390410749</v>
      </c>
      <c r="O28" s="23">
        <v>3091236.7568292948</v>
      </c>
      <c r="P28" s="23">
        <v>3233561.2618694189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4" t="s">
        <v>38</v>
      </c>
      <c r="B29" s="22" t="s">
        <v>19</v>
      </c>
      <c r="C29" s="23">
        <v>3549759.9244021275</v>
      </c>
      <c r="D29" s="23">
        <v>4066520.2827072348</v>
      </c>
      <c r="E29" s="23">
        <v>4743508.8054108135</v>
      </c>
      <c r="F29" s="23">
        <v>5234152.9616114171</v>
      </c>
      <c r="G29" s="23">
        <v>5597134.6074103555</v>
      </c>
      <c r="H29" s="23">
        <v>6078638.7615040597</v>
      </c>
      <c r="I29" s="23">
        <v>6696079.6432427056</v>
      </c>
      <c r="J29" s="23">
        <v>7214106.8191020554</v>
      </c>
      <c r="K29" s="23">
        <v>7427656.3480935283</v>
      </c>
      <c r="L29" s="23">
        <v>7342580.2160124453</v>
      </c>
      <c r="M29" s="23">
        <v>7964177.3102830071</v>
      </c>
      <c r="N29" s="23">
        <v>8420504.3409753181</v>
      </c>
      <c r="O29" s="23">
        <v>9224281.8101160489</v>
      </c>
      <c r="P29" s="23">
        <v>9638689.1265219003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4" t="s">
        <v>39</v>
      </c>
      <c r="B30" s="22" t="s">
        <v>54</v>
      </c>
      <c r="C30" s="23">
        <v>1223565.6108417301</v>
      </c>
      <c r="D30" s="23">
        <v>1225802.1863086685</v>
      </c>
      <c r="E30" s="23">
        <v>1252596.3222703608</v>
      </c>
      <c r="F30" s="23">
        <v>1104381.2644360377</v>
      </c>
      <c r="G30" s="23">
        <v>1135999.800588012</v>
      </c>
      <c r="H30" s="23">
        <v>1249427.1073923507</v>
      </c>
      <c r="I30" s="23">
        <v>1411085.5011615581</v>
      </c>
      <c r="J30" s="23">
        <v>1475166.1896554164</v>
      </c>
      <c r="K30" s="23">
        <v>1434716.7555742073</v>
      </c>
      <c r="L30" s="23">
        <v>1227396.4359417884</v>
      </c>
      <c r="M30" s="23">
        <v>1874728.8770461967</v>
      </c>
      <c r="N30" s="23">
        <v>2035066.4407978591</v>
      </c>
      <c r="O30" s="23">
        <v>2007486.1283873331</v>
      </c>
      <c r="P30" s="23">
        <v>1996234.6666546525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4" t="s">
        <v>40</v>
      </c>
      <c r="B31" s="22" t="s">
        <v>20</v>
      </c>
      <c r="C31" s="23">
        <v>3592748.2297423896</v>
      </c>
      <c r="D31" s="23">
        <v>3780023.0687292274</v>
      </c>
      <c r="E31" s="23">
        <v>3919067.3265601154</v>
      </c>
      <c r="F31" s="23">
        <v>3976652.4251737078</v>
      </c>
      <c r="G31" s="23">
        <v>4310211.0531515479</v>
      </c>
      <c r="H31" s="23">
        <v>4880309.2256865827</v>
      </c>
      <c r="I31" s="23">
        <v>5374429.9908640664</v>
      </c>
      <c r="J31" s="23">
        <v>5503331.0560929645</v>
      </c>
      <c r="K31" s="23">
        <v>5941904.0734273959</v>
      </c>
      <c r="L31" s="23">
        <v>4402663.5213025287</v>
      </c>
      <c r="M31" s="23">
        <v>4914704.0792046608</v>
      </c>
      <c r="N31" s="23">
        <v>5430114.2454367783</v>
      </c>
      <c r="O31" s="23">
        <v>5802129.7290092856</v>
      </c>
      <c r="P31" s="23">
        <v>5968093.5366857853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2" customFormat="1" ht="15.75" x14ac:dyDescent="0.25">
      <c r="A32" s="25"/>
      <c r="B32" s="26" t="s">
        <v>30</v>
      </c>
      <c r="C32" s="27">
        <f>C17+C20+C28+C29+C30+C31</f>
        <v>17390243.512749869</v>
      </c>
      <c r="D32" s="27">
        <f t="shared" ref="D32:F32" si="18">D17+D20+D28+D29+D30+D31</f>
        <v>19042424.482363883</v>
      </c>
      <c r="E32" s="27">
        <f t="shared" si="18"/>
        <v>20439675.243135899</v>
      </c>
      <c r="F32" s="27">
        <f t="shared" si="18"/>
        <v>21507602.123536378</v>
      </c>
      <c r="G32" s="27">
        <f t="shared" ref="G32:H32" si="19">G17+G20+G28+G29+G30+G31</f>
        <v>23021094.590118922</v>
      </c>
      <c r="H32" s="27">
        <f t="shared" si="19"/>
        <v>24479104.198171139</v>
      </c>
      <c r="I32" s="27">
        <f t="shared" ref="I32:J32" si="20">I17+I20+I28+I29+I30+I31</f>
        <v>26083394.948440284</v>
      </c>
      <c r="J32" s="27">
        <f t="shared" si="20"/>
        <v>28037154.101005495</v>
      </c>
      <c r="K32" s="27">
        <f t="shared" ref="K32:L32" si="21">K17+K20+K28+K29+K30+K31</f>
        <v>29313303.555219494</v>
      </c>
      <c r="L32" s="27">
        <f t="shared" si="21"/>
        <v>24571714.832350478</v>
      </c>
      <c r="M32" s="27">
        <f t="shared" ref="M32" si="22">M17+M20+M28+M29+M30+M31</f>
        <v>28768188.65256726</v>
      </c>
      <c r="N32" s="27">
        <f t="shared" ref="N32:O32" si="23">N17+N20+N28+N29+N30+N31</f>
        <v>31675560.72881633</v>
      </c>
      <c r="O32" s="27">
        <f t="shared" si="23"/>
        <v>33586094.583929643</v>
      </c>
      <c r="P32" s="27">
        <f t="shared" ref="P32" si="24">P17+P20+P28+P29+P30+P31</f>
        <v>35835641.699201204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1"/>
      <c r="GI32" s="11"/>
      <c r="GJ32" s="11"/>
    </row>
    <row r="33" spans="1:193" s="11" customFormat="1" ht="15.75" x14ac:dyDescent="0.25">
      <c r="A33" s="18" t="s">
        <v>27</v>
      </c>
      <c r="B33" s="35" t="s">
        <v>51</v>
      </c>
      <c r="C33" s="20">
        <f t="shared" ref="C33:H33" si="25">C6+C11+C13+C14+C15+C17+C20+C28+C29+C30+C31</f>
        <v>30026634.292578615</v>
      </c>
      <c r="D33" s="20">
        <f t="shared" si="25"/>
        <v>31727707.553554632</v>
      </c>
      <c r="E33" s="20">
        <f t="shared" si="25"/>
        <v>33357691.314614676</v>
      </c>
      <c r="F33" s="20">
        <f t="shared" si="25"/>
        <v>34804832.545177072</v>
      </c>
      <c r="G33" s="20">
        <f t="shared" si="25"/>
        <v>36642019.942990154</v>
      </c>
      <c r="H33" s="20">
        <f t="shared" si="25"/>
        <v>39368483.071001932</v>
      </c>
      <c r="I33" s="20">
        <f t="shared" ref="I33:J33" si="26">I6+I11+I13+I14+I15+I17+I20+I28+I29+I30+I31</f>
        <v>41774602.980451047</v>
      </c>
      <c r="J33" s="20">
        <f t="shared" si="26"/>
        <v>43678466.361006245</v>
      </c>
      <c r="K33" s="20">
        <f t="shared" ref="K33:L33" si="27">K6+K11+K13+K14+K15+K17+K20+K28+K29+K30+K31</f>
        <v>45023309.544845276</v>
      </c>
      <c r="L33" s="20">
        <f t="shared" si="27"/>
        <v>39733159.776707888</v>
      </c>
      <c r="M33" s="20">
        <f t="shared" ref="M33" si="28">M6+M11+M13+M14+M15+M17+M20+M28+M29+M30+M31</f>
        <v>45326938.961635537</v>
      </c>
      <c r="N33" s="20">
        <f t="shared" ref="N33:O33" si="29">N6+N11+N13+N14+N15+N17+N20+N28+N29+N30+N31</f>
        <v>48435358.121929057</v>
      </c>
      <c r="O33" s="20">
        <f t="shared" si="29"/>
        <v>51669304.627514213</v>
      </c>
      <c r="P33" s="20">
        <f t="shared" ref="P33" si="30">P6+P11+P13+P14+P15+P17+P20+P28+P29+P30+P31</f>
        <v>54680853.790599607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K33" s="12"/>
    </row>
    <row r="34" spans="1:193" s="12" customFormat="1" ht="15.75" x14ac:dyDescent="0.25">
      <c r="A34" s="38" t="s">
        <v>43</v>
      </c>
      <c r="B34" s="39" t="s">
        <v>25</v>
      </c>
      <c r="C34" s="40">
        <f>GSVA_const!C34</f>
        <v>3407148</v>
      </c>
      <c r="D34" s="40">
        <f>GSVA_const!D34</f>
        <v>3827884</v>
      </c>
      <c r="E34" s="40">
        <f>GSVA_const!E34</f>
        <v>3858878</v>
      </c>
      <c r="F34" s="40">
        <f>GSVA_const!F34</f>
        <v>4090181</v>
      </c>
      <c r="G34" s="40">
        <f>GSVA_const!G34</f>
        <v>5078568</v>
      </c>
      <c r="H34" s="40">
        <f>GSVA_const!H34</f>
        <v>5457715</v>
      </c>
      <c r="I34" s="40">
        <f>GSVA_const!I34</f>
        <v>6099394</v>
      </c>
      <c r="J34" s="40">
        <f>GSVA_const!J34</f>
        <v>7817154</v>
      </c>
      <c r="K34" s="40">
        <f>GSVA_const!K34</f>
        <v>6930248</v>
      </c>
      <c r="L34" s="40">
        <f>GSVA_const!L34</f>
        <v>7721698</v>
      </c>
      <c r="M34" s="40">
        <f>GSVA_const!M34</f>
        <v>8117426</v>
      </c>
      <c r="N34" s="40">
        <f>GSVA_const!N34</f>
        <v>7725744.1765767867</v>
      </c>
      <c r="O34" s="40">
        <f>GSVA_const!O34</f>
        <v>8210095.0157211926</v>
      </c>
      <c r="P34" s="40">
        <f>GSVA_const!P34</f>
        <v>8579328.0678729918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</row>
    <row r="35" spans="1:193" s="12" customFormat="1" ht="15.75" x14ac:dyDescent="0.25">
      <c r="A35" s="38" t="s">
        <v>44</v>
      </c>
      <c r="B35" s="39" t="s">
        <v>24</v>
      </c>
      <c r="C35" s="40">
        <f>GSVA_const!C35</f>
        <v>631670</v>
      </c>
      <c r="D35" s="40">
        <f>GSVA_const!D35</f>
        <v>694011</v>
      </c>
      <c r="E35" s="40">
        <f>GSVA_const!E35</f>
        <v>745892</v>
      </c>
      <c r="F35" s="40">
        <f>GSVA_const!F35</f>
        <v>681588</v>
      </c>
      <c r="G35" s="40">
        <f>GSVA_const!G35</f>
        <v>605573</v>
      </c>
      <c r="H35" s="40">
        <f>GSVA_const!H35</f>
        <v>464668</v>
      </c>
      <c r="I35" s="40">
        <f>GSVA_const!I35</f>
        <v>555818</v>
      </c>
      <c r="J35" s="40">
        <f>GSVA_const!J35</f>
        <v>416927</v>
      </c>
      <c r="K35" s="40">
        <f>GSVA_const!K35</f>
        <v>408253</v>
      </c>
      <c r="L35" s="40">
        <f>GSVA_const!L35</f>
        <v>1049619</v>
      </c>
      <c r="M35" s="40">
        <f>GSVA_const!M35</f>
        <v>1018478</v>
      </c>
      <c r="N35" s="40">
        <f>GSVA_const!N35</f>
        <v>694601.63419861032</v>
      </c>
      <c r="O35" s="40">
        <f>GSVA_const!O35</f>
        <v>499757.56593509979</v>
      </c>
      <c r="P35" s="40">
        <f>GSVA_const!P35</f>
        <v>617552.93998327223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</row>
    <row r="36" spans="1:193" s="12" customFormat="1" ht="15.75" x14ac:dyDescent="0.25">
      <c r="A36" s="38" t="s">
        <v>45</v>
      </c>
      <c r="B36" s="39" t="s">
        <v>63</v>
      </c>
      <c r="C36" s="27">
        <f>C33+C34-C35</f>
        <v>32802112.292578615</v>
      </c>
      <c r="D36" s="27">
        <f t="shared" ref="D36:M36" si="31">D33+D34-D35</f>
        <v>34861580.553554632</v>
      </c>
      <c r="E36" s="27">
        <f t="shared" si="31"/>
        <v>36470677.314614676</v>
      </c>
      <c r="F36" s="27">
        <f t="shared" si="31"/>
        <v>38213425.545177072</v>
      </c>
      <c r="G36" s="27">
        <f t="shared" si="31"/>
        <v>41115014.942990154</v>
      </c>
      <c r="H36" s="27">
        <f t="shared" si="31"/>
        <v>44361530.071001932</v>
      </c>
      <c r="I36" s="27">
        <f t="shared" si="31"/>
        <v>47318178.980451047</v>
      </c>
      <c r="J36" s="27">
        <f t="shared" si="31"/>
        <v>51078693.361006245</v>
      </c>
      <c r="K36" s="27">
        <f t="shared" si="31"/>
        <v>51545304.544845276</v>
      </c>
      <c r="L36" s="27">
        <f t="shared" si="31"/>
        <v>46405238.776707888</v>
      </c>
      <c r="M36" s="27">
        <f t="shared" si="31"/>
        <v>52425886.961635537</v>
      </c>
      <c r="N36" s="27">
        <f t="shared" ref="N36:O36" si="32">N33+N34-N35</f>
        <v>55466500.664307229</v>
      </c>
      <c r="O36" s="27">
        <f t="shared" si="32"/>
        <v>59379642.07730031</v>
      </c>
      <c r="P36" s="27">
        <f t="shared" ref="P36" si="33">P33+P34-P35</f>
        <v>62642628.91848933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</row>
    <row r="37" spans="1:193" s="12" customFormat="1" ht="15.75" x14ac:dyDescent="0.25">
      <c r="A37" s="38" t="s">
        <v>46</v>
      </c>
      <c r="B37" s="39" t="s">
        <v>42</v>
      </c>
      <c r="C37" s="27">
        <f>GSVA_cur!C37</f>
        <v>335014.83</v>
      </c>
      <c r="D37" s="27">
        <f>GSVA_cur!D37</f>
        <v>336661.74</v>
      </c>
      <c r="E37" s="27">
        <f>GSVA_cur!E37</f>
        <v>338173.86535729998</v>
      </c>
      <c r="F37" s="27">
        <f>GSVA_cur!F37</f>
        <v>339842.743309749</v>
      </c>
      <c r="G37" s="27">
        <f>GSVA_cur!G37</f>
        <v>341525</v>
      </c>
      <c r="H37" s="27">
        <f>GSVA_cur!H37</f>
        <v>343221</v>
      </c>
      <c r="I37" s="27">
        <f>GSVA_cur!I37</f>
        <v>344932</v>
      </c>
      <c r="J37" s="27">
        <f>GSVA_cur!J37</f>
        <v>346656</v>
      </c>
      <c r="K37" s="27">
        <f>GSVA_cur!K37</f>
        <v>348394</v>
      </c>
      <c r="L37" s="27">
        <f>GSVA_cur!L37</f>
        <v>350147</v>
      </c>
      <c r="M37" s="27">
        <f>GSVA_cur!M37</f>
        <v>355730</v>
      </c>
      <c r="N37" s="27">
        <f>GSVA_cur!N37</f>
        <v>357160</v>
      </c>
      <c r="O37" s="27">
        <f>GSVA_cur!O37</f>
        <v>358600</v>
      </c>
      <c r="P37" s="27">
        <f>GSVA_cur!P37</f>
        <v>360393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</row>
    <row r="38" spans="1:193" s="12" customFormat="1" ht="15.75" x14ac:dyDescent="0.25">
      <c r="A38" s="38" t="s">
        <v>47</v>
      </c>
      <c r="B38" s="39" t="s">
        <v>64</v>
      </c>
      <c r="C38" s="27">
        <f>C36/C37*1000</f>
        <v>97912.418660924988</v>
      </c>
      <c r="D38" s="27">
        <f t="shared" ref="D38:M38" si="34">D36/D37*1000</f>
        <v>103550.76449600312</v>
      </c>
      <c r="E38" s="27">
        <f t="shared" si="34"/>
        <v>107845.93681147219</v>
      </c>
      <c r="F38" s="27">
        <f t="shared" si="34"/>
        <v>112444.43583821802</v>
      </c>
      <c r="G38" s="27">
        <f t="shared" si="34"/>
        <v>120386.54547394819</v>
      </c>
      <c r="H38" s="27">
        <f t="shared" si="34"/>
        <v>129250.62881059705</v>
      </c>
      <c r="I38" s="27">
        <f t="shared" si="34"/>
        <v>137181.18058182788</v>
      </c>
      <c r="J38" s="27">
        <f t="shared" si="34"/>
        <v>147346.91844654715</v>
      </c>
      <c r="K38" s="27">
        <f t="shared" si="34"/>
        <v>147951.18327194292</v>
      </c>
      <c r="L38" s="27">
        <f t="shared" si="34"/>
        <v>132530.73359676905</v>
      </c>
      <c r="M38" s="27">
        <f t="shared" si="34"/>
        <v>147375.50097443437</v>
      </c>
      <c r="N38" s="27">
        <f t="shared" ref="N38:O38" si="35">N36/N37*1000</f>
        <v>155298.74752017925</v>
      </c>
      <c r="O38" s="27">
        <f t="shared" si="35"/>
        <v>165587.40121946545</v>
      </c>
      <c r="P38" s="27">
        <f t="shared" ref="P38" si="36">P36/P37*1000</f>
        <v>173817.55172406047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CC38" s="13"/>
      <c r="CD38" s="13"/>
      <c r="CE38" s="13"/>
      <c r="CF38" s="13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2025-08-04T05:53:38Z</dcterms:modified>
</cp:coreProperties>
</file>