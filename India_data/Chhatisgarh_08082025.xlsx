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defaultThemeVersion="124226"/>
  <xr:revisionPtr revIDLastSave="0" documentId="13_ncr:1_{6BB9F79D-345C-4659-BB55-960CCC03F49B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GSVA_cur" sheetId="10" r:id="rId1"/>
    <sheet name="GSVA_const" sheetId="1" r:id="rId2"/>
    <sheet name="NSVA_cur" sheetId="11" r:id="rId3"/>
    <sheet name="NSVA_const" sheetId="12" r:id="rId4"/>
  </sheets>
  <externalReferences>
    <externalReference r:id="rId5"/>
  </externalReferences>
  <definedNames>
    <definedName name="_xlnm.Print_Titles" localSheetId="1">GSVA_const!$A:$B</definedName>
    <definedName name="_xlnm.Print_Titles" localSheetId="0">GSVA_cur!$A:$B</definedName>
    <definedName name="_xlnm.Print_Titles" localSheetId="3">NSVA_const!$A:$B</definedName>
    <definedName name="_xlnm.Print_Titles" localSheetId="2">NSVA_cur!$A:$B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4" i="12" l="1"/>
  <c r="P37" i="12"/>
  <c r="P34" i="11"/>
  <c r="P37" i="11"/>
  <c r="P37" i="1"/>
  <c r="P20" i="1"/>
  <c r="P20" i="11"/>
  <c r="P20" i="12"/>
  <c r="P20" i="10"/>
  <c r="P16" i="1"/>
  <c r="P17" i="1"/>
  <c r="P16" i="11"/>
  <c r="P17" i="11"/>
  <c r="P16" i="12"/>
  <c r="P17" i="12"/>
  <c r="P16" i="10"/>
  <c r="P17" i="10"/>
  <c r="P12" i="10"/>
  <c r="P6" i="1"/>
  <c r="P6" i="11"/>
  <c r="P6" i="12"/>
  <c r="P12" i="12" s="1"/>
  <c r="P6" i="10"/>
  <c r="P32" i="12" l="1"/>
  <c r="P12" i="11"/>
  <c r="P32" i="1"/>
  <c r="P33" i="1"/>
  <c r="P12" i="1"/>
  <c r="P32" i="10"/>
  <c r="P33" i="10"/>
  <c r="P36" i="10"/>
  <c r="P33" i="11"/>
  <c r="P32" i="11"/>
  <c r="P33" i="12"/>
  <c r="O17" i="12"/>
  <c r="O37" i="12"/>
  <c r="O34" i="12"/>
  <c r="O20" i="12"/>
  <c r="O34" i="11"/>
  <c r="O37" i="11"/>
  <c r="O20" i="11"/>
  <c r="O17" i="11"/>
  <c r="O37" i="1"/>
  <c r="O20" i="1"/>
  <c r="O17" i="1"/>
  <c r="O20" i="10"/>
  <c r="O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P36" i="1" l="1"/>
  <c r="P36" i="11"/>
  <c r="P38" i="10"/>
  <c r="P36" i="12"/>
  <c r="P38" i="11" l="1"/>
  <c r="P38" i="1"/>
  <c r="P38" i="12"/>
  <c r="I2" i="1"/>
  <c r="I2" i="11"/>
  <c r="I2" i="12"/>
  <c r="I2" i="10"/>
  <c r="O32" i="1" l="1"/>
  <c r="O32" i="11"/>
  <c r="O32" i="12"/>
  <c r="O32" i="10"/>
  <c r="O16" i="1"/>
  <c r="O16" i="11"/>
  <c r="O16" i="12"/>
  <c r="O16" i="10"/>
  <c r="O12" i="10"/>
  <c r="O6" i="1"/>
  <c r="O33" i="1" s="1"/>
  <c r="O6" i="11"/>
  <c r="O6" i="12"/>
  <c r="O6" i="10"/>
  <c r="O33" i="12" l="1"/>
  <c r="O12" i="12"/>
  <c r="O12" i="11"/>
  <c r="O33" i="11"/>
  <c r="O36" i="11" s="1"/>
  <c r="O12" i="1"/>
  <c r="O36" i="1"/>
  <c r="O33" i="10"/>
  <c r="M37" i="12"/>
  <c r="N37" i="12"/>
  <c r="D34" i="12"/>
  <c r="E34" i="12"/>
  <c r="F34" i="12"/>
  <c r="G34" i="12"/>
  <c r="H34" i="12"/>
  <c r="I34" i="12"/>
  <c r="J34" i="12"/>
  <c r="K34" i="12"/>
  <c r="L34" i="12"/>
  <c r="M34" i="12"/>
  <c r="N34" i="12"/>
  <c r="C34" i="12"/>
  <c r="M37" i="11"/>
  <c r="N37" i="11"/>
  <c r="D34" i="11"/>
  <c r="E34" i="11"/>
  <c r="F34" i="11"/>
  <c r="G34" i="11"/>
  <c r="H34" i="11"/>
  <c r="I34" i="11"/>
  <c r="J34" i="11"/>
  <c r="K34" i="11"/>
  <c r="L34" i="11"/>
  <c r="M34" i="11"/>
  <c r="N34" i="11"/>
  <c r="C34" i="11"/>
  <c r="M37" i="1"/>
  <c r="N37" i="1"/>
  <c r="O36" i="12" l="1"/>
  <c r="O38" i="11"/>
  <c r="O38" i="1"/>
  <c r="O36" i="10"/>
  <c r="O38" i="12" l="1"/>
  <c r="O38" i="10"/>
  <c r="M20" i="1"/>
  <c r="N20" i="1"/>
  <c r="M20" i="11"/>
  <c r="N20" i="11"/>
  <c r="M20" i="12"/>
  <c r="N20" i="12"/>
  <c r="M20" i="10"/>
  <c r="N20" i="10"/>
  <c r="N16" i="1"/>
  <c r="N17" i="1"/>
  <c r="N16" i="11"/>
  <c r="N17" i="11"/>
  <c r="N16" i="12"/>
  <c r="N17" i="12"/>
  <c r="N16" i="10"/>
  <c r="N12" i="10"/>
  <c r="N6" i="1"/>
  <c r="N6" i="11"/>
  <c r="N6" i="12"/>
  <c r="N6" i="10"/>
  <c r="N12" i="12" l="1"/>
  <c r="N12" i="11"/>
  <c r="N33" i="1"/>
  <c r="N32" i="10"/>
  <c r="M32" i="10"/>
  <c r="N32" i="12"/>
  <c r="N33" i="12"/>
  <c r="N32" i="11"/>
  <c r="N33" i="11"/>
  <c r="N32" i="1"/>
  <c r="N12" i="1"/>
  <c r="N33" i="10"/>
  <c r="M16" i="1"/>
  <c r="M17" i="1"/>
  <c r="M16" i="11"/>
  <c r="M17" i="11"/>
  <c r="M16" i="12"/>
  <c r="M17" i="12"/>
  <c r="M16" i="10"/>
  <c r="M12" i="10"/>
  <c r="M6" i="1"/>
  <c r="M6" i="11"/>
  <c r="M6" i="12"/>
  <c r="M6" i="10"/>
  <c r="M32" i="12" l="1"/>
  <c r="M32" i="11"/>
  <c r="M32" i="1"/>
  <c r="N36" i="1"/>
  <c r="N36" i="11"/>
  <c r="N36" i="12"/>
  <c r="M33" i="10"/>
  <c r="N36" i="10"/>
  <c r="M33" i="12"/>
  <c r="M12" i="12"/>
  <c r="M33" i="11"/>
  <c r="M12" i="11"/>
  <c r="M33" i="1"/>
  <c r="M12" i="1"/>
  <c r="L20" i="1"/>
  <c r="L20" i="11"/>
  <c r="L20" i="12"/>
  <c r="L20" i="10"/>
  <c r="L16" i="1"/>
  <c r="L17" i="1"/>
  <c r="L16" i="11"/>
  <c r="L17" i="11"/>
  <c r="L16" i="12"/>
  <c r="L17" i="12"/>
  <c r="L16" i="10"/>
  <c r="L12" i="10"/>
  <c r="L6" i="1"/>
  <c r="L6" i="11"/>
  <c r="L6" i="12"/>
  <c r="L6" i="10"/>
  <c r="N38" i="1" l="1"/>
  <c r="N38" i="12"/>
  <c r="M36" i="12"/>
  <c r="M36" i="1"/>
  <c r="N38" i="11"/>
  <c r="M36" i="11"/>
  <c r="M36" i="10"/>
  <c r="N38" i="10"/>
  <c r="L12" i="1"/>
  <c r="L32" i="12"/>
  <c r="L33" i="12"/>
  <c r="L32" i="11"/>
  <c r="L32" i="1"/>
  <c r="L33" i="1"/>
  <c r="L32" i="10"/>
  <c r="L33" i="10"/>
  <c r="L12" i="11"/>
  <c r="L33" i="11"/>
  <c r="L12" i="12"/>
  <c r="M38" i="11" l="1"/>
  <c r="M38" i="12"/>
  <c r="M38" i="1"/>
  <c r="M38" i="10"/>
  <c r="L36" i="1"/>
  <c r="L36" i="12"/>
  <c r="L36" i="10"/>
  <c r="L36" i="11"/>
  <c r="K20" i="1"/>
  <c r="K20" i="11"/>
  <c r="K20" i="12"/>
  <c r="K20" i="10"/>
  <c r="J17" i="1"/>
  <c r="K17" i="1"/>
  <c r="J17" i="11"/>
  <c r="K17" i="11"/>
  <c r="J17" i="12"/>
  <c r="K17" i="12"/>
  <c r="K16" i="1"/>
  <c r="K16" i="11"/>
  <c r="K16" i="12"/>
  <c r="K16" i="10"/>
  <c r="K12" i="10"/>
  <c r="K6" i="1"/>
  <c r="K6" i="11"/>
  <c r="K6" i="12"/>
  <c r="K6" i="10"/>
  <c r="K32" i="12" l="1"/>
  <c r="K32" i="1"/>
  <c r="K12" i="12"/>
  <c r="K33" i="12"/>
  <c r="K32" i="11"/>
  <c r="K12" i="11"/>
  <c r="K33" i="11"/>
  <c r="K12" i="1"/>
  <c r="K33" i="1"/>
  <c r="K32" i="10"/>
  <c r="K33" i="10"/>
  <c r="K36" i="10" l="1"/>
  <c r="J20" i="1" l="1"/>
  <c r="J20" i="11"/>
  <c r="J20" i="12"/>
  <c r="J20" i="10"/>
  <c r="J16" i="1"/>
  <c r="J16" i="11"/>
  <c r="J16" i="12"/>
  <c r="J16" i="10"/>
  <c r="J12" i="10"/>
  <c r="J6" i="1"/>
  <c r="J6" i="11"/>
  <c r="J6" i="12"/>
  <c r="J6" i="10"/>
  <c r="J33" i="12" l="1"/>
  <c r="J33" i="11"/>
  <c r="J33" i="1"/>
  <c r="J32" i="12"/>
  <c r="J32" i="11"/>
  <c r="J32" i="1"/>
  <c r="J33" i="10"/>
  <c r="J36" i="10" s="1"/>
  <c r="J32" i="10"/>
  <c r="J12" i="11"/>
  <c r="J12" i="1"/>
  <c r="J12" i="12"/>
  <c r="I20" i="12"/>
  <c r="I16" i="12"/>
  <c r="I17" i="12"/>
  <c r="I6" i="12"/>
  <c r="I20" i="11"/>
  <c r="I17" i="11"/>
  <c r="I16" i="11"/>
  <c r="I6" i="11"/>
  <c r="I20" i="1"/>
  <c r="I16" i="1"/>
  <c r="I17" i="1"/>
  <c r="I6" i="1"/>
  <c r="I32" i="12" l="1"/>
  <c r="I33" i="12"/>
  <c r="I32" i="11"/>
  <c r="I33" i="11"/>
  <c r="I32" i="1"/>
  <c r="I33" i="1"/>
  <c r="J36" i="11"/>
  <c r="J36" i="12"/>
  <c r="I12" i="12"/>
  <c r="J36" i="1"/>
  <c r="I12" i="11"/>
  <c r="I12" i="1"/>
  <c r="I36" i="12" l="1"/>
  <c r="I36" i="11"/>
  <c r="I36" i="1"/>
  <c r="I20" i="10"/>
  <c r="I16" i="10"/>
  <c r="I12" i="10"/>
  <c r="I6" i="10"/>
  <c r="I33" i="10" l="1"/>
  <c r="I36" i="10" s="1"/>
  <c r="I32" i="10"/>
  <c r="D20" i="12"/>
  <c r="E20" i="12"/>
  <c r="F20" i="12"/>
  <c r="G20" i="12"/>
  <c r="H20" i="12"/>
  <c r="D17" i="12"/>
  <c r="E17" i="12"/>
  <c r="F17" i="12"/>
  <c r="G17" i="12"/>
  <c r="H17" i="12"/>
  <c r="D20" i="11"/>
  <c r="E20" i="11"/>
  <c r="F20" i="11"/>
  <c r="G20" i="11"/>
  <c r="H20" i="11"/>
  <c r="G17" i="11"/>
  <c r="H17" i="11"/>
  <c r="D16" i="11"/>
  <c r="E16" i="11"/>
  <c r="F16" i="11"/>
  <c r="G16" i="11"/>
  <c r="H16" i="11"/>
  <c r="D6" i="11"/>
  <c r="E6" i="11"/>
  <c r="F6" i="11"/>
  <c r="G6" i="11"/>
  <c r="H6" i="11"/>
  <c r="D17" i="1"/>
  <c r="E17" i="1"/>
  <c r="F17" i="1"/>
  <c r="G17" i="1"/>
  <c r="H17" i="1"/>
  <c r="F32" i="12" l="1"/>
  <c r="H32" i="12"/>
  <c r="G32" i="12"/>
  <c r="E32" i="12"/>
  <c r="D32" i="12"/>
  <c r="H32" i="11"/>
  <c r="G32" i="11"/>
  <c r="H33" i="11"/>
  <c r="G33" i="11"/>
  <c r="F12" i="11"/>
  <c r="H12" i="11"/>
  <c r="G12" i="11"/>
  <c r="E12" i="11"/>
  <c r="D12" i="11"/>
  <c r="H20" i="1"/>
  <c r="H20" i="10"/>
  <c r="H16" i="1"/>
  <c r="H16" i="12"/>
  <c r="H16" i="10"/>
  <c r="H12" i="10"/>
  <c r="H6" i="1"/>
  <c r="H6" i="12"/>
  <c r="H6" i="10"/>
  <c r="H33" i="12" l="1"/>
  <c r="H32" i="1"/>
  <c r="G36" i="11"/>
  <c r="H33" i="1"/>
  <c r="H33" i="10"/>
  <c r="H36" i="10" s="1"/>
  <c r="H32" i="10"/>
  <c r="H12" i="12"/>
  <c r="H36" i="11"/>
  <c r="H12" i="1"/>
  <c r="H36" i="12" l="1"/>
  <c r="H36" i="1"/>
  <c r="C20" i="12"/>
  <c r="C17" i="12"/>
  <c r="F16" i="12"/>
  <c r="E16" i="12"/>
  <c r="D16" i="12"/>
  <c r="C16" i="12"/>
  <c r="F6" i="12"/>
  <c r="E6" i="12"/>
  <c r="D6" i="12"/>
  <c r="C6" i="12"/>
  <c r="C20" i="11"/>
  <c r="F17" i="11"/>
  <c r="E17" i="11"/>
  <c r="D17" i="11"/>
  <c r="C17" i="11"/>
  <c r="C16" i="11"/>
  <c r="C6" i="11"/>
  <c r="F20" i="1"/>
  <c r="E20" i="1"/>
  <c r="D20" i="1"/>
  <c r="C20" i="1"/>
  <c r="C17" i="1"/>
  <c r="F16" i="1"/>
  <c r="E16" i="1"/>
  <c r="D16" i="1"/>
  <c r="C16" i="1"/>
  <c r="F6" i="1"/>
  <c r="E6" i="1"/>
  <c r="D6" i="1"/>
  <c r="C6" i="1"/>
  <c r="F20" i="10"/>
  <c r="E20" i="10"/>
  <c r="D20" i="10"/>
  <c r="C20" i="10"/>
  <c r="F16" i="10"/>
  <c r="E16" i="10"/>
  <c r="D16" i="10"/>
  <c r="C16" i="10"/>
  <c r="F6" i="10"/>
  <c r="E6" i="10"/>
  <c r="D6" i="10"/>
  <c r="C6" i="10"/>
  <c r="E33" i="12" l="1"/>
  <c r="D33" i="12"/>
  <c r="D33" i="1"/>
  <c r="E32" i="1"/>
  <c r="D32" i="1"/>
  <c r="F32" i="10"/>
  <c r="E32" i="10"/>
  <c r="F33" i="12"/>
  <c r="D32" i="11"/>
  <c r="D33" i="11"/>
  <c r="E32" i="11"/>
  <c r="E33" i="11"/>
  <c r="F32" i="11"/>
  <c r="F33" i="11"/>
  <c r="E33" i="1"/>
  <c r="F33" i="1"/>
  <c r="F32" i="1"/>
  <c r="D33" i="10"/>
  <c r="D32" i="10"/>
  <c r="F33" i="10"/>
  <c r="F36" i="10" s="1"/>
  <c r="E33" i="10"/>
  <c r="C12" i="12"/>
  <c r="C12" i="10"/>
  <c r="C12" i="11"/>
  <c r="D12" i="12"/>
  <c r="E12" i="12"/>
  <c r="E12" i="10"/>
  <c r="F12" i="10"/>
  <c r="C32" i="1"/>
  <c r="C33" i="1"/>
  <c r="C32" i="12"/>
  <c r="C32" i="11"/>
  <c r="D12" i="1"/>
  <c r="C33" i="12"/>
  <c r="C32" i="10"/>
  <c r="D12" i="10"/>
  <c r="F12" i="12"/>
  <c r="C33" i="11"/>
  <c r="C12" i="1"/>
  <c r="E12" i="1"/>
  <c r="F12" i="1"/>
  <c r="C33" i="10"/>
  <c r="C36" i="10" s="1"/>
  <c r="G6" i="1"/>
  <c r="G16" i="1"/>
  <c r="G20" i="1"/>
  <c r="G6" i="12"/>
  <c r="G16" i="12"/>
  <c r="G6" i="10"/>
  <c r="G12" i="10"/>
  <c r="G16" i="10"/>
  <c r="G20" i="10"/>
  <c r="E36" i="10" l="1"/>
  <c r="D36" i="10"/>
  <c r="G33" i="12"/>
  <c r="G32" i="1"/>
  <c r="G32" i="10"/>
  <c r="G33" i="1"/>
  <c r="G33" i="10"/>
  <c r="G36" i="10" s="1"/>
  <c r="K36" i="1"/>
  <c r="K36" i="12"/>
  <c r="K36" i="11"/>
  <c r="D36" i="1"/>
  <c r="C36" i="11"/>
  <c r="E36" i="12"/>
  <c r="F36" i="12"/>
  <c r="D36" i="11"/>
  <c r="C36" i="12"/>
  <c r="C36" i="1"/>
  <c r="D36" i="12"/>
  <c r="F36" i="1"/>
  <c r="E36" i="11"/>
  <c r="E36" i="1"/>
  <c r="F36" i="11"/>
  <c r="G12" i="1"/>
  <c r="G12" i="12"/>
  <c r="G36" i="1" l="1"/>
  <c r="G36" i="12"/>
  <c r="E38" i="10" l="1"/>
  <c r="K38" i="10"/>
  <c r="K37" i="11"/>
  <c r="K38" i="11"/>
  <c r="F37" i="1"/>
  <c r="J37" i="11"/>
  <c r="I37" i="12"/>
  <c r="E37" i="12"/>
  <c r="E38" i="12"/>
  <c r="C37" i="12"/>
  <c r="C38" i="10"/>
  <c r="I38" i="10"/>
  <c r="G38" i="10"/>
  <c r="G37" i="1"/>
  <c r="G37" i="11"/>
  <c r="G38" i="11" s="1"/>
  <c r="L37" i="12"/>
  <c r="J37" i="12"/>
  <c r="J38" i="12" s="1"/>
  <c r="L37" i="1"/>
  <c r="I37" i="1"/>
  <c r="J37" i="1"/>
  <c r="C37" i="11"/>
  <c r="K37" i="1"/>
  <c r="L37" i="11"/>
  <c r="F37" i="12"/>
  <c r="D37" i="1"/>
  <c r="D38" i="10"/>
  <c r="D37" i="12"/>
  <c r="G37" i="12"/>
  <c r="G38" i="12" s="1"/>
  <c r="K37" i="12"/>
  <c r="I37" i="11"/>
  <c r="I38" i="11" s="1"/>
  <c r="L38" i="10"/>
  <c r="C37" i="1"/>
  <c r="C38" i="1" s="1"/>
  <c r="F37" i="11"/>
  <c r="E37" i="1"/>
  <c r="H38" i="10"/>
  <c r="H37" i="11"/>
  <c r="E37" i="11"/>
  <c r="E38" i="11" s="1"/>
  <c r="D37" i="11"/>
  <c r="F38" i="10"/>
  <c r="H37" i="1"/>
  <c r="J38" i="10"/>
  <c r="H37" i="12"/>
  <c r="H38" i="12" s="1"/>
  <c r="K38" i="12" l="1"/>
  <c r="L38" i="12"/>
  <c r="K38" i="1"/>
  <c r="I38" i="1"/>
  <c r="E38" i="1"/>
  <c r="D38" i="11"/>
  <c r="H38" i="11"/>
  <c r="H38" i="1"/>
  <c r="F38" i="1"/>
  <c r="J38" i="1"/>
  <c r="D38" i="12"/>
  <c r="L38" i="1"/>
  <c r="C38" i="12"/>
  <c r="D38" i="1"/>
  <c r="L38" i="11"/>
  <c r="F38" i="11"/>
  <c r="G38" i="1"/>
  <c r="C38" i="11"/>
  <c r="I38" i="12"/>
  <c r="F38" i="12"/>
  <c r="J38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22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transport by mean other than railways
</t>
        </r>
      </text>
    </comment>
    <comment ref="B34" authorId="0" shapeId="0" xr:uid="{00000000-0006-0000-0000-000002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product tax-subs
</t>
        </r>
      </text>
    </comment>
  </commentList>
</comments>
</file>

<file path=xl/sharedStrings.xml><?xml version="1.0" encoding="utf-8"?>
<sst xmlns="http://schemas.openxmlformats.org/spreadsheetml/2006/main" count="284" uniqueCount="77">
  <si>
    <t>S.No.</t>
  </si>
  <si>
    <t>Item</t>
  </si>
  <si>
    <t>Agriculture, forestry and fishing</t>
  </si>
  <si>
    <t>Mining and quarrying</t>
  </si>
  <si>
    <t>Manufacturing</t>
  </si>
  <si>
    <t>Electricity, gas, water supply &amp; other utility services</t>
  </si>
  <si>
    <t>Construction</t>
  </si>
  <si>
    <t>Trade, repair, hotels and restaurants</t>
  </si>
  <si>
    <t>Trade &amp; repair services</t>
  </si>
  <si>
    <t>Hotels &amp; restaurants</t>
  </si>
  <si>
    <t>Transport, storage, communication &amp; services related to broadcasting</t>
  </si>
  <si>
    <t>Railways</t>
  </si>
  <si>
    <t>Road transport</t>
  </si>
  <si>
    <t>Water transport</t>
  </si>
  <si>
    <t>Air transport</t>
  </si>
  <si>
    <t>Services incidental to transport</t>
  </si>
  <si>
    <t>Storage</t>
  </si>
  <si>
    <t>Communication &amp; services related to broadcasting</t>
  </si>
  <si>
    <t>Financial services</t>
  </si>
  <si>
    <t>Real estate, ownership of dwelling &amp; professional services</t>
  </si>
  <si>
    <t>Other services</t>
  </si>
  <si>
    <t>2011-12</t>
  </si>
  <si>
    <t>2012-13</t>
  </si>
  <si>
    <t>2013-14</t>
  </si>
  <si>
    <t>Subsidies on products</t>
  </si>
  <si>
    <t>Taxes on Products</t>
  </si>
  <si>
    <t>1.</t>
  </si>
  <si>
    <t>12.</t>
  </si>
  <si>
    <t>Primary</t>
  </si>
  <si>
    <t>Secondary</t>
  </si>
  <si>
    <t>Tertiary</t>
  </si>
  <si>
    <r>
      <t>2.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</si>
  <si>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3.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</si>
  <si>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4.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</si>
  <si>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5.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</si>
  <si>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6.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</si>
  <si>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7.</t>
    </r>
    <r>
      <rPr>
        <sz val="7"/>
        <rFont val="Times New Roman"/>
        <family val="1"/>
      </rPr>
      <t xml:space="preserve">      </t>
    </r>
    <r>
      <rPr>
        <sz val="11"/>
        <rFont val="Times New Roman"/>
        <family val="1"/>
      </rPr>
      <t> </t>
    </r>
  </si>
  <si>
    <r>
      <t>8.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</si>
  <si>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9.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</si>
  <si>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10.</t>
    </r>
    <r>
      <rPr>
        <sz val="7"/>
        <rFont val="Times New Roman"/>
        <family val="1"/>
      </rPr>
      <t xml:space="preserve">  </t>
    </r>
    <r>
      <rPr>
        <sz val="12"/>
        <rFont val="Times New Roman"/>
        <family val="1"/>
      </rPr>
      <t> </t>
    </r>
  </si>
  <si>
    <r>
      <t>11.</t>
    </r>
    <r>
      <rPr>
        <sz val="7"/>
        <rFont val="Times New Roman"/>
        <family val="1"/>
      </rPr>
      <t xml:space="preserve">  </t>
    </r>
    <r>
      <rPr>
        <sz val="12"/>
        <rFont val="Times New Roman"/>
        <family val="1"/>
      </rPr>
      <t> </t>
    </r>
  </si>
  <si>
    <t>TOTAL GSVA at basic prices</t>
  </si>
  <si>
    <t>Population ('00)</t>
  </si>
  <si>
    <t>13.</t>
  </si>
  <si>
    <t>14.</t>
  </si>
  <si>
    <t>15.</t>
  </si>
  <si>
    <t>16.</t>
  </si>
  <si>
    <t>17.</t>
  </si>
  <si>
    <t>Gross State Value Added by economic activity at current prices</t>
  </si>
  <si>
    <t>Gross State Value Added by economic activity at constant (2011-12) prices</t>
  </si>
  <si>
    <t>Net State Value Added by economic activity at current prices</t>
  </si>
  <si>
    <t>TOTAL NSVA at basic prices</t>
  </si>
  <si>
    <t>Net State Value Added by economic activity at constant (2011-12) prices</t>
  </si>
  <si>
    <t>State :</t>
  </si>
  <si>
    <t>Public administration</t>
  </si>
  <si>
    <t>Gross State Domestic Product</t>
  </si>
  <si>
    <t>2014-15</t>
  </si>
  <si>
    <t>(Rs. in lakh)</t>
  </si>
  <si>
    <t>Per Capita GSDP (Rs.)</t>
  </si>
  <si>
    <t>Crops</t>
  </si>
  <si>
    <t>Livestock</t>
  </si>
  <si>
    <t>Forestry and logging</t>
  </si>
  <si>
    <t>Fishing and aquaculture</t>
  </si>
  <si>
    <t>Net State Domestic Product</t>
  </si>
  <si>
    <t>Per Capita NSDP (Rs.)</t>
  </si>
  <si>
    <t>2015-16</t>
  </si>
  <si>
    <t>Chhattisgarh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</si>
  <si>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</si>
  <si>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</si>
  <si>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</si>
  <si>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</si>
  <si>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</si>
  <si>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</si>
  <si>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</si>
  <si>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</si>
  <si>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Source:  Directorate of Economics &amp; Statistics of respective State Governments.</t>
  </si>
  <si>
    <t>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</si>
</sst>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26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7"/>
      <name val="Times New Roman"/>
      <family val="1"/>
    </font>
    <font>
      <sz val="11"/>
      <name val="Times New Roman"/>
      <family val="1"/>
    </font>
    <font>
      <b/>
      <i/>
      <sz val="11"/>
      <name val="Calibri"/>
      <family val="2"/>
      <scheme val="minor"/>
    </font>
    <font>
      <b/>
      <sz val="14"/>
      <name val="Calibri"/>
      <family val="2"/>
      <scheme val="minor"/>
    </font>
    <font>
      <sz val="13"/>
      <color theme="1"/>
      <name val="Calibri"/>
      <family val="2"/>
    </font>
    <font>
      <sz val="12"/>
      <name val="Calibri"/>
      <family val="2"/>
      <scheme val="minor"/>
    </font>
    <font>
      <sz val="12"/>
      <name val="Calibri"/>
      <family val="2"/>
    </font>
    <font>
      <sz val="12"/>
      <color indexed="8"/>
      <name val="Calibri"/>
      <family val="2"/>
    </font>
    <font>
      <sz val="12"/>
      <color theme="1"/>
      <name val="Calibri"/>
      <family val="2"/>
    </font>
    <font>
      <sz val="13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30">
    <xf numFmtId="0" fontId="0" fillId="0" borderId="0"/>
    <xf numFmtId="0" fontId="2" fillId="0" borderId="0"/>
    <xf numFmtId="0" fontId="3" fillId="0" borderId="0"/>
    <xf numFmtId="0" fontId="4" fillId="0" borderId="0"/>
    <xf numFmtId="0" fontId="6" fillId="0" borderId="0"/>
    <xf numFmtId="0" fontId="5" fillId="0" borderId="0"/>
    <xf numFmtId="0" fontId="6" fillId="0" borderId="0"/>
    <xf numFmtId="0" fontId="5" fillId="2" borderId="1" applyNumberFormat="0" applyFont="0" applyAlignment="0" applyProtection="0"/>
    <xf numFmtId="0" fontId="6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8" fillId="2" borderId="1" applyNumberFormat="0" applyFont="0" applyAlignment="0" applyProtection="0"/>
    <xf numFmtId="0" fontId="9" fillId="0" borderId="0"/>
    <xf numFmtId="16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4" fillId="0" borderId="0"/>
  </cellStyleXfs>
  <cellXfs count="55">
    <xf numFmtId="0" fontId="0" fillId="0" borderId="0" xfId="0"/>
    <xf numFmtId="0" fontId="7" fillId="0" borderId="0" xfId="0" applyFont="1"/>
    <xf numFmtId="0" fontId="7" fillId="0" borderId="0" xfId="0" applyFont="1" applyProtection="1">
      <protection locked="0"/>
    </xf>
    <xf numFmtId="1" fontId="7" fillId="0" borderId="0" xfId="0" applyNumberFormat="1" applyFont="1"/>
    <xf numFmtId="1" fontId="7" fillId="0" borderId="0" xfId="0" applyNumberFormat="1" applyFont="1" applyProtection="1">
      <protection locked="0"/>
    </xf>
    <xf numFmtId="1" fontId="10" fillId="0" borderId="0" xfId="0" applyNumberFormat="1" applyFont="1" applyProtection="1">
      <protection locked="0"/>
    </xf>
    <xf numFmtId="0" fontId="16" fillId="0" borderId="0" xfId="0" applyFont="1" applyProtection="1">
      <protection locked="0"/>
    </xf>
    <xf numFmtId="0" fontId="1" fillId="0" borderId="0" xfId="0" applyFont="1" applyAlignment="1">
      <alignment horizontal="left" vertical="center"/>
    </xf>
    <xf numFmtId="0" fontId="7" fillId="0" borderId="0" xfId="0" quotePrefix="1" applyFont="1" applyProtection="1">
      <protection locked="0"/>
    </xf>
    <xf numFmtId="1" fontId="7" fillId="4" borderId="0" xfId="0" applyNumberFormat="1" applyFont="1" applyFill="1"/>
    <xf numFmtId="0" fontId="7" fillId="4" borderId="0" xfId="0" applyFont="1" applyFill="1"/>
    <xf numFmtId="0" fontId="7" fillId="4" borderId="0" xfId="0" applyFont="1" applyFill="1" applyProtection="1">
      <protection locked="0"/>
    </xf>
    <xf numFmtId="1" fontId="7" fillId="4" borderId="0" xfId="0" applyNumberFormat="1" applyFont="1" applyFill="1" applyProtection="1">
      <protection locked="0"/>
    </xf>
    <xf numFmtId="49" fontId="11" fillId="0" borderId="2" xfId="0" applyNumberFormat="1" applyFont="1" applyBorder="1" applyAlignment="1" applyProtection="1">
      <alignment vertical="center" wrapText="1"/>
      <protection locked="0"/>
    </xf>
    <xf numFmtId="0" fontId="11" fillId="0" borderId="2" xfId="0" applyFont="1" applyBorder="1" applyAlignment="1" applyProtection="1">
      <alignment vertical="center" wrapText="1"/>
      <protection locked="0"/>
    </xf>
    <xf numFmtId="0" fontId="7" fillId="0" borderId="2" xfId="0" applyFont="1" applyBorder="1" applyProtection="1">
      <protection locked="0"/>
    </xf>
    <xf numFmtId="0" fontId="7" fillId="0" borderId="2" xfId="0" applyFont="1" applyBorder="1"/>
    <xf numFmtId="49" fontId="12" fillId="4" borderId="2" xfId="0" applyNumberFormat="1" applyFont="1" applyFill="1" applyBorder="1" applyAlignment="1">
      <alignment vertical="center" wrapText="1"/>
    </xf>
    <xf numFmtId="0" fontId="7" fillId="4" borderId="2" xfId="0" applyFont="1" applyFill="1" applyBorder="1" applyAlignment="1">
      <alignment horizontal="left" vertical="center" wrapText="1"/>
    </xf>
    <xf numFmtId="1" fontId="18" fillId="4" borderId="2" xfId="0" applyNumberFormat="1" applyFont="1" applyFill="1" applyBorder="1"/>
    <xf numFmtId="1" fontId="17" fillId="4" borderId="2" xfId="11" applyNumberFormat="1" applyFont="1" applyFill="1" applyBorder="1" applyAlignment="1">
      <alignment horizontal="right" vertical="center"/>
    </xf>
    <xf numFmtId="49" fontId="12" fillId="0" borderId="2" xfId="0" applyNumberFormat="1" applyFont="1" applyBorder="1" applyAlignment="1" applyProtection="1">
      <alignment horizontal="righ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1" fontId="19" fillId="0" borderId="2" xfId="11" applyNumberFormat="1" applyFont="1" applyBorder="1" applyAlignment="1">
      <alignment horizontal="right" vertical="center"/>
    </xf>
    <xf numFmtId="1" fontId="17" fillId="0" borderId="2" xfId="11" applyNumberFormat="1" applyFont="1" applyBorder="1" applyAlignment="1">
      <alignment horizontal="right" vertical="center"/>
    </xf>
    <xf numFmtId="49" fontId="12" fillId="0" borderId="2" xfId="0" applyNumberFormat="1" applyFont="1" applyBorder="1" applyAlignment="1" applyProtection="1">
      <alignment vertical="center" wrapText="1"/>
      <protection locked="0"/>
    </xf>
    <xf numFmtId="49" fontId="12" fillId="4" borderId="2" xfId="0" applyNumberFormat="1" applyFont="1" applyFill="1" applyBorder="1" applyAlignment="1" applyProtection="1">
      <alignment vertical="center" wrapText="1"/>
      <protection locked="0"/>
    </xf>
    <xf numFmtId="0" fontId="15" fillId="4" borderId="2" xfId="0" applyFont="1" applyFill="1" applyBorder="1" applyAlignment="1" applyProtection="1">
      <alignment horizontal="left" vertical="center" wrapText="1"/>
      <protection locked="0"/>
    </xf>
    <xf numFmtId="1" fontId="18" fillId="4" borderId="2" xfId="0" applyNumberFormat="1" applyFont="1" applyFill="1" applyBorder="1" applyProtection="1">
      <protection locked="0"/>
    </xf>
    <xf numFmtId="49" fontId="12" fillId="0" borderId="2" xfId="0" applyNumberFormat="1" applyFont="1" applyBorder="1" applyAlignment="1">
      <alignment vertical="center" wrapText="1"/>
    </xf>
    <xf numFmtId="0" fontId="7" fillId="0" borderId="2" xfId="0" applyFont="1" applyBorder="1" applyAlignment="1">
      <alignment horizontal="left" vertical="center" wrapText="1"/>
    </xf>
    <xf numFmtId="1" fontId="19" fillId="0" borderId="2" xfId="0" applyNumberFormat="1" applyFont="1" applyBorder="1" applyAlignment="1">
      <alignment horizontal="right" vertical="center"/>
    </xf>
    <xf numFmtId="1" fontId="18" fillId="0" borderId="2" xfId="0" applyNumberFormat="1" applyFont="1" applyBorder="1" applyProtection="1">
      <protection locked="0"/>
    </xf>
    <xf numFmtId="49" fontId="14" fillId="4" borderId="2" xfId="0" applyNumberFormat="1" applyFont="1" applyFill="1" applyBorder="1" applyAlignment="1">
      <alignment vertical="center" wrapText="1"/>
    </xf>
    <xf numFmtId="0" fontId="7" fillId="4" borderId="2" xfId="0" applyFont="1" applyFill="1" applyBorder="1" applyAlignment="1">
      <alignment horizontal="left" vertical="top" wrapText="1"/>
    </xf>
    <xf numFmtId="1" fontId="17" fillId="0" borderId="2" xfId="11" applyNumberFormat="1" applyFont="1" applyBorder="1" applyAlignment="1">
      <alignment vertical="center"/>
    </xf>
    <xf numFmtId="0" fontId="10" fillId="4" borderId="2" xfId="0" applyFont="1" applyFill="1" applyBorder="1" applyAlignment="1">
      <alignment horizontal="left" vertical="center" wrapText="1"/>
    </xf>
    <xf numFmtId="49" fontId="12" fillId="0" borderId="2" xfId="0" quotePrefix="1" applyNumberFormat="1" applyFont="1" applyBorder="1" applyAlignment="1">
      <alignment vertical="center" wrapText="1"/>
    </xf>
    <xf numFmtId="0" fontId="7" fillId="0" borderId="2" xfId="0" applyFont="1" applyBorder="1" applyAlignment="1" applyProtection="1">
      <alignment vertical="center" wrapText="1"/>
      <protection locked="0"/>
    </xf>
    <xf numFmtId="1" fontId="20" fillId="0" borderId="2" xfId="0" applyNumberFormat="1" applyFont="1" applyBorder="1" applyAlignment="1">
      <alignment horizontal="right" vertical="center"/>
    </xf>
    <xf numFmtId="49" fontId="12" fillId="4" borderId="2" xfId="0" quotePrefix="1" applyNumberFormat="1" applyFont="1" applyFill="1" applyBorder="1" applyAlignment="1">
      <alignment vertical="center" wrapText="1"/>
    </xf>
    <xf numFmtId="0" fontId="7" fillId="4" borderId="2" xfId="0" applyFont="1" applyFill="1" applyBorder="1" applyAlignment="1" applyProtection="1">
      <alignment vertical="center" wrapText="1"/>
      <protection locked="0"/>
    </xf>
    <xf numFmtId="0" fontId="18" fillId="0" borderId="2" xfId="0" applyFont="1" applyBorder="1" applyProtection="1">
      <protection locked="0"/>
    </xf>
    <xf numFmtId="1" fontId="7" fillId="4" borderId="2" xfId="0" applyNumberFormat="1" applyFont="1" applyFill="1" applyBorder="1"/>
    <xf numFmtId="1" fontId="22" fillId="0" borderId="2" xfId="11" applyNumberFormat="1" applyFont="1" applyBorder="1" applyAlignment="1">
      <alignment horizontal="right" vertical="center"/>
    </xf>
    <xf numFmtId="1" fontId="7" fillId="4" borderId="2" xfId="0" applyNumberFormat="1" applyFont="1" applyFill="1" applyBorder="1" applyProtection="1">
      <protection locked="0"/>
    </xf>
    <xf numFmtId="1" fontId="7" fillId="0" borderId="2" xfId="0" applyNumberFormat="1" applyFont="1" applyBorder="1"/>
    <xf numFmtId="1" fontId="7" fillId="0" borderId="2" xfId="0" applyNumberFormat="1" applyFont="1" applyBorder="1" applyProtection="1">
      <protection locked="0"/>
    </xf>
    <xf numFmtId="1" fontId="7" fillId="0" borderId="2" xfId="0" applyNumberFormat="1" applyFont="1" applyBorder="1" applyAlignment="1" applyProtection="1">
      <alignment vertical="center"/>
      <protection locked="0"/>
    </xf>
    <xf numFmtId="1" fontId="20" fillId="4" borderId="2" xfId="0" applyNumberFormat="1" applyFont="1" applyFill="1" applyBorder="1" applyAlignment="1">
      <alignment horizontal="right" vertical="center"/>
    </xf>
    <xf numFmtId="0" fontId="18" fillId="4" borderId="2" xfId="0" applyFont="1" applyFill="1" applyBorder="1" applyProtection="1">
      <protection locked="0"/>
    </xf>
    <xf numFmtId="1" fontId="19" fillId="3" borderId="2" xfId="11" applyNumberFormat="1" applyFont="1" applyFill="1" applyBorder="1" applyAlignment="1">
      <alignment horizontal="right" vertical="center"/>
    </xf>
    <xf numFmtId="1" fontId="21" fillId="3" borderId="2" xfId="11" applyNumberFormat="1" applyFont="1" applyFill="1" applyBorder="1" applyAlignment="1">
      <alignment horizontal="right" vertical="center"/>
    </xf>
    <xf numFmtId="1" fontId="25" fillId="3" borderId="2" xfId="11" applyNumberFormat="1" applyFont="1" applyFill="1" applyBorder="1" applyAlignment="1">
      <alignment horizontal="right" vertical="center"/>
    </xf>
    <xf numFmtId="1" fontId="21" fillId="0" borderId="2" xfId="11" applyNumberFormat="1" applyFont="1" applyBorder="1" applyAlignment="1">
      <alignment horizontal="right" vertical="center"/>
    </xf>
  </cellXfs>
  <cellStyles count="530">
    <cellStyle name="Comma 2" xfId="15" xr:uid="{00000000-0005-0000-0000-000000000000}"/>
    <cellStyle name="Comma 2 2" xfId="528" xr:uid="{00000000-0005-0000-0000-000001000000}"/>
    <cellStyle name="Normal" xfId="0" builtinId="0"/>
    <cellStyle name="Normal 2" xfId="2" xr:uid="{00000000-0005-0000-0000-000003000000}"/>
    <cellStyle name="Normal 2 2" xfId="8" xr:uid="{00000000-0005-0000-0000-000004000000}"/>
    <cellStyle name="Normal 2 2 2" xfId="10" xr:uid="{00000000-0005-0000-0000-000005000000}"/>
    <cellStyle name="Normal 2 2 3" xfId="18" xr:uid="{00000000-0005-0000-0000-000006000000}"/>
    <cellStyle name="Normal 2 3" xfId="5" xr:uid="{00000000-0005-0000-0000-000007000000}"/>
    <cellStyle name="Normal 2 3 2" xfId="529" xr:uid="{00000000-0005-0000-0000-000008000000}"/>
    <cellStyle name="Normal 2 4" xfId="9" xr:uid="{00000000-0005-0000-0000-000009000000}"/>
    <cellStyle name="Normal 2 4 2" xfId="17" xr:uid="{00000000-0005-0000-0000-00000A000000}"/>
    <cellStyle name="Normal 3" xfId="1" xr:uid="{00000000-0005-0000-0000-00000B000000}"/>
    <cellStyle name="Normal 3 2" xfId="6" xr:uid="{00000000-0005-0000-0000-00000C000000}"/>
    <cellStyle name="Normal 3 2 2" xfId="11" xr:uid="{00000000-0005-0000-0000-00000D000000}"/>
    <cellStyle name="Normal 3 3" xfId="16" xr:uid="{00000000-0005-0000-0000-00000E000000}"/>
    <cellStyle name="Normal 4" xfId="3" xr:uid="{00000000-0005-0000-0000-00000F000000}"/>
    <cellStyle name="Normal 5" xfId="4" xr:uid="{00000000-0005-0000-0000-000010000000}"/>
    <cellStyle name="Normal 5 2" xfId="12" xr:uid="{00000000-0005-0000-0000-000011000000}"/>
    <cellStyle name="Normal 6" xfId="14" xr:uid="{00000000-0005-0000-0000-000012000000}"/>
    <cellStyle name="Note 2" xfId="7" xr:uid="{00000000-0005-0000-0000-000013000000}"/>
    <cellStyle name="Note 2 2" xfId="13" xr:uid="{00000000-0005-0000-0000-000014000000}"/>
    <cellStyle name="style1405592468105" xfId="19" xr:uid="{00000000-0005-0000-0000-000015000000}"/>
    <cellStyle name="style1405593752700" xfId="20" xr:uid="{00000000-0005-0000-0000-000016000000}"/>
    <cellStyle name="style1406113848636" xfId="21" xr:uid="{00000000-0005-0000-0000-000017000000}"/>
    <cellStyle name="style1406113848741" xfId="22" xr:uid="{00000000-0005-0000-0000-000018000000}"/>
    <cellStyle name="style1406113848796" xfId="23" xr:uid="{00000000-0005-0000-0000-000019000000}"/>
    <cellStyle name="style1406113848827" xfId="24" xr:uid="{00000000-0005-0000-0000-00001A000000}"/>
    <cellStyle name="style1406113848859" xfId="25" xr:uid="{00000000-0005-0000-0000-00001B000000}"/>
    <cellStyle name="style1406113848891" xfId="26" xr:uid="{00000000-0005-0000-0000-00001C000000}"/>
    <cellStyle name="style1406113848925" xfId="27" xr:uid="{00000000-0005-0000-0000-00001D000000}"/>
    <cellStyle name="style1406113848965" xfId="28" xr:uid="{00000000-0005-0000-0000-00001E000000}"/>
    <cellStyle name="style1406113848998" xfId="29" xr:uid="{00000000-0005-0000-0000-00001F000000}"/>
    <cellStyle name="style1406113849028" xfId="30" xr:uid="{00000000-0005-0000-0000-000020000000}"/>
    <cellStyle name="style1406113849058" xfId="31" xr:uid="{00000000-0005-0000-0000-000021000000}"/>
    <cellStyle name="style1406113849090" xfId="32" xr:uid="{00000000-0005-0000-0000-000022000000}"/>
    <cellStyle name="style1406113849117" xfId="33" xr:uid="{00000000-0005-0000-0000-000023000000}"/>
    <cellStyle name="style1406113849144" xfId="34" xr:uid="{00000000-0005-0000-0000-000024000000}"/>
    <cellStyle name="style1406113849183" xfId="35" xr:uid="{00000000-0005-0000-0000-000025000000}"/>
    <cellStyle name="style1406113849217" xfId="36" xr:uid="{00000000-0005-0000-0000-000026000000}"/>
    <cellStyle name="style1406113849255" xfId="37" xr:uid="{00000000-0005-0000-0000-000027000000}"/>
    <cellStyle name="style1406113849284" xfId="38" xr:uid="{00000000-0005-0000-0000-000028000000}"/>
    <cellStyle name="style1406113849311" xfId="39" xr:uid="{00000000-0005-0000-0000-000029000000}"/>
    <cellStyle name="style1406113849339" xfId="40" xr:uid="{00000000-0005-0000-0000-00002A000000}"/>
    <cellStyle name="style1406113849367" xfId="41" xr:uid="{00000000-0005-0000-0000-00002B000000}"/>
    <cellStyle name="style1406113849389" xfId="42" xr:uid="{00000000-0005-0000-0000-00002C000000}"/>
    <cellStyle name="style1406113849413" xfId="43" xr:uid="{00000000-0005-0000-0000-00002D000000}"/>
    <cellStyle name="style1406113849558" xfId="44" xr:uid="{00000000-0005-0000-0000-00002E000000}"/>
    <cellStyle name="style1406113849582" xfId="45" xr:uid="{00000000-0005-0000-0000-00002F000000}"/>
    <cellStyle name="style1406113849605" xfId="46" xr:uid="{00000000-0005-0000-0000-000030000000}"/>
    <cellStyle name="style1406113849630" xfId="47" xr:uid="{00000000-0005-0000-0000-000031000000}"/>
    <cellStyle name="style1406113849653" xfId="48" xr:uid="{00000000-0005-0000-0000-000032000000}"/>
    <cellStyle name="style1406113849674" xfId="49" xr:uid="{00000000-0005-0000-0000-000033000000}"/>
    <cellStyle name="style1406113849701" xfId="50" xr:uid="{00000000-0005-0000-0000-000034000000}"/>
    <cellStyle name="style1406113849728" xfId="51" xr:uid="{00000000-0005-0000-0000-000035000000}"/>
    <cellStyle name="style1406113849754" xfId="52" xr:uid="{00000000-0005-0000-0000-000036000000}"/>
    <cellStyle name="style1406113849781" xfId="53" xr:uid="{00000000-0005-0000-0000-000037000000}"/>
    <cellStyle name="style1406113849808" xfId="54" xr:uid="{00000000-0005-0000-0000-000038000000}"/>
    <cellStyle name="style1406113849835" xfId="55" xr:uid="{00000000-0005-0000-0000-000039000000}"/>
    <cellStyle name="style1406113849856" xfId="56" xr:uid="{00000000-0005-0000-0000-00003A000000}"/>
    <cellStyle name="style1406113849876" xfId="57" xr:uid="{00000000-0005-0000-0000-00003B000000}"/>
    <cellStyle name="style1406113849898" xfId="58" xr:uid="{00000000-0005-0000-0000-00003C000000}"/>
    <cellStyle name="style1406113849921" xfId="59" xr:uid="{00000000-0005-0000-0000-00003D000000}"/>
    <cellStyle name="style1406113849947" xfId="60" xr:uid="{00000000-0005-0000-0000-00003E000000}"/>
    <cellStyle name="style1406113849975" xfId="61" xr:uid="{00000000-0005-0000-0000-00003F000000}"/>
    <cellStyle name="style1406113850004" xfId="62" xr:uid="{00000000-0005-0000-0000-000040000000}"/>
    <cellStyle name="style1406113850027" xfId="63" xr:uid="{00000000-0005-0000-0000-000041000000}"/>
    <cellStyle name="style1406113850054" xfId="64" xr:uid="{00000000-0005-0000-0000-000042000000}"/>
    <cellStyle name="style1406113850081" xfId="65" xr:uid="{00000000-0005-0000-0000-000043000000}"/>
    <cellStyle name="style1406113850103" xfId="66" xr:uid="{00000000-0005-0000-0000-000044000000}"/>
    <cellStyle name="style1406113850129" xfId="67" xr:uid="{00000000-0005-0000-0000-000045000000}"/>
    <cellStyle name="style1406113850156" xfId="68" xr:uid="{00000000-0005-0000-0000-000046000000}"/>
    <cellStyle name="style1406113850182" xfId="69" xr:uid="{00000000-0005-0000-0000-000047000000}"/>
    <cellStyle name="style1406113850203" xfId="70" xr:uid="{00000000-0005-0000-0000-000048000000}"/>
    <cellStyle name="style1406113850224" xfId="71" xr:uid="{00000000-0005-0000-0000-000049000000}"/>
    <cellStyle name="style1406113850258" xfId="72" xr:uid="{00000000-0005-0000-0000-00004A000000}"/>
    <cellStyle name="style1406113850331" xfId="73" xr:uid="{00000000-0005-0000-0000-00004B000000}"/>
    <cellStyle name="style1406113850358" xfId="74" xr:uid="{00000000-0005-0000-0000-00004C000000}"/>
    <cellStyle name="style1406113850380" xfId="75" xr:uid="{00000000-0005-0000-0000-00004D000000}"/>
    <cellStyle name="style1406113850409" xfId="76" xr:uid="{00000000-0005-0000-0000-00004E000000}"/>
    <cellStyle name="style1406113850431" xfId="77" xr:uid="{00000000-0005-0000-0000-00004F000000}"/>
    <cellStyle name="style1406113850452" xfId="78" xr:uid="{00000000-0005-0000-0000-000050000000}"/>
    <cellStyle name="style1406113850474" xfId="79" xr:uid="{00000000-0005-0000-0000-000051000000}"/>
    <cellStyle name="style1406113850501" xfId="80" xr:uid="{00000000-0005-0000-0000-000052000000}"/>
    <cellStyle name="style1406113850522" xfId="81" xr:uid="{00000000-0005-0000-0000-000053000000}"/>
    <cellStyle name="style1406113850542" xfId="82" xr:uid="{00000000-0005-0000-0000-000054000000}"/>
    <cellStyle name="style1406113850570" xfId="83" xr:uid="{00000000-0005-0000-0000-000055000000}"/>
    <cellStyle name="style1406113850591" xfId="84" xr:uid="{00000000-0005-0000-0000-000056000000}"/>
    <cellStyle name="style1406113850614" xfId="85" xr:uid="{00000000-0005-0000-0000-000057000000}"/>
    <cellStyle name="style1406113850636" xfId="86" xr:uid="{00000000-0005-0000-0000-000058000000}"/>
    <cellStyle name="style1406113850655" xfId="87" xr:uid="{00000000-0005-0000-0000-000059000000}"/>
    <cellStyle name="style1406113850674" xfId="88" xr:uid="{00000000-0005-0000-0000-00005A000000}"/>
    <cellStyle name="style1406113850723" xfId="89" xr:uid="{00000000-0005-0000-0000-00005B000000}"/>
    <cellStyle name="style1406113850767" xfId="90" xr:uid="{00000000-0005-0000-0000-00005C000000}"/>
    <cellStyle name="style1406113850816" xfId="91" xr:uid="{00000000-0005-0000-0000-00005D000000}"/>
    <cellStyle name="style1406114189185" xfId="92" xr:uid="{00000000-0005-0000-0000-00005E000000}"/>
    <cellStyle name="style1406114189213" xfId="93" xr:uid="{00000000-0005-0000-0000-00005F000000}"/>
    <cellStyle name="style1406114189239" xfId="94" xr:uid="{00000000-0005-0000-0000-000060000000}"/>
    <cellStyle name="style1406114189259" xfId="95" xr:uid="{00000000-0005-0000-0000-000061000000}"/>
    <cellStyle name="style1406114189283" xfId="96" xr:uid="{00000000-0005-0000-0000-000062000000}"/>
    <cellStyle name="style1406114189307" xfId="97" xr:uid="{00000000-0005-0000-0000-000063000000}"/>
    <cellStyle name="style1406114189331" xfId="98" xr:uid="{00000000-0005-0000-0000-000064000000}"/>
    <cellStyle name="style1406114189356" xfId="99" xr:uid="{00000000-0005-0000-0000-000065000000}"/>
    <cellStyle name="style1406114189382" xfId="100" xr:uid="{00000000-0005-0000-0000-000066000000}"/>
    <cellStyle name="style1406114189407" xfId="101" xr:uid="{00000000-0005-0000-0000-000067000000}"/>
    <cellStyle name="style1406114189432" xfId="102" xr:uid="{00000000-0005-0000-0000-000068000000}"/>
    <cellStyle name="style1406114189459" xfId="103" xr:uid="{00000000-0005-0000-0000-000069000000}"/>
    <cellStyle name="style1406114189481" xfId="104" xr:uid="{00000000-0005-0000-0000-00006A000000}"/>
    <cellStyle name="style1406114189505" xfId="105" xr:uid="{00000000-0005-0000-0000-00006B000000}"/>
    <cellStyle name="style1406114189535" xfId="106" xr:uid="{00000000-0005-0000-0000-00006C000000}"/>
    <cellStyle name="style1406114189560" xfId="107" xr:uid="{00000000-0005-0000-0000-00006D000000}"/>
    <cellStyle name="style1406114189585" xfId="108" xr:uid="{00000000-0005-0000-0000-00006E000000}"/>
    <cellStyle name="style1406114189616" xfId="109" xr:uid="{00000000-0005-0000-0000-00006F000000}"/>
    <cellStyle name="style1406114189644" xfId="110" xr:uid="{00000000-0005-0000-0000-000070000000}"/>
    <cellStyle name="style1406114189671" xfId="111" xr:uid="{00000000-0005-0000-0000-000071000000}"/>
    <cellStyle name="style1406114189696" xfId="112" xr:uid="{00000000-0005-0000-0000-000072000000}"/>
    <cellStyle name="style1406114189716" xfId="113" xr:uid="{00000000-0005-0000-0000-000073000000}"/>
    <cellStyle name="style1406114189736" xfId="114" xr:uid="{00000000-0005-0000-0000-000074000000}"/>
    <cellStyle name="style1406114189757" xfId="115" xr:uid="{00000000-0005-0000-0000-000075000000}"/>
    <cellStyle name="style1406114189778" xfId="116" xr:uid="{00000000-0005-0000-0000-000076000000}"/>
    <cellStyle name="style1406114189799" xfId="117" xr:uid="{00000000-0005-0000-0000-000077000000}"/>
    <cellStyle name="style1406114189820" xfId="118" xr:uid="{00000000-0005-0000-0000-000078000000}"/>
    <cellStyle name="style1406114189840" xfId="119" xr:uid="{00000000-0005-0000-0000-000079000000}"/>
    <cellStyle name="style1406114189860" xfId="120" xr:uid="{00000000-0005-0000-0000-00007A000000}"/>
    <cellStyle name="style1406114189886" xfId="121" xr:uid="{00000000-0005-0000-0000-00007B000000}"/>
    <cellStyle name="style1406114189911" xfId="122" xr:uid="{00000000-0005-0000-0000-00007C000000}"/>
    <cellStyle name="style1406114189990" xfId="123" xr:uid="{00000000-0005-0000-0000-00007D000000}"/>
    <cellStyle name="style1406114190017" xfId="124" xr:uid="{00000000-0005-0000-0000-00007E000000}"/>
    <cellStyle name="style1406114190044" xfId="125" xr:uid="{00000000-0005-0000-0000-00007F000000}"/>
    <cellStyle name="style1406114190069" xfId="126" xr:uid="{00000000-0005-0000-0000-000080000000}"/>
    <cellStyle name="style1406114190088" xfId="127" xr:uid="{00000000-0005-0000-0000-000081000000}"/>
    <cellStyle name="style1406114190108" xfId="128" xr:uid="{00000000-0005-0000-0000-000082000000}"/>
    <cellStyle name="style1406114190127" xfId="129" xr:uid="{00000000-0005-0000-0000-000083000000}"/>
    <cellStyle name="style1406114190148" xfId="130" xr:uid="{00000000-0005-0000-0000-000084000000}"/>
    <cellStyle name="style1406114190171" xfId="131" xr:uid="{00000000-0005-0000-0000-000085000000}"/>
    <cellStyle name="style1406114190195" xfId="132" xr:uid="{00000000-0005-0000-0000-000086000000}"/>
    <cellStyle name="style1406114190219" xfId="133" xr:uid="{00000000-0005-0000-0000-000087000000}"/>
    <cellStyle name="style1406114190238" xfId="134" xr:uid="{00000000-0005-0000-0000-000088000000}"/>
    <cellStyle name="style1406114190262" xfId="135" xr:uid="{00000000-0005-0000-0000-000089000000}"/>
    <cellStyle name="style1406114190285" xfId="136" xr:uid="{00000000-0005-0000-0000-00008A000000}"/>
    <cellStyle name="style1406114190303" xfId="137" xr:uid="{00000000-0005-0000-0000-00008B000000}"/>
    <cellStyle name="style1406114190327" xfId="138" xr:uid="{00000000-0005-0000-0000-00008C000000}"/>
    <cellStyle name="style1406114190351" xfId="139" xr:uid="{00000000-0005-0000-0000-00008D000000}"/>
    <cellStyle name="style1406114190375" xfId="140" xr:uid="{00000000-0005-0000-0000-00008E000000}"/>
    <cellStyle name="style1406114190395" xfId="141" xr:uid="{00000000-0005-0000-0000-00008F000000}"/>
    <cellStyle name="style1406114190415" xfId="142" xr:uid="{00000000-0005-0000-0000-000090000000}"/>
    <cellStyle name="style1406114190439" xfId="143" xr:uid="{00000000-0005-0000-0000-000091000000}"/>
    <cellStyle name="style1406114190464" xfId="144" xr:uid="{00000000-0005-0000-0000-000092000000}"/>
    <cellStyle name="style1406114190487" xfId="145" xr:uid="{00000000-0005-0000-0000-000093000000}"/>
    <cellStyle name="style1406114190507" xfId="146" xr:uid="{00000000-0005-0000-0000-000094000000}"/>
    <cellStyle name="style1406114190534" xfId="147" xr:uid="{00000000-0005-0000-0000-000095000000}"/>
    <cellStyle name="style1406114190553" xfId="148" xr:uid="{00000000-0005-0000-0000-000096000000}"/>
    <cellStyle name="style1406114190571" xfId="149" xr:uid="{00000000-0005-0000-0000-000097000000}"/>
    <cellStyle name="style1406114190588" xfId="150" xr:uid="{00000000-0005-0000-0000-000098000000}"/>
    <cellStyle name="style1406114190609" xfId="151" xr:uid="{00000000-0005-0000-0000-000099000000}"/>
    <cellStyle name="style1406114190628" xfId="152" xr:uid="{00000000-0005-0000-0000-00009A000000}"/>
    <cellStyle name="style1406114190647" xfId="153" xr:uid="{00000000-0005-0000-0000-00009B000000}"/>
    <cellStyle name="style1406114190666" xfId="154" xr:uid="{00000000-0005-0000-0000-00009C000000}"/>
    <cellStyle name="style1406114190687" xfId="155" xr:uid="{00000000-0005-0000-0000-00009D000000}"/>
    <cellStyle name="style1406114190844" xfId="156" xr:uid="{00000000-0005-0000-0000-00009E000000}"/>
    <cellStyle name="style1406114190863" xfId="157" xr:uid="{00000000-0005-0000-0000-00009F000000}"/>
    <cellStyle name="style1406114190881" xfId="158" xr:uid="{00000000-0005-0000-0000-0000A0000000}"/>
    <cellStyle name="style1406114190900" xfId="159" xr:uid="{00000000-0005-0000-0000-0000A1000000}"/>
    <cellStyle name="style1406114190959" xfId="160" xr:uid="{00000000-0005-0000-0000-0000A2000000}"/>
    <cellStyle name="style1406114191014" xfId="161" xr:uid="{00000000-0005-0000-0000-0000A3000000}"/>
    <cellStyle name="style1406114191303" xfId="162" xr:uid="{00000000-0005-0000-0000-0000A4000000}"/>
    <cellStyle name="style1406114191912" xfId="163" xr:uid="{00000000-0005-0000-0000-0000A5000000}"/>
    <cellStyle name="style1406114345186" xfId="164" xr:uid="{00000000-0005-0000-0000-0000A6000000}"/>
    <cellStyle name="style1406114345361" xfId="165" xr:uid="{00000000-0005-0000-0000-0000A7000000}"/>
    <cellStyle name="style1406114398523" xfId="166" xr:uid="{00000000-0005-0000-0000-0000A8000000}"/>
    <cellStyle name="style1406114398549" xfId="167" xr:uid="{00000000-0005-0000-0000-0000A9000000}"/>
    <cellStyle name="style1406114398571" xfId="168" xr:uid="{00000000-0005-0000-0000-0000AA000000}"/>
    <cellStyle name="style1406114398589" xfId="169" xr:uid="{00000000-0005-0000-0000-0000AB000000}"/>
    <cellStyle name="style1406114398610" xfId="170" xr:uid="{00000000-0005-0000-0000-0000AC000000}"/>
    <cellStyle name="style1406114398632" xfId="171" xr:uid="{00000000-0005-0000-0000-0000AD000000}"/>
    <cellStyle name="style1406114398654" xfId="172" xr:uid="{00000000-0005-0000-0000-0000AE000000}"/>
    <cellStyle name="style1406114398679" xfId="173" xr:uid="{00000000-0005-0000-0000-0000AF000000}"/>
    <cellStyle name="style1406114398703" xfId="174" xr:uid="{00000000-0005-0000-0000-0000B0000000}"/>
    <cellStyle name="style1406114398726" xfId="175" xr:uid="{00000000-0005-0000-0000-0000B1000000}"/>
    <cellStyle name="style1406114398750" xfId="176" xr:uid="{00000000-0005-0000-0000-0000B2000000}"/>
    <cellStyle name="style1406114398774" xfId="177" xr:uid="{00000000-0005-0000-0000-0000B3000000}"/>
    <cellStyle name="style1406114398792" xfId="178" xr:uid="{00000000-0005-0000-0000-0000B4000000}"/>
    <cellStyle name="style1406114398812" xfId="179" xr:uid="{00000000-0005-0000-0000-0000B5000000}"/>
    <cellStyle name="style1406114398835" xfId="180" xr:uid="{00000000-0005-0000-0000-0000B6000000}"/>
    <cellStyle name="style1406114398855" xfId="181" xr:uid="{00000000-0005-0000-0000-0000B7000000}"/>
    <cellStyle name="style1406114398880" xfId="182" xr:uid="{00000000-0005-0000-0000-0000B8000000}"/>
    <cellStyle name="style1406114398898" xfId="183" xr:uid="{00000000-0005-0000-0000-0000B9000000}"/>
    <cellStyle name="style1406114398922" xfId="184" xr:uid="{00000000-0005-0000-0000-0000BA000000}"/>
    <cellStyle name="style1406114398946" xfId="185" xr:uid="{00000000-0005-0000-0000-0000BB000000}"/>
    <cellStyle name="style1406114398972" xfId="186" xr:uid="{00000000-0005-0000-0000-0000BC000000}"/>
    <cellStyle name="style1406114398991" xfId="187" xr:uid="{00000000-0005-0000-0000-0000BD000000}"/>
    <cellStyle name="style1406114399009" xfId="188" xr:uid="{00000000-0005-0000-0000-0000BE000000}"/>
    <cellStyle name="style1406114399027" xfId="189" xr:uid="{00000000-0005-0000-0000-0000BF000000}"/>
    <cellStyle name="style1406114399044" xfId="190" xr:uid="{00000000-0005-0000-0000-0000C0000000}"/>
    <cellStyle name="style1406114399064" xfId="191" xr:uid="{00000000-0005-0000-0000-0000C1000000}"/>
    <cellStyle name="style1406114399083" xfId="192" xr:uid="{00000000-0005-0000-0000-0000C2000000}"/>
    <cellStyle name="style1406114399102" xfId="193" xr:uid="{00000000-0005-0000-0000-0000C3000000}"/>
    <cellStyle name="style1406114399120" xfId="194" xr:uid="{00000000-0005-0000-0000-0000C4000000}"/>
    <cellStyle name="style1406114399144" xfId="195" xr:uid="{00000000-0005-0000-0000-0000C5000000}"/>
    <cellStyle name="style1406114399167" xfId="196" xr:uid="{00000000-0005-0000-0000-0000C6000000}"/>
    <cellStyle name="style1406114399199" xfId="197" xr:uid="{00000000-0005-0000-0000-0000C7000000}"/>
    <cellStyle name="style1406114399226" xfId="198" xr:uid="{00000000-0005-0000-0000-0000C8000000}"/>
    <cellStyle name="style1406114399254" xfId="199" xr:uid="{00000000-0005-0000-0000-0000C9000000}"/>
    <cellStyle name="style1406114399277" xfId="200" xr:uid="{00000000-0005-0000-0000-0000CA000000}"/>
    <cellStyle name="style1406114399294" xfId="201" xr:uid="{00000000-0005-0000-0000-0000CB000000}"/>
    <cellStyle name="style1406114399311" xfId="202" xr:uid="{00000000-0005-0000-0000-0000CC000000}"/>
    <cellStyle name="style1406114399329" xfId="203" xr:uid="{00000000-0005-0000-0000-0000CD000000}"/>
    <cellStyle name="style1406114399348" xfId="204" xr:uid="{00000000-0005-0000-0000-0000CE000000}"/>
    <cellStyle name="style1406114399367" xfId="205" xr:uid="{00000000-0005-0000-0000-0000CF000000}"/>
    <cellStyle name="style1406114399389" xfId="206" xr:uid="{00000000-0005-0000-0000-0000D0000000}"/>
    <cellStyle name="style1406114399411" xfId="207" xr:uid="{00000000-0005-0000-0000-0000D1000000}"/>
    <cellStyle name="style1406114399490" xfId="208" xr:uid="{00000000-0005-0000-0000-0000D2000000}"/>
    <cellStyle name="style1406114399512" xfId="209" xr:uid="{00000000-0005-0000-0000-0000D3000000}"/>
    <cellStyle name="style1406114399534" xfId="210" xr:uid="{00000000-0005-0000-0000-0000D4000000}"/>
    <cellStyle name="style1406114399551" xfId="211" xr:uid="{00000000-0005-0000-0000-0000D5000000}"/>
    <cellStyle name="style1406114399576" xfId="212" xr:uid="{00000000-0005-0000-0000-0000D6000000}"/>
    <cellStyle name="style1406114399599" xfId="213" xr:uid="{00000000-0005-0000-0000-0000D7000000}"/>
    <cellStyle name="style1406114399622" xfId="214" xr:uid="{00000000-0005-0000-0000-0000D8000000}"/>
    <cellStyle name="style1406114399641" xfId="215" xr:uid="{00000000-0005-0000-0000-0000D9000000}"/>
    <cellStyle name="style1406114399662" xfId="216" xr:uid="{00000000-0005-0000-0000-0000DA000000}"/>
    <cellStyle name="style1406114399689" xfId="217" xr:uid="{00000000-0005-0000-0000-0000DB000000}"/>
    <cellStyle name="style1406114399716" xfId="218" xr:uid="{00000000-0005-0000-0000-0000DC000000}"/>
    <cellStyle name="style1406114399740" xfId="219" xr:uid="{00000000-0005-0000-0000-0000DD000000}"/>
    <cellStyle name="style1406114399758" xfId="220" xr:uid="{00000000-0005-0000-0000-0000DE000000}"/>
    <cellStyle name="style1406114399783" xfId="221" xr:uid="{00000000-0005-0000-0000-0000DF000000}"/>
    <cellStyle name="style1406114399802" xfId="222" xr:uid="{00000000-0005-0000-0000-0000E0000000}"/>
    <cellStyle name="style1406114399820" xfId="223" xr:uid="{00000000-0005-0000-0000-0000E1000000}"/>
    <cellStyle name="style1406114399839" xfId="224" xr:uid="{00000000-0005-0000-0000-0000E2000000}"/>
    <cellStyle name="style1406114399860" xfId="225" xr:uid="{00000000-0005-0000-0000-0000E3000000}"/>
    <cellStyle name="style1406114399878" xfId="226" xr:uid="{00000000-0005-0000-0000-0000E4000000}"/>
    <cellStyle name="style1406114399896" xfId="227" xr:uid="{00000000-0005-0000-0000-0000E5000000}"/>
    <cellStyle name="style1406114399914" xfId="228" xr:uid="{00000000-0005-0000-0000-0000E6000000}"/>
    <cellStyle name="style1406114399932" xfId="229" xr:uid="{00000000-0005-0000-0000-0000E7000000}"/>
    <cellStyle name="style1406114399951" xfId="230" xr:uid="{00000000-0005-0000-0000-0000E8000000}"/>
    <cellStyle name="style1406114399969" xfId="231" xr:uid="{00000000-0005-0000-0000-0000E9000000}"/>
    <cellStyle name="style1406114399987" xfId="232" xr:uid="{00000000-0005-0000-0000-0000EA000000}"/>
    <cellStyle name="style1406114400018" xfId="233" xr:uid="{00000000-0005-0000-0000-0000EB000000}"/>
    <cellStyle name="style1406114400104" xfId="234" xr:uid="{00000000-0005-0000-0000-0000EC000000}"/>
    <cellStyle name="style1406114400339" xfId="235" xr:uid="{00000000-0005-0000-0000-0000ED000000}"/>
    <cellStyle name="style1406114400806" xfId="236" xr:uid="{00000000-0005-0000-0000-0000EE000000}"/>
    <cellStyle name="style1406114440149" xfId="237" xr:uid="{00000000-0005-0000-0000-0000EF000000}"/>
    <cellStyle name="style1406114440175" xfId="238" xr:uid="{00000000-0005-0000-0000-0000F0000000}"/>
    <cellStyle name="style1406114440200" xfId="239" xr:uid="{00000000-0005-0000-0000-0000F1000000}"/>
    <cellStyle name="style1406114440219" xfId="240" xr:uid="{00000000-0005-0000-0000-0000F2000000}"/>
    <cellStyle name="style1406114440242" xfId="241" xr:uid="{00000000-0005-0000-0000-0000F3000000}"/>
    <cellStyle name="style1406114440265" xfId="242" xr:uid="{00000000-0005-0000-0000-0000F4000000}"/>
    <cellStyle name="style1406114440288" xfId="243" xr:uid="{00000000-0005-0000-0000-0000F5000000}"/>
    <cellStyle name="style1406114440311" xfId="244" xr:uid="{00000000-0005-0000-0000-0000F6000000}"/>
    <cellStyle name="style1406114440332" xfId="245" xr:uid="{00000000-0005-0000-0000-0000F7000000}"/>
    <cellStyle name="style1406114440354" xfId="246" xr:uid="{00000000-0005-0000-0000-0000F8000000}"/>
    <cellStyle name="style1406114440375" xfId="247" xr:uid="{00000000-0005-0000-0000-0000F9000000}"/>
    <cellStyle name="style1406114440396" xfId="248" xr:uid="{00000000-0005-0000-0000-0000FA000000}"/>
    <cellStyle name="style1406114440413" xfId="249" xr:uid="{00000000-0005-0000-0000-0000FB000000}"/>
    <cellStyle name="style1406114440430" xfId="250" xr:uid="{00000000-0005-0000-0000-0000FC000000}"/>
    <cellStyle name="style1406114440452" xfId="251" xr:uid="{00000000-0005-0000-0000-0000FD000000}"/>
    <cellStyle name="style1406114440470" xfId="252" xr:uid="{00000000-0005-0000-0000-0000FE000000}"/>
    <cellStyle name="style1406114440492" xfId="253" xr:uid="{00000000-0005-0000-0000-0000FF000000}"/>
    <cellStyle name="style1406114440509" xfId="254" xr:uid="{00000000-0005-0000-0000-000000010000}"/>
    <cellStyle name="style1406114440531" xfId="255" xr:uid="{00000000-0005-0000-0000-000001010000}"/>
    <cellStyle name="style1406114440552" xfId="256" xr:uid="{00000000-0005-0000-0000-000002010000}"/>
    <cellStyle name="style1406114440573" xfId="257" xr:uid="{00000000-0005-0000-0000-000003010000}"/>
    <cellStyle name="style1406114440590" xfId="258" xr:uid="{00000000-0005-0000-0000-000004010000}"/>
    <cellStyle name="style1406114440607" xfId="259" xr:uid="{00000000-0005-0000-0000-000005010000}"/>
    <cellStyle name="style1406114440624" xfId="260" xr:uid="{00000000-0005-0000-0000-000006010000}"/>
    <cellStyle name="style1406114440641" xfId="261" xr:uid="{00000000-0005-0000-0000-000007010000}"/>
    <cellStyle name="style1406114440657" xfId="262" xr:uid="{00000000-0005-0000-0000-000008010000}"/>
    <cellStyle name="style1406114440676" xfId="263" xr:uid="{00000000-0005-0000-0000-000009010000}"/>
    <cellStyle name="style1406114440693" xfId="264" xr:uid="{00000000-0005-0000-0000-00000A010000}"/>
    <cellStyle name="style1406114440711" xfId="265" xr:uid="{00000000-0005-0000-0000-00000B010000}"/>
    <cellStyle name="style1406114440733" xfId="266" xr:uid="{00000000-0005-0000-0000-00000C010000}"/>
    <cellStyle name="style1406114440756" xfId="267" xr:uid="{00000000-0005-0000-0000-00000D010000}"/>
    <cellStyle name="style1406114440778" xfId="268" xr:uid="{00000000-0005-0000-0000-00000E010000}"/>
    <cellStyle name="style1406114440801" xfId="269" xr:uid="{00000000-0005-0000-0000-00000F010000}"/>
    <cellStyle name="style1406114440831" xfId="270" xr:uid="{00000000-0005-0000-0000-000010010000}"/>
    <cellStyle name="style1406114440854" xfId="271" xr:uid="{00000000-0005-0000-0000-000011010000}"/>
    <cellStyle name="style1406114440871" xfId="272" xr:uid="{00000000-0005-0000-0000-000012010000}"/>
    <cellStyle name="style1406114440888" xfId="273" xr:uid="{00000000-0005-0000-0000-000013010000}"/>
    <cellStyle name="style1406114440905" xfId="274" xr:uid="{00000000-0005-0000-0000-000014010000}"/>
    <cellStyle name="style1406114440922" xfId="275" xr:uid="{00000000-0005-0000-0000-000015010000}"/>
    <cellStyle name="style1406114440941" xfId="276" xr:uid="{00000000-0005-0000-0000-000016010000}"/>
    <cellStyle name="style1406114440964" xfId="277" xr:uid="{00000000-0005-0000-0000-000017010000}"/>
    <cellStyle name="style1406114440986" xfId="278" xr:uid="{00000000-0005-0000-0000-000018010000}"/>
    <cellStyle name="style1406114441003" xfId="279" xr:uid="{00000000-0005-0000-0000-000019010000}"/>
    <cellStyle name="style1406114441024" xfId="280" xr:uid="{00000000-0005-0000-0000-00001A010000}"/>
    <cellStyle name="style1406114441046" xfId="281" xr:uid="{00000000-0005-0000-0000-00001B010000}"/>
    <cellStyle name="style1406114441063" xfId="282" xr:uid="{00000000-0005-0000-0000-00001C010000}"/>
    <cellStyle name="style1406114441085" xfId="283" xr:uid="{00000000-0005-0000-0000-00001D010000}"/>
    <cellStyle name="style1406114441106" xfId="284" xr:uid="{00000000-0005-0000-0000-00001E010000}"/>
    <cellStyle name="style1406114441127" xfId="285" xr:uid="{00000000-0005-0000-0000-00001F010000}"/>
    <cellStyle name="style1406114441144" xfId="286" xr:uid="{00000000-0005-0000-0000-000020010000}"/>
    <cellStyle name="style1406114441245" xfId="287" xr:uid="{00000000-0005-0000-0000-000021010000}"/>
    <cellStyle name="style1406114441267" xfId="288" xr:uid="{00000000-0005-0000-0000-000022010000}"/>
    <cellStyle name="style1406114441288" xfId="289" xr:uid="{00000000-0005-0000-0000-000023010000}"/>
    <cellStyle name="style1406114441309" xfId="290" xr:uid="{00000000-0005-0000-0000-000024010000}"/>
    <cellStyle name="style1406114441326" xfId="291" xr:uid="{00000000-0005-0000-0000-000025010000}"/>
    <cellStyle name="style1406114441350" xfId="292" xr:uid="{00000000-0005-0000-0000-000026010000}"/>
    <cellStyle name="style1406114441369" xfId="293" xr:uid="{00000000-0005-0000-0000-000027010000}"/>
    <cellStyle name="style1406114441387" xfId="294" xr:uid="{00000000-0005-0000-0000-000028010000}"/>
    <cellStyle name="style1406114441405" xfId="295" xr:uid="{00000000-0005-0000-0000-000029010000}"/>
    <cellStyle name="style1406114441425" xfId="296" xr:uid="{00000000-0005-0000-0000-00002A010000}"/>
    <cellStyle name="style1406114441444" xfId="297" xr:uid="{00000000-0005-0000-0000-00002B010000}"/>
    <cellStyle name="style1406114441462" xfId="298" xr:uid="{00000000-0005-0000-0000-00002C010000}"/>
    <cellStyle name="style1406114441479" xfId="299" xr:uid="{00000000-0005-0000-0000-00002D010000}"/>
    <cellStyle name="style1406114441496" xfId="300" xr:uid="{00000000-0005-0000-0000-00002E010000}"/>
    <cellStyle name="style1406114441514" xfId="301" xr:uid="{00000000-0005-0000-0000-00002F010000}"/>
    <cellStyle name="style1406114441532" xfId="302" xr:uid="{00000000-0005-0000-0000-000030010000}"/>
    <cellStyle name="style1406114441549" xfId="303" xr:uid="{00000000-0005-0000-0000-000031010000}"/>
    <cellStyle name="style1406114441566" xfId="304" xr:uid="{00000000-0005-0000-0000-000032010000}"/>
    <cellStyle name="style1406114441594" xfId="305" xr:uid="{00000000-0005-0000-0000-000033010000}"/>
    <cellStyle name="style1406114441626" xfId="306" xr:uid="{00000000-0005-0000-0000-000034010000}"/>
    <cellStyle name="style1406114442197" xfId="307" xr:uid="{00000000-0005-0000-0000-000035010000}"/>
    <cellStyle name="style1406114490232" xfId="308" xr:uid="{00000000-0005-0000-0000-000036010000}"/>
    <cellStyle name="style1406114490278" xfId="309" xr:uid="{00000000-0005-0000-0000-000037010000}"/>
    <cellStyle name="style1406114490860" xfId="310" xr:uid="{00000000-0005-0000-0000-000038010000}"/>
    <cellStyle name="style1406114491098" xfId="311" xr:uid="{00000000-0005-0000-0000-000039010000}"/>
    <cellStyle name="style1406114491204" xfId="312" xr:uid="{00000000-0005-0000-0000-00003A010000}"/>
    <cellStyle name="style1406114491528" xfId="313" xr:uid="{00000000-0005-0000-0000-00003B010000}"/>
    <cellStyle name="style1406114491549" xfId="314" xr:uid="{00000000-0005-0000-0000-00003C010000}"/>
    <cellStyle name="style1406114491606" xfId="315" xr:uid="{00000000-0005-0000-0000-00003D010000}"/>
    <cellStyle name="style1406114491677" xfId="316" xr:uid="{00000000-0005-0000-0000-00003E010000}"/>
    <cellStyle name="style1406182998088" xfId="317" xr:uid="{00000000-0005-0000-0000-00003F010000}"/>
    <cellStyle name="style1406182998186" xfId="318" xr:uid="{00000000-0005-0000-0000-000040010000}"/>
    <cellStyle name="style1406183036983" xfId="319" xr:uid="{00000000-0005-0000-0000-000041010000}"/>
    <cellStyle name="style1411446450504" xfId="320" xr:uid="{00000000-0005-0000-0000-000042010000}"/>
    <cellStyle name="style1411446450551" xfId="321" xr:uid="{00000000-0005-0000-0000-000043010000}"/>
    <cellStyle name="style1411446450598" xfId="322" xr:uid="{00000000-0005-0000-0000-000044010000}"/>
    <cellStyle name="style1411446450629" xfId="323" xr:uid="{00000000-0005-0000-0000-000045010000}"/>
    <cellStyle name="style1411446450660" xfId="324" xr:uid="{00000000-0005-0000-0000-000046010000}"/>
    <cellStyle name="style1411446450738" xfId="325" xr:uid="{00000000-0005-0000-0000-000047010000}"/>
    <cellStyle name="style1411446450769" xfId="326" xr:uid="{00000000-0005-0000-0000-000048010000}"/>
    <cellStyle name="style1411446450801" xfId="327" xr:uid="{00000000-0005-0000-0000-000049010000}"/>
    <cellStyle name="style1411446450847" xfId="328" xr:uid="{00000000-0005-0000-0000-00004A010000}"/>
    <cellStyle name="style1411446450879" xfId="329" xr:uid="{00000000-0005-0000-0000-00004B010000}"/>
    <cellStyle name="style1411446450910" xfId="330" xr:uid="{00000000-0005-0000-0000-00004C010000}"/>
    <cellStyle name="style1411446450957" xfId="331" xr:uid="{00000000-0005-0000-0000-00004D010000}"/>
    <cellStyle name="style1411446450988" xfId="332" xr:uid="{00000000-0005-0000-0000-00004E010000}"/>
    <cellStyle name="style1411446451019" xfId="333" xr:uid="{00000000-0005-0000-0000-00004F010000}"/>
    <cellStyle name="style1411446451050" xfId="334" xr:uid="{00000000-0005-0000-0000-000050010000}"/>
    <cellStyle name="style1411446451128" xfId="335" xr:uid="{00000000-0005-0000-0000-000051010000}"/>
    <cellStyle name="style1411446451159" xfId="336" xr:uid="{00000000-0005-0000-0000-000052010000}"/>
    <cellStyle name="style1411446451191" xfId="337" xr:uid="{00000000-0005-0000-0000-000053010000}"/>
    <cellStyle name="style1411446451206" xfId="338" xr:uid="{00000000-0005-0000-0000-000054010000}"/>
    <cellStyle name="style1411446451237" xfId="339" xr:uid="{00000000-0005-0000-0000-000055010000}"/>
    <cellStyle name="style1411446451269" xfId="340" xr:uid="{00000000-0005-0000-0000-000056010000}"/>
    <cellStyle name="style1411446451284" xfId="341" xr:uid="{00000000-0005-0000-0000-000057010000}"/>
    <cellStyle name="style1411446451315" xfId="342" xr:uid="{00000000-0005-0000-0000-000058010000}"/>
    <cellStyle name="style1411446451331" xfId="343" xr:uid="{00000000-0005-0000-0000-000059010000}"/>
    <cellStyle name="style1411446451362" xfId="344" xr:uid="{00000000-0005-0000-0000-00005A010000}"/>
    <cellStyle name="style1411446451378" xfId="345" xr:uid="{00000000-0005-0000-0000-00005B010000}"/>
    <cellStyle name="style1411446451409" xfId="346" xr:uid="{00000000-0005-0000-0000-00005C010000}"/>
    <cellStyle name="style1411446451471" xfId="347" xr:uid="{00000000-0005-0000-0000-00005D010000}"/>
    <cellStyle name="style1411446451518" xfId="348" xr:uid="{00000000-0005-0000-0000-00005E010000}"/>
    <cellStyle name="style1411446451549" xfId="349" xr:uid="{00000000-0005-0000-0000-00005F010000}"/>
    <cellStyle name="style1411446451581" xfId="350" xr:uid="{00000000-0005-0000-0000-000060010000}"/>
    <cellStyle name="style1411446451596" xfId="351" xr:uid="{00000000-0005-0000-0000-000061010000}"/>
    <cellStyle name="style1411446451627" xfId="352" xr:uid="{00000000-0005-0000-0000-000062010000}"/>
    <cellStyle name="style1411446451659" xfId="353" xr:uid="{00000000-0005-0000-0000-000063010000}"/>
    <cellStyle name="style1411446451690" xfId="354" xr:uid="{00000000-0005-0000-0000-000064010000}"/>
    <cellStyle name="style1411446451705" xfId="355" xr:uid="{00000000-0005-0000-0000-000065010000}"/>
    <cellStyle name="style1411446451721" xfId="356" xr:uid="{00000000-0005-0000-0000-000066010000}"/>
    <cellStyle name="style1411446451752" xfId="357" xr:uid="{00000000-0005-0000-0000-000067010000}"/>
    <cellStyle name="style1411446451815" xfId="358" xr:uid="{00000000-0005-0000-0000-000068010000}"/>
    <cellStyle name="style1411446451846" xfId="359" xr:uid="{00000000-0005-0000-0000-000069010000}"/>
    <cellStyle name="style1411446451877" xfId="360" xr:uid="{00000000-0005-0000-0000-00006A010000}"/>
    <cellStyle name="style1411446451893" xfId="361" xr:uid="{00000000-0005-0000-0000-00006B010000}"/>
    <cellStyle name="style1411446451924" xfId="362" xr:uid="{00000000-0005-0000-0000-00006C010000}"/>
    <cellStyle name="style1411446451955" xfId="363" xr:uid="{00000000-0005-0000-0000-00006D010000}"/>
    <cellStyle name="style1411446451971" xfId="364" xr:uid="{00000000-0005-0000-0000-00006E010000}"/>
    <cellStyle name="style1411446452002" xfId="365" xr:uid="{00000000-0005-0000-0000-00006F010000}"/>
    <cellStyle name="style1411446452033" xfId="366" xr:uid="{00000000-0005-0000-0000-000070010000}"/>
    <cellStyle name="style1411446452049" xfId="367" xr:uid="{00000000-0005-0000-0000-000071010000}"/>
    <cellStyle name="style1411446452111" xfId="368" xr:uid="{00000000-0005-0000-0000-000072010000}"/>
    <cellStyle name="style1411446452142" xfId="369" xr:uid="{00000000-0005-0000-0000-000073010000}"/>
    <cellStyle name="style1411446452158" xfId="370" xr:uid="{00000000-0005-0000-0000-000074010000}"/>
    <cellStyle name="style1411446452189" xfId="371" xr:uid="{00000000-0005-0000-0000-000075010000}"/>
    <cellStyle name="style1411446452220" xfId="372" xr:uid="{00000000-0005-0000-0000-000076010000}"/>
    <cellStyle name="style1411446452236" xfId="373" xr:uid="{00000000-0005-0000-0000-000077010000}"/>
    <cellStyle name="style1411446452267" xfId="374" xr:uid="{00000000-0005-0000-0000-000078010000}"/>
    <cellStyle name="style1411446452298" xfId="375" xr:uid="{00000000-0005-0000-0000-000079010000}"/>
    <cellStyle name="style1411446452314" xfId="376" xr:uid="{00000000-0005-0000-0000-00007A010000}"/>
    <cellStyle name="style1411446452329" xfId="377" xr:uid="{00000000-0005-0000-0000-00007B010000}"/>
    <cellStyle name="style1411446452361" xfId="378" xr:uid="{00000000-0005-0000-0000-00007C010000}"/>
    <cellStyle name="style1411446452407" xfId="379" xr:uid="{00000000-0005-0000-0000-00007D010000}"/>
    <cellStyle name="style1411446452439" xfId="380" xr:uid="{00000000-0005-0000-0000-00007E010000}"/>
    <cellStyle name="style1411446452454" xfId="381" xr:uid="{00000000-0005-0000-0000-00007F010000}"/>
    <cellStyle name="style1411446452485" xfId="382" xr:uid="{00000000-0005-0000-0000-000080010000}"/>
    <cellStyle name="style1411446452501" xfId="383" xr:uid="{00000000-0005-0000-0000-000081010000}"/>
    <cellStyle name="style1411446452532" xfId="384" xr:uid="{00000000-0005-0000-0000-000082010000}"/>
    <cellStyle name="style1411446452548" xfId="385" xr:uid="{00000000-0005-0000-0000-000083010000}"/>
    <cellStyle name="style1411446452563" xfId="386" xr:uid="{00000000-0005-0000-0000-000084010000}"/>
    <cellStyle name="style1411449801970" xfId="387" xr:uid="{00000000-0005-0000-0000-000085010000}"/>
    <cellStyle name="style1411449802014" xfId="388" xr:uid="{00000000-0005-0000-0000-000086010000}"/>
    <cellStyle name="style1411449802039" xfId="389" xr:uid="{00000000-0005-0000-0000-000087010000}"/>
    <cellStyle name="style1411449802064" xfId="390" xr:uid="{00000000-0005-0000-0000-000088010000}"/>
    <cellStyle name="style1411449802092" xfId="391" xr:uid="{00000000-0005-0000-0000-000089010000}"/>
    <cellStyle name="style1411449802118" xfId="392" xr:uid="{00000000-0005-0000-0000-00008A010000}"/>
    <cellStyle name="style1411449802516" xfId="393" xr:uid="{00000000-0005-0000-0000-00008B010000}"/>
    <cellStyle name="style1411449802578" xfId="394" xr:uid="{00000000-0005-0000-0000-00008C010000}"/>
    <cellStyle name="style1411449802602" xfId="395" xr:uid="{00000000-0005-0000-0000-00008D010000}"/>
    <cellStyle name="style1411449802628" xfId="396" xr:uid="{00000000-0005-0000-0000-00008E010000}"/>
    <cellStyle name="style1411449802695" xfId="397" xr:uid="{00000000-0005-0000-0000-00008F010000}"/>
    <cellStyle name="style1411449802719" xfId="398" xr:uid="{00000000-0005-0000-0000-000090010000}"/>
    <cellStyle name="style1411449802744" xfId="399" xr:uid="{00000000-0005-0000-0000-000091010000}"/>
    <cellStyle name="style1411449802916" xfId="400" xr:uid="{00000000-0005-0000-0000-000092010000}"/>
    <cellStyle name="style1411449802935" xfId="401" xr:uid="{00000000-0005-0000-0000-000093010000}"/>
    <cellStyle name="style1411449802987" xfId="402" xr:uid="{00000000-0005-0000-0000-000094010000}"/>
    <cellStyle name="style1411449803130" xfId="403" xr:uid="{00000000-0005-0000-0000-000095010000}"/>
    <cellStyle name="style1411449803296" xfId="404" xr:uid="{00000000-0005-0000-0000-000096010000}"/>
    <cellStyle name="style1411449803317" xfId="405" xr:uid="{00000000-0005-0000-0000-000097010000}"/>
    <cellStyle name="style1411449803337" xfId="406" xr:uid="{00000000-0005-0000-0000-000098010000}"/>
    <cellStyle name="style1411449803356" xfId="407" xr:uid="{00000000-0005-0000-0000-000099010000}"/>
    <cellStyle name="style1411449803379" xfId="408" xr:uid="{00000000-0005-0000-0000-00009A010000}"/>
    <cellStyle name="style1411449803400" xfId="409" xr:uid="{00000000-0005-0000-0000-00009B010000}"/>
    <cellStyle name="style1411449803420" xfId="410" xr:uid="{00000000-0005-0000-0000-00009C010000}"/>
    <cellStyle name="style1411449803440" xfId="411" xr:uid="{00000000-0005-0000-0000-00009D010000}"/>
    <cellStyle name="style1411449803461" xfId="412" xr:uid="{00000000-0005-0000-0000-00009E010000}"/>
    <cellStyle name="style1411449803483" xfId="413" xr:uid="{00000000-0005-0000-0000-00009F010000}"/>
    <cellStyle name="style1411449803510" xfId="414" xr:uid="{00000000-0005-0000-0000-0000A0010000}"/>
    <cellStyle name="style1411449803534" xfId="415" xr:uid="{00000000-0005-0000-0000-0000A1010000}"/>
    <cellStyle name="style1411449803554" xfId="416" xr:uid="{00000000-0005-0000-0000-0000A2010000}"/>
    <cellStyle name="style1411449803577" xfId="417" xr:uid="{00000000-0005-0000-0000-0000A3010000}"/>
    <cellStyle name="style1411451081406" xfId="418" xr:uid="{00000000-0005-0000-0000-0000A4010000}"/>
    <cellStyle name="style1411451081449" xfId="419" xr:uid="{00000000-0005-0000-0000-0000A5010000}"/>
    <cellStyle name="style1411451081472" xfId="420" xr:uid="{00000000-0005-0000-0000-0000A6010000}"/>
    <cellStyle name="style1411451081497" xfId="421" xr:uid="{00000000-0005-0000-0000-0000A7010000}"/>
    <cellStyle name="style1411451081522" xfId="422" xr:uid="{00000000-0005-0000-0000-0000A8010000}"/>
    <cellStyle name="style1411451081547" xfId="423" xr:uid="{00000000-0005-0000-0000-0000A9010000}"/>
    <cellStyle name="style1411451081953" xfId="424" xr:uid="{00000000-0005-0000-0000-0000AA010000}"/>
    <cellStyle name="style1411451082017" xfId="425" xr:uid="{00000000-0005-0000-0000-0000AB010000}"/>
    <cellStyle name="style1411451082043" xfId="426" xr:uid="{00000000-0005-0000-0000-0000AC010000}"/>
    <cellStyle name="style1411451082068" xfId="427" xr:uid="{00000000-0005-0000-0000-0000AD010000}"/>
    <cellStyle name="style1411451082091" xfId="428" xr:uid="{00000000-0005-0000-0000-0000AE010000}"/>
    <cellStyle name="style1411451082115" xfId="429" xr:uid="{00000000-0005-0000-0000-0000AF010000}"/>
    <cellStyle name="style1411451082188" xfId="430" xr:uid="{00000000-0005-0000-0000-0000B0010000}"/>
    <cellStyle name="style1411451082364" xfId="431" xr:uid="{00000000-0005-0000-0000-0000B1010000}"/>
    <cellStyle name="style1411451082383" xfId="432" xr:uid="{00000000-0005-0000-0000-0000B2010000}"/>
    <cellStyle name="style1411451082433" xfId="433" xr:uid="{00000000-0005-0000-0000-0000B3010000}"/>
    <cellStyle name="style1411451082533" xfId="434" xr:uid="{00000000-0005-0000-0000-0000B4010000}"/>
    <cellStyle name="style1411451082735" xfId="435" xr:uid="{00000000-0005-0000-0000-0000B5010000}"/>
    <cellStyle name="style1411451082754" xfId="436" xr:uid="{00000000-0005-0000-0000-0000B6010000}"/>
    <cellStyle name="style1411451082774" xfId="437" xr:uid="{00000000-0005-0000-0000-0000B7010000}"/>
    <cellStyle name="style1411451082793" xfId="438" xr:uid="{00000000-0005-0000-0000-0000B8010000}"/>
    <cellStyle name="style1411451082814" xfId="439" xr:uid="{00000000-0005-0000-0000-0000B9010000}"/>
    <cellStyle name="style1411451082834" xfId="440" xr:uid="{00000000-0005-0000-0000-0000BA010000}"/>
    <cellStyle name="style1411451082853" xfId="441" xr:uid="{00000000-0005-0000-0000-0000BB010000}"/>
    <cellStyle name="style1411451082873" xfId="442" xr:uid="{00000000-0005-0000-0000-0000BC010000}"/>
    <cellStyle name="style1411451082893" xfId="443" xr:uid="{00000000-0005-0000-0000-0000BD010000}"/>
    <cellStyle name="style1411451082912" xfId="444" xr:uid="{00000000-0005-0000-0000-0000BE010000}"/>
    <cellStyle name="style1411451082933" xfId="445" xr:uid="{00000000-0005-0000-0000-0000BF010000}"/>
    <cellStyle name="style1411451082954" xfId="446" xr:uid="{00000000-0005-0000-0000-0000C0010000}"/>
    <cellStyle name="style1411451082974" xfId="447" xr:uid="{00000000-0005-0000-0000-0000C1010000}"/>
    <cellStyle name="style1411451082993" xfId="448" xr:uid="{00000000-0005-0000-0000-0000C2010000}"/>
    <cellStyle name="style1411451083012" xfId="449" xr:uid="{00000000-0005-0000-0000-0000C3010000}"/>
    <cellStyle name="style1411542382001" xfId="450" xr:uid="{00000000-0005-0000-0000-0000C4010000}"/>
    <cellStyle name="style1411542382059" xfId="451" xr:uid="{00000000-0005-0000-0000-0000C5010000}"/>
    <cellStyle name="style1411542382094" xfId="452" xr:uid="{00000000-0005-0000-0000-0000C6010000}"/>
    <cellStyle name="style1411542382123" xfId="453" xr:uid="{00000000-0005-0000-0000-0000C7010000}"/>
    <cellStyle name="style1411542382156" xfId="454" xr:uid="{00000000-0005-0000-0000-0000C8010000}"/>
    <cellStyle name="style1411542382190" xfId="455" xr:uid="{00000000-0005-0000-0000-0000C9010000}"/>
    <cellStyle name="style1411542382225" xfId="456" xr:uid="{00000000-0005-0000-0000-0000CA010000}"/>
    <cellStyle name="style1411542382311" xfId="457" xr:uid="{00000000-0005-0000-0000-0000CB010000}"/>
    <cellStyle name="style1411542382346" xfId="458" xr:uid="{00000000-0005-0000-0000-0000CC010000}"/>
    <cellStyle name="style1411542382378" xfId="459" xr:uid="{00000000-0005-0000-0000-0000CD010000}"/>
    <cellStyle name="style1411542382409" xfId="460" xr:uid="{00000000-0005-0000-0000-0000CE010000}"/>
    <cellStyle name="style1411542382440" xfId="461" xr:uid="{00000000-0005-0000-0000-0000CF010000}"/>
    <cellStyle name="style1411542382466" xfId="462" xr:uid="{00000000-0005-0000-0000-0000D0010000}"/>
    <cellStyle name="style1411542382491" xfId="463" xr:uid="{00000000-0005-0000-0000-0000D1010000}"/>
    <cellStyle name="style1411542382523" xfId="464" xr:uid="{00000000-0005-0000-0000-0000D2010000}"/>
    <cellStyle name="style1411542382556" xfId="465" xr:uid="{00000000-0005-0000-0000-0000D3010000}"/>
    <cellStyle name="style1411542382585" xfId="466" xr:uid="{00000000-0005-0000-0000-0000D4010000}"/>
    <cellStyle name="style1411542382613" xfId="467" xr:uid="{00000000-0005-0000-0000-0000D5010000}"/>
    <cellStyle name="style1411542382701" xfId="468" xr:uid="{00000000-0005-0000-0000-0000D6010000}"/>
    <cellStyle name="style1411542382751" xfId="469" xr:uid="{00000000-0005-0000-0000-0000D7010000}"/>
    <cellStyle name="style1411542382774" xfId="470" xr:uid="{00000000-0005-0000-0000-0000D8010000}"/>
    <cellStyle name="style1411542382797" xfId="471" xr:uid="{00000000-0005-0000-0000-0000D9010000}"/>
    <cellStyle name="style1411542382821" xfId="472" xr:uid="{00000000-0005-0000-0000-0000DA010000}"/>
    <cellStyle name="style1411542382844" xfId="473" xr:uid="{00000000-0005-0000-0000-0000DB010000}"/>
    <cellStyle name="style1411542382872" xfId="474" xr:uid="{00000000-0005-0000-0000-0000DC010000}"/>
    <cellStyle name="style1411542382898" xfId="475" xr:uid="{00000000-0005-0000-0000-0000DD010000}"/>
    <cellStyle name="style1411542382921" xfId="476" xr:uid="{00000000-0005-0000-0000-0000DE010000}"/>
    <cellStyle name="style1411542382949" xfId="477" xr:uid="{00000000-0005-0000-0000-0000DF010000}"/>
    <cellStyle name="style1411542382977" xfId="478" xr:uid="{00000000-0005-0000-0000-0000E0010000}"/>
    <cellStyle name="style1411542383005" xfId="479" xr:uid="{00000000-0005-0000-0000-0000E1010000}"/>
    <cellStyle name="style1411542383036" xfId="480" xr:uid="{00000000-0005-0000-0000-0000E2010000}"/>
    <cellStyle name="style1411542383066" xfId="481" xr:uid="{00000000-0005-0000-0000-0000E3010000}"/>
    <cellStyle name="style1411542383094" xfId="482" xr:uid="{00000000-0005-0000-0000-0000E4010000}"/>
    <cellStyle name="style1411542383116" xfId="483" xr:uid="{00000000-0005-0000-0000-0000E5010000}"/>
    <cellStyle name="style1411542383137" xfId="484" xr:uid="{00000000-0005-0000-0000-0000E6010000}"/>
    <cellStyle name="style1411542383160" xfId="485" xr:uid="{00000000-0005-0000-0000-0000E7010000}"/>
    <cellStyle name="style1411542383184" xfId="486" xr:uid="{00000000-0005-0000-0000-0000E8010000}"/>
    <cellStyle name="style1411542383249" xfId="487" xr:uid="{00000000-0005-0000-0000-0000E9010000}"/>
    <cellStyle name="style1411542383276" xfId="488" xr:uid="{00000000-0005-0000-0000-0000EA010000}"/>
    <cellStyle name="style1411542383303" xfId="489" xr:uid="{00000000-0005-0000-0000-0000EB010000}"/>
    <cellStyle name="style1411542383332" xfId="490" xr:uid="{00000000-0005-0000-0000-0000EC010000}"/>
    <cellStyle name="style1411542383355" xfId="491" xr:uid="{00000000-0005-0000-0000-0000ED010000}"/>
    <cellStyle name="style1411542383382" xfId="492" xr:uid="{00000000-0005-0000-0000-0000EE010000}"/>
    <cellStyle name="style1411542383409" xfId="493" xr:uid="{00000000-0005-0000-0000-0000EF010000}"/>
    <cellStyle name="style1411542383430" xfId="494" xr:uid="{00000000-0005-0000-0000-0000F0010000}"/>
    <cellStyle name="style1411542383457" xfId="495" xr:uid="{00000000-0005-0000-0000-0000F1010000}"/>
    <cellStyle name="style1411542383483" xfId="496" xr:uid="{00000000-0005-0000-0000-0000F2010000}"/>
    <cellStyle name="style1411542383510" xfId="497" xr:uid="{00000000-0005-0000-0000-0000F3010000}"/>
    <cellStyle name="style1411542383530" xfId="498" xr:uid="{00000000-0005-0000-0000-0000F4010000}"/>
    <cellStyle name="style1411542383552" xfId="499" xr:uid="{00000000-0005-0000-0000-0000F5010000}"/>
    <cellStyle name="style1411542383579" xfId="500" xr:uid="{00000000-0005-0000-0000-0000F6010000}"/>
    <cellStyle name="style1411542383606" xfId="501" xr:uid="{00000000-0005-0000-0000-0000F7010000}"/>
    <cellStyle name="style1411542383632" xfId="502" xr:uid="{00000000-0005-0000-0000-0000F8010000}"/>
    <cellStyle name="style1411542383654" xfId="503" xr:uid="{00000000-0005-0000-0000-0000F9010000}"/>
    <cellStyle name="style1411542383684" xfId="504" xr:uid="{00000000-0005-0000-0000-0000FA010000}"/>
    <cellStyle name="style1411542383710" xfId="505" xr:uid="{00000000-0005-0000-0000-0000FB010000}"/>
    <cellStyle name="style1411542383732" xfId="506" xr:uid="{00000000-0005-0000-0000-0000FC010000}"/>
    <cellStyle name="style1411542383756" xfId="507" xr:uid="{00000000-0005-0000-0000-0000FD010000}"/>
    <cellStyle name="style1411542383790" xfId="508" xr:uid="{00000000-0005-0000-0000-0000FE010000}"/>
    <cellStyle name="style1411542383813" xfId="509" xr:uid="{00000000-0005-0000-0000-0000FF010000}"/>
    <cellStyle name="style1411542383835" xfId="510" xr:uid="{00000000-0005-0000-0000-000000020000}"/>
    <cellStyle name="style1411542383858" xfId="511" xr:uid="{00000000-0005-0000-0000-000001020000}"/>
    <cellStyle name="style1411542383881" xfId="512" xr:uid="{00000000-0005-0000-0000-000002020000}"/>
    <cellStyle name="style1411542383904" xfId="513" xr:uid="{00000000-0005-0000-0000-000003020000}"/>
    <cellStyle name="style1411542383967" xfId="514" xr:uid="{00000000-0005-0000-0000-000004020000}"/>
    <cellStyle name="style1411542383989" xfId="515" xr:uid="{00000000-0005-0000-0000-000005020000}"/>
    <cellStyle name="style1411542384009" xfId="516" xr:uid="{00000000-0005-0000-0000-000006020000}"/>
    <cellStyle name="style1411542384030" xfId="517" xr:uid="{00000000-0005-0000-0000-000007020000}"/>
    <cellStyle name="style1411542384052" xfId="518" xr:uid="{00000000-0005-0000-0000-000008020000}"/>
    <cellStyle name="style1411542384115" xfId="519" xr:uid="{00000000-0005-0000-0000-000009020000}"/>
    <cellStyle name="style1411542384148" xfId="520" xr:uid="{00000000-0005-0000-0000-00000A020000}"/>
    <cellStyle name="style1411542384169" xfId="521" xr:uid="{00000000-0005-0000-0000-00000B020000}"/>
    <cellStyle name="style1411542384188" xfId="522" xr:uid="{00000000-0005-0000-0000-00000C020000}"/>
    <cellStyle name="style1411542384208" xfId="523" xr:uid="{00000000-0005-0000-0000-00000D020000}"/>
    <cellStyle name="style1411542384227" xfId="524" xr:uid="{00000000-0005-0000-0000-00000E020000}"/>
    <cellStyle name="style1411542384246" xfId="525" xr:uid="{00000000-0005-0000-0000-00000F020000}"/>
    <cellStyle name="style1411542384273" xfId="526" xr:uid="{00000000-0005-0000-0000-000010020000}"/>
    <cellStyle name="style1411542384293" xfId="527" xr:uid="{00000000-0005-0000-0000-000011020000}"/>
  </cellStyles>
  <dxfs count="0"/>
  <tableStyles count="0" defaultTableStyle="TableStyleMedium2" defaultPivotStyle="PivotStyleMedium9"/>
  <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ndhra%20Pradesh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SVA_cur"/>
      <sheetName val="GSVA_const"/>
      <sheetName val="NSVA_cur"/>
      <sheetName val="NSVA_const"/>
    </sheetNames>
    <sheetDataSet>
      <sheetData sheetId="0">
        <row r="3">
          <cell r="I3" t="str">
            <v>01.08.2025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W39"/>
  <sheetViews>
    <sheetView zoomScale="84" zoomScaleNormal="84" zoomScaleSheetLayoutView="100" workbookViewId="0">
      <pane xSplit="2" ySplit="5" topLeftCell="C11" activePane="bottomRight" state="frozen"/>
      <selection activeCell="H1" sqref="H1:K1048576"/>
      <selection pane="topRight" activeCell="H1" sqref="H1:K1048576"/>
      <selection pane="bottomLeft" activeCell="H1" sqref="H1:K1048576"/>
      <selection pane="bottomRight" activeCell="S25" sqref="S25"/>
    </sheetView>
  </sheetViews>
  <sheetFormatPr defaultColWidth="8.85546875" defaultRowHeight="15" x14ac:dyDescent="0.25"/>
  <cols>
    <col min="1" max="1" width="11" style="2" customWidth="1"/>
    <col min="2" max="2" width="44" style="2" customWidth="1"/>
    <col min="3" max="6" width="12.85546875" style="2" customWidth="1"/>
    <col min="7" max="16" width="11.85546875" style="1" customWidth="1"/>
    <col min="17" max="18" width="9.140625" style="2" customWidth="1"/>
    <col min="19" max="19" width="11.85546875" style="2" customWidth="1"/>
    <col min="20" max="20" width="11.28515625" style="2" customWidth="1"/>
    <col min="21" max="21" width="11.7109375" style="1" customWidth="1"/>
    <col min="22" max="22" width="9.140625" style="2" customWidth="1"/>
    <col min="23" max="23" width="10.85546875" style="2" customWidth="1"/>
    <col min="24" max="24" width="10.85546875" style="1" customWidth="1"/>
    <col min="25" max="25" width="11" style="2" customWidth="1"/>
    <col min="26" max="28" width="11.42578125" style="2" customWidth="1"/>
    <col min="29" max="56" width="9.140625" style="2" customWidth="1"/>
    <col min="57" max="57" width="12.42578125" style="2" customWidth="1"/>
    <col min="58" max="79" width="9.140625" style="2" customWidth="1"/>
    <col min="80" max="80" width="12.140625" style="2" customWidth="1"/>
    <col min="81" max="84" width="9.140625" style="2" customWidth="1"/>
    <col min="85" max="89" width="9.140625" style="2" hidden="1" customWidth="1"/>
    <col min="90" max="90" width="9.140625" style="2" customWidth="1"/>
    <col min="91" max="95" width="9.140625" style="2" hidden="1" customWidth="1"/>
    <col min="96" max="96" width="9.140625" style="2" customWidth="1"/>
    <col min="97" max="101" width="9.140625" style="2" hidden="1" customWidth="1"/>
    <col min="102" max="102" width="9.140625" style="2" customWidth="1"/>
    <col min="103" max="107" width="9.140625" style="2" hidden="1" customWidth="1"/>
    <col min="108" max="108" width="9.140625" style="2" customWidth="1"/>
    <col min="109" max="113" width="9.140625" style="2" hidden="1" customWidth="1"/>
    <col min="114" max="114" width="9.140625" style="1" customWidth="1"/>
    <col min="115" max="119" width="9.140625" style="1" hidden="1" customWidth="1"/>
    <col min="120" max="120" width="9.140625" style="1" customWidth="1"/>
    <col min="121" max="125" width="9.140625" style="1" hidden="1" customWidth="1"/>
    <col min="126" max="126" width="9.140625" style="1" customWidth="1"/>
    <col min="127" max="131" width="9.140625" style="1" hidden="1" customWidth="1"/>
    <col min="132" max="132" width="9.140625" style="1" customWidth="1"/>
    <col min="133" max="162" width="9.140625" style="2" customWidth="1"/>
    <col min="163" max="163" width="9.140625" style="2" hidden="1" customWidth="1"/>
    <col min="164" max="171" width="9.140625" style="2" customWidth="1"/>
    <col min="172" max="172" width="9.140625" style="2" hidden="1" customWidth="1"/>
    <col min="173" max="177" width="9.140625" style="2" customWidth="1"/>
    <col min="178" max="178" width="9.140625" style="2" hidden="1" customWidth="1"/>
    <col min="179" max="188" width="9.140625" style="2" customWidth="1"/>
    <col min="189" max="192" width="8.85546875" style="2"/>
    <col min="193" max="193" width="12.7109375" style="2" bestFit="1" customWidth="1"/>
    <col min="194" max="16384" width="8.85546875" style="2"/>
  </cols>
  <sheetData>
    <row r="1" spans="1:193" ht="18.75" x14ac:dyDescent="0.3">
      <c r="A1" s="2" t="s">
        <v>53</v>
      </c>
      <c r="B1" s="6" t="s">
        <v>66</v>
      </c>
      <c r="W1" s="3"/>
    </row>
    <row r="2" spans="1:193" ht="15.75" x14ac:dyDescent="0.25">
      <c r="A2" s="7" t="s">
        <v>48</v>
      </c>
      <c r="I2" s="1" t="str">
        <f>[1]GSVA_cur!$I$3</f>
        <v>01.08.2025</v>
      </c>
    </row>
    <row r="3" spans="1:193" ht="15.75" x14ac:dyDescent="0.25">
      <c r="A3" s="7"/>
    </row>
    <row r="4" spans="1:193" ht="15.75" x14ac:dyDescent="0.25">
      <c r="A4" s="7"/>
      <c r="E4" s="8"/>
      <c r="F4" s="8" t="s">
        <v>57</v>
      </c>
    </row>
    <row r="5" spans="1:193" ht="15.75" x14ac:dyDescent="0.25">
      <c r="A5" s="13" t="s">
        <v>0</v>
      </c>
      <c r="B5" s="14" t="s">
        <v>1</v>
      </c>
      <c r="C5" s="15" t="s">
        <v>21</v>
      </c>
      <c r="D5" s="15" t="s">
        <v>22</v>
      </c>
      <c r="E5" s="15" t="s">
        <v>23</v>
      </c>
      <c r="F5" s="15" t="s">
        <v>56</v>
      </c>
      <c r="G5" s="16" t="s">
        <v>65</v>
      </c>
      <c r="H5" s="16" t="s">
        <v>67</v>
      </c>
      <c r="I5" s="16" t="s">
        <v>68</v>
      </c>
      <c r="J5" s="16" t="s">
        <v>69</v>
      </c>
      <c r="K5" s="16" t="s">
        <v>70</v>
      </c>
      <c r="L5" s="16" t="s">
        <v>71</v>
      </c>
      <c r="M5" s="16" t="s">
        <v>72</v>
      </c>
      <c r="N5" s="16" t="s">
        <v>73</v>
      </c>
      <c r="O5" s="16" t="s">
        <v>74</v>
      </c>
      <c r="P5" s="16" t="s">
        <v>76</v>
      </c>
    </row>
    <row r="6" spans="1:193" s="10" customFormat="1" ht="17.25" x14ac:dyDescent="0.25">
      <c r="A6" s="17" t="s">
        <v>26</v>
      </c>
      <c r="B6" s="18" t="s">
        <v>2</v>
      </c>
      <c r="C6" s="19">
        <f t="shared" ref="C6:P6" si="0">SUM(C7:C10)</f>
        <v>2685950</v>
      </c>
      <c r="D6" s="19">
        <f t="shared" si="0"/>
        <v>3180908</v>
      </c>
      <c r="E6" s="19">
        <f t="shared" si="0"/>
        <v>3599597</v>
      </c>
      <c r="F6" s="19">
        <f t="shared" si="0"/>
        <v>4038920</v>
      </c>
      <c r="G6" s="20">
        <f t="shared" si="0"/>
        <v>4277314</v>
      </c>
      <c r="H6" s="20">
        <f t="shared" si="0"/>
        <v>5429526</v>
      </c>
      <c r="I6" s="20">
        <f t="shared" si="0"/>
        <v>5197657</v>
      </c>
      <c r="J6" s="20">
        <f t="shared" si="0"/>
        <v>6346941</v>
      </c>
      <c r="K6" s="20">
        <f t="shared" si="0"/>
        <v>7186254</v>
      </c>
      <c r="L6" s="20">
        <f t="shared" si="0"/>
        <v>7923255</v>
      </c>
      <c r="M6" s="20">
        <f t="shared" si="0"/>
        <v>8339137</v>
      </c>
      <c r="N6" s="20">
        <f t="shared" si="0"/>
        <v>9010786</v>
      </c>
      <c r="O6" s="20">
        <f t="shared" si="0"/>
        <v>9795829</v>
      </c>
      <c r="P6" s="20">
        <f t="shared" si="0"/>
        <v>10703835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K6" s="11"/>
    </row>
    <row r="7" spans="1:193" ht="17.25" x14ac:dyDescent="0.25">
      <c r="A7" s="21">
        <v>1.1000000000000001</v>
      </c>
      <c r="B7" s="22" t="s">
        <v>59</v>
      </c>
      <c r="C7" s="23">
        <v>1798258</v>
      </c>
      <c r="D7" s="23">
        <v>2140927</v>
      </c>
      <c r="E7" s="23">
        <v>2405368</v>
      </c>
      <c r="F7" s="23">
        <v>2571796</v>
      </c>
      <c r="G7" s="24">
        <v>2615412</v>
      </c>
      <c r="H7" s="24">
        <v>3372989</v>
      </c>
      <c r="I7" s="24">
        <v>2940525</v>
      </c>
      <c r="J7" s="24">
        <v>3609901</v>
      </c>
      <c r="K7" s="24">
        <v>4030010</v>
      </c>
      <c r="L7" s="24">
        <v>4447882</v>
      </c>
      <c r="M7" s="24">
        <v>4737627</v>
      </c>
      <c r="N7" s="24">
        <v>5155561</v>
      </c>
      <c r="O7" s="24">
        <v>5661919</v>
      </c>
      <c r="P7" s="24">
        <v>6201731</v>
      </c>
      <c r="Q7" s="4"/>
      <c r="R7" s="4"/>
      <c r="S7" s="4"/>
      <c r="T7" s="4"/>
      <c r="U7" s="3"/>
      <c r="V7" s="4"/>
      <c r="W7" s="4"/>
      <c r="X7" s="3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1"/>
      <c r="GI7" s="1"/>
      <c r="GJ7" s="1"/>
    </row>
    <row r="8" spans="1:193" ht="17.25" x14ac:dyDescent="0.25">
      <c r="A8" s="21">
        <v>1.2</v>
      </c>
      <c r="B8" s="22" t="s">
        <v>60</v>
      </c>
      <c r="C8" s="23">
        <v>226704</v>
      </c>
      <c r="D8" s="23">
        <v>255035</v>
      </c>
      <c r="E8" s="23">
        <v>310931</v>
      </c>
      <c r="F8" s="23">
        <v>347756</v>
      </c>
      <c r="G8" s="24">
        <v>407301</v>
      </c>
      <c r="H8" s="24">
        <v>434543</v>
      </c>
      <c r="I8" s="24">
        <v>571052</v>
      </c>
      <c r="J8" s="24">
        <v>750524</v>
      </c>
      <c r="K8" s="24">
        <v>820608</v>
      </c>
      <c r="L8" s="24">
        <v>872103</v>
      </c>
      <c r="M8" s="24">
        <v>942204</v>
      </c>
      <c r="N8" s="24">
        <v>1026910</v>
      </c>
      <c r="O8" s="24">
        <v>1158261</v>
      </c>
      <c r="P8" s="24">
        <v>1320724</v>
      </c>
      <c r="Q8" s="4"/>
      <c r="R8" s="4"/>
      <c r="S8" s="4"/>
      <c r="T8" s="4"/>
      <c r="U8" s="3"/>
      <c r="V8" s="4"/>
      <c r="W8" s="4"/>
      <c r="X8" s="3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1"/>
      <c r="GI8" s="1"/>
      <c r="GJ8" s="1"/>
    </row>
    <row r="9" spans="1:193" ht="17.25" x14ac:dyDescent="0.25">
      <c r="A9" s="21">
        <v>1.3</v>
      </c>
      <c r="B9" s="22" t="s">
        <v>61</v>
      </c>
      <c r="C9" s="23">
        <v>426205</v>
      </c>
      <c r="D9" s="23">
        <v>503309</v>
      </c>
      <c r="E9" s="23">
        <v>559637</v>
      </c>
      <c r="F9" s="23">
        <v>733885</v>
      </c>
      <c r="G9" s="24">
        <v>827350</v>
      </c>
      <c r="H9" s="24">
        <v>1140125</v>
      </c>
      <c r="I9" s="24">
        <v>1065607</v>
      </c>
      <c r="J9" s="24">
        <v>1270717</v>
      </c>
      <c r="K9" s="24">
        <v>1518395</v>
      </c>
      <c r="L9" s="24">
        <v>1663082</v>
      </c>
      <c r="M9" s="24">
        <v>1671804</v>
      </c>
      <c r="N9" s="24">
        <v>1738207</v>
      </c>
      <c r="O9" s="24">
        <v>1757102</v>
      </c>
      <c r="P9" s="24">
        <v>1846158</v>
      </c>
      <c r="Q9" s="4"/>
      <c r="R9" s="4"/>
      <c r="S9" s="4"/>
      <c r="T9" s="4"/>
      <c r="U9" s="3"/>
      <c r="V9" s="4"/>
      <c r="W9" s="4"/>
      <c r="X9" s="3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1"/>
      <c r="GI9" s="1"/>
      <c r="GJ9" s="1"/>
    </row>
    <row r="10" spans="1:193" ht="17.25" x14ac:dyDescent="0.25">
      <c r="A10" s="21">
        <v>1.4</v>
      </c>
      <c r="B10" s="22" t="s">
        <v>62</v>
      </c>
      <c r="C10" s="23">
        <v>234783</v>
      </c>
      <c r="D10" s="23">
        <v>281637</v>
      </c>
      <c r="E10" s="23">
        <v>323661</v>
      </c>
      <c r="F10" s="23">
        <v>385483</v>
      </c>
      <c r="G10" s="24">
        <v>427251</v>
      </c>
      <c r="H10" s="24">
        <v>481869</v>
      </c>
      <c r="I10" s="24">
        <v>620473</v>
      </c>
      <c r="J10" s="24">
        <v>715799</v>
      </c>
      <c r="K10" s="24">
        <v>817241</v>
      </c>
      <c r="L10" s="24">
        <v>940188</v>
      </c>
      <c r="M10" s="24">
        <v>987502</v>
      </c>
      <c r="N10" s="24">
        <v>1090108</v>
      </c>
      <c r="O10" s="24">
        <v>1218547</v>
      </c>
      <c r="P10" s="24">
        <v>1335222</v>
      </c>
      <c r="Q10" s="4"/>
      <c r="R10" s="4"/>
      <c r="S10" s="4"/>
      <c r="T10" s="4"/>
      <c r="U10" s="3"/>
      <c r="V10" s="4"/>
      <c r="W10" s="4"/>
      <c r="X10" s="3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1"/>
      <c r="GI10" s="1"/>
      <c r="GJ10" s="1"/>
    </row>
    <row r="11" spans="1:193" ht="17.25" x14ac:dyDescent="0.25">
      <c r="A11" s="25" t="s">
        <v>31</v>
      </c>
      <c r="B11" s="22" t="s">
        <v>3</v>
      </c>
      <c r="C11" s="23">
        <v>1970258.4920786407</v>
      </c>
      <c r="D11" s="23">
        <v>1923021.319806136</v>
      </c>
      <c r="E11" s="23">
        <v>2144358</v>
      </c>
      <c r="F11" s="23">
        <v>2384662</v>
      </c>
      <c r="G11" s="24">
        <v>2014183</v>
      </c>
      <c r="H11" s="24">
        <v>2014982</v>
      </c>
      <c r="I11" s="24">
        <v>2232979</v>
      </c>
      <c r="J11" s="24">
        <v>2418579</v>
      </c>
      <c r="K11" s="24">
        <v>1986224</v>
      </c>
      <c r="L11" s="24">
        <v>1992028</v>
      </c>
      <c r="M11" s="24">
        <v>2403384</v>
      </c>
      <c r="N11" s="24">
        <v>2681749</v>
      </c>
      <c r="O11" s="24">
        <v>2983124</v>
      </c>
      <c r="P11" s="24">
        <v>3355269</v>
      </c>
      <c r="Q11" s="4"/>
      <c r="R11" s="4"/>
      <c r="S11" s="4"/>
      <c r="T11" s="4"/>
      <c r="U11" s="3"/>
      <c r="V11" s="4"/>
      <c r="W11" s="4"/>
      <c r="X11" s="3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1"/>
      <c r="GI11" s="1"/>
      <c r="GJ11" s="1"/>
    </row>
    <row r="12" spans="1:193" s="11" customFormat="1" ht="17.25" x14ac:dyDescent="0.25">
      <c r="A12" s="26"/>
      <c r="B12" s="27" t="s">
        <v>28</v>
      </c>
      <c r="C12" s="28">
        <f>C6+C11</f>
        <v>4656208.4920786405</v>
      </c>
      <c r="D12" s="28">
        <f>D6+D11</f>
        <v>5103929.3198061362</v>
      </c>
      <c r="E12" s="28">
        <f>E6+E11</f>
        <v>5743955</v>
      </c>
      <c r="F12" s="28">
        <f>F6+F11</f>
        <v>6423582</v>
      </c>
      <c r="G12" s="20">
        <f t="shared" ref="G12:P12" si="1">SUM(G7:G11)</f>
        <v>6291497</v>
      </c>
      <c r="H12" s="20">
        <f t="shared" si="1"/>
        <v>7444508</v>
      </c>
      <c r="I12" s="20">
        <f t="shared" si="1"/>
        <v>7430636</v>
      </c>
      <c r="J12" s="20">
        <f t="shared" si="1"/>
        <v>8765520</v>
      </c>
      <c r="K12" s="20">
        <f t="shared" si="1"/>
        <v>9172478</v>
      </c>
      <c r="L12" s="20">
        <f t="shared" si="1"/>
        <v>9915283</v>
      </c>
      <c r="M12" s="20">
        <f t="shared" si="1"/>
        <v>10742521</v>
      </c>
      <c r="N12" s="20">
        <f t="shared" si="1"/>
        <v>11692535</v>
      </c>
      <c r="O12" s="20">
        <f t="shared" si="1"/>
        <v>12778953</v>
      </c>
      <c r="P12" s="20">
        <f t="shared" si="1"/>
        <v>14059104</v>
      </c>
      <c r="Q12" s="4"/>
      <c r="R12" s="4"/>
      <c r="S12" s="4"/>
      <c r="T12" s="4"/>
      <c r="U12" s="3"/>
      <c r="V12" s="4"/>
      <c r="W12" s="4"/>
      <c r="X12" s="3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10"/>
      <c r="GI12" s="10"/>
      <c r="GJ12" s="10"/>
    </row>
    <row r="13" spans="1:193" s="1" customFormat="1" ht="17.25" x14ac:dyDescent="0.25">
      <c r="A13" s="29" t="s">
        <v>32</v>
      </c>
      <c r="B13" s="30" t="s">
        <v>4</v>
      </c>
      <c r="C13" s="23">
        <v>2435032.4278000002</v>
      </c>
      <c r="D13" s="23">
        <v>2817914.8655000003</v>
      </c>
      <c r="E13" s="23">
        <v>3810105</v>
      </c>
      <c r="F13" s="23">
        <v>3495197</v>
      </c>
      <c r="G13" s="24">
        <v>3234424</v>
      </c>
      <c r="H13" s="24">
        <v>3102774</v>
      </c>
      <c r="I13" s="24">
        <v>3724512</v>
      </c>
      <c r="J13" s="24">
        <v>4805472</v>
      </c>
      <c r="K13" s="24">
        <v>4970358</v>
      </c>
      <c r="L13" s="24">
        <v>5390411</v>
      </c>
      <c r="M13" s="24">
        <v>6773607</v>
      </c>
      <c r="N13" s="24">
        <v>6735341</v>
      </c>
      <c r="O13" s="24">
        <v>7329004</v>
      </c>
      <c r="P13" s="24">
        <v>7839092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K13" s="2"/>
    </row>
    <row r="14" spans="1:193" ht="30" x14ac:dyDescent="0.25">
      <c r="A14" s="25" t="s">
        <v>33</v>
      </c>
      <c r="B14" s="22" t="s">
        <v>5</v>
      </c>
      <c r="C14" s="23">
        <v>709991</v>
      </c>
      <c r="D14" s="23">
        <v>970686</v>
      </c>
      <c r="E14" s="23">
        <v>1051772</v>
      </c>
      <c r="F14" s="23">
        <v>1175686</v>
      </c>
      <c r="G14" s="24">
        <v>1506846</v>
      </c>
      <c r="H14" s="24">
        <v>1828800</v>
      </c>
      <c r="I14" s="24">
        <v>2046015</v>
      </c>
      <c r="J14" s="24">
        <v>2201265</v>
      </c>
      <c r="K14" s="24">
        <v>2330456</v>
      </c>
      <c r="L14" s="24">
        <v>2597407</v>
      </c>
      <c r="M14" s="24">
        <v>2779425</v>
      </c>
      <c r="N14" s="24">
        <v>3084706</v>
      </c>
      <c r="O14" s="24">
        <v>3262607</v>
      </c>
      <c r="P14" s="24">
        <v>3668462</v>
      </c>
      <c r="Q14" s="4"/>
      <c r="R14" s="4"/>
      <c r="S14" s="4"/>
      <c r="T14" s="4"/>
      <c r="U14" s="3"/>
      <c r="V14" s="4"/>
      <c r="W14" s="4"/>
      <c r="X14" s="3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3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3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3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1"/>
      <c r="GI14" s="1"/>
      <c r="GJ14" s="1"/>
    </row>
    <row r="15" spans="1:193" ht="17.25" x14ac:dyDescent="0.25">
      <c r="A15" s="25" t="s">
        <v>34</v>
      </c>
      <c r="B15" s="22" t="s">
        <v>6</v>
      </c>
      <c r="C15" s="23">
        <v>1901330.1746962999</v>
      </c>
      <c r="D15" s="23">
        <v>1920770.7275097664</v>
      </c>
      <c r="E15" s="23">
        <v>2260022</v>
      </c>
      <c r="F15" s="23">
        <v>2541824</v>
      </c>
      <c r="G15" s="24">
        <v>2503685</v>
      </c>
      <c r="H15" s="24">
        <v>3038575</v>
      </c>
      <c r="I15" s="24">
        <v>3396171</v>
      </c>
      <c r="J15" s="24">
        <v>4051686</v>
      </c>
      <c r="K15" s="24">
        <v>4162444</v>
      </c>
      <c r="L15" s="24">
        <v>4018525</v>
      </c>
      <c r="M15" s="24">
        <v>5625724</v>
      </c>
      <c r="N15" s="24">
        <v>6770557</v>
      </c>
      <c r="O15" s="24">
        <v>7655829</v>
      </c>
      <c r="P15" s="24">
        <v>8324305</v>
      </c>
      <c r="Q15" s="4"/>
      <c r="R15" s="4"/>
      <c r="S15" s="4"/>
      <c r="T15" s="4"/>
      <c r="U15" s="3"/>
      <c r="V15" s="4"/>
      <c r="W15" s="4"/>
      <c r="X15" s="3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3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3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3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1"/>
      <c r="GI15" s="1"/>
      <c r="GJ15" s="1"/>
    </row>
    <row r="16" spans="1:193" s="11" customFormat="1" ht="17.25" x14ac:dyDescent="0.25">
      <c r="A16" s="26"/>
      <c r="B16" s="27" t="s">
        <v>29</v>
      </c>
      <c r="C16" s="28">
        <f>+C13+C14+C15</f>
        <v>5046353.6024962999</v>
      </c>
      <c r="D16" s="28">
        <f>+D13+D14+D15</f>
        <v>5709371.5930097662</v>
      </c>
      <c r="E16" s="28">
        <f>+E13+E14+E15</f>
        <v>7121899</v>
      </c>
      <c r="F16" s="28">
        <f>+F13+F14+F15</f>
        <v>7212707</v>
      </c>
      <c r="G16" s="20">
        <f t="shared" ref="G16:I16" si="2">SUM(G13:G15)</f>
        <v>7244955</v>
      </c>
      <c r="H16" s="20">
        <f t="shared" si="2"/>
        <v>7970149</v>
      </c>
      <c r="I16" s="20">
        <f t="shared" si="2"/>
        <v>9166698</v>
      </c>
      <c r="J16" s="20">
        <f t="shared" ref="J16:K16" si="3">SUM(J13:J15)</f>
        <v>11058423</v>
      </c>
      <c r="K16" s="20">
        <f t="shared" si="3"/>
        <v>11463258</v>
      </c>
      <c r="L16" s="20">
        <f t="shared" ref="L16:M16" si="4">SUM(L13:L15)</f>
        <v>12006343</v>
      </c>
      <c r="M16" s="20">
        <f t="shared" si="4"/>
        <v>15178756</v>
      </c>
      <c r="N16" s="20">
        <f t="shared" ref="N16:O16" si="5">SUM(N13:N15)</f>
        <v>16590604</v>
      </c>
      <c r="O16" s="20">
        <f t="shared" si="5"/>
        <v>18247440</v>
      </c>
      <c r="P16" s="20">
        <f t="shared" ref="P16" si="6">SUM(P13:P15)</f>
        <v>19831859</v>
      </c>
      <c r="Q16" s="4"/>
      <c r="R16" s="4"/>
      <c r="S16" s="4"/>
      <c r="T16" s="4"/>
      <c r="U16" s="3"/>
      <c r="V16" s="4"/>
      <c r="W16" s="4"/>
      <c r="X16" s="3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9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9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9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0"/>
      <c r="GI16" s="10"/>
      <c r="GJ16" s="10"/>
    </row>
    <row r="17" spans="1:193" s="10" customFormat="1" ht="15.75" x14ac:dyDescent="0.25">
      <c r="A17" s="17" t="s">
        <v>35</v>
      </c>
      <c r="B17" s="18" t="s">
        <v>7</v>
      </c>
      <c r="C17" s="19">
        <f>C18+C19</f>
        <v>932617</v>
      </c>
      <c r="D17" s="19">
        <f t="shared" ref="D17:K17" si="7">D18+D19</f>
        <v>1101271</v>
      </c>
      <c r="E17" s="19">
        <f t="shared" si="7"/>
        <v>1288982</v>
      </c>
      <c r="F17" s="19">
        <f t="shared" si="7"/>
        <v>1382032</v>
      </c>
      <c r="G17" s="19">
        <f t="shared" si="7"/>
        <v>1430914</v>
      </c>
      <c r="H17" s="19">
        <f t="shared" si="7"/>
        <v>1949021</v>
      </c>
      <c r="I17" s="19">
        <f t="shared" si="7"/>
        <v>1855892</v>
      </c>
      <c r="J17" s="19">
        <f t="shared" si="7"/>
        <v>2166275</v>
      </c>
      <c r="K17" s="19">
        <f t="shared" si="7"/>
        <v>2360216</v>
      </c>
      <c r="L17" s="19">
        <f t="shared" ref="L17:M17" si="8">L18+L19</f>
        <v>1915824</v>
      </c>
      <c r="M17" s="19">
        <f t="shared" si="8"/>
        <v>2289024</v>
      </c>
      <c r="N17" s="19">
        <f t="shared" ref="N17:O17" si="9">N18+N19</f>
        <v>2815454</v>
      </c>
      <c r="O17" s="19">
        <f t="shared" si="9"/>
        <v>3434612</v>
      </c>
      <c r="P17" s="19">
        <f t="shared" ref="P17" si="10">P18+P19</f>
        <v>4104896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K17" s="11"/>
    </row>
    <row r="18" spans="1:193" ht="17.25" x14ac:dyDescent="0.25">
      <c r="A18" s="21">
        <v>6.1</v>
      </c>
      <c r="B18" s="22" t="s">
        <v>8</v>
      </c>
      <c r="C18" s="31">
        <v>932617</v>
      </c>
      <c r="D18" s="23">
        <v>1101271</v>
      </c>
      <c r="E18" s="23">
        <v>1288982</v>
      </c>
      <c r="F18" s="23">
        <v>1382032</v>
      </c>
      <c r="G18" s="24">
        <v>1430914</v>
      </c>
      <c r="H18" s="24">
        <v>1949021</v>
      </c>
      <c r="I18" s="24">
        <v>1855892</v>
      </c>
      <c r="J18" s="24">
        <v>2166275</v>
      </c>
      <c r="K18" s="24">
        <v>2360216</v>
      </c>
      <c r="L18" s="24">
        <v>1915824</v>
      </c>
      <c r="M18" s="24">
        <v>2289024</v>
      </c>
      <c r="N18" s="24">
        <v>2815454</v>
      </c>
      <c r="O18" s="24">
        <v>3434612</v>
      </c>
      <c r="P18" s="24">
        <v>4104896</v>
      </c>
      <c r="Q18" s="4"/>
      <c r="R18" s="4"/>
      <c r="S18" s="4"/>
      <c r="T18" s="4"/>
      <c r="U18" s="3"/>
      <c r="V18" s="4"/>
      <c r="W18" s="4"/>
      <c r="X18" s="3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1"/>
      <c r="GI18" s="1"/>
      <c r="GJ18" s="1"/>
    </row>
    <row r="19" spans="1:193" ht="17.25" x14ac:dyDescent="0.25">
      <c r="A19" s="21">
        <v>6.2</v>
      </c>
      <c r="B19" s="22" t="s">
        <v>9</v>
      </c>
      <c r="C19" s="32"/>
      <c r="D19" s="32"/>
      <c r="E19" s="32"/>
      <c r="F19" s="32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4"/>
      <c r="R19" s="4"/>
      <c r="S19" s="4"/>
      <c r="T19" s="4"/>
      <c r="U19" s="3"/>
      <c r="V19" s="4"/>
      <c r="W19" s="4"/>
      <c r="X19" s="3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1"/>
      <c r="GI19" s="1"/>
      <c r="GJ19" s="1"/>
    </row>
    <row r="20" spans="1:193" s="10" customFormat="1" ht="16.5" customHeight="1" x14ac:dyDescent="0.25">
      <c r="A20" s="33" t="s">
        <v>36</v>
      </c>
      <c r="B20" s="34" t="s">
        <v>10</v>
      </c>
      <c r="C20" s="19">
        <f>SUM(C21:C27)</f>
        <v>583708</v>
      </c>
      <c r="D20" s="19">
        <f>SUM(D21:D27)</f>
        <v>683320</v>
      </c>
      <c r="E20" s="19">
        <f>SUM(E21:E27)</f>
        <v>783117</v>
      </c>
      <c r="F20" s="19">
        <f>SUM(F21:F27)</f>
        <v>874711</v>
      </c>
      <c r="G20" s="20">
        <f t="shared" ref="G20:P20" si="11">G21+G22+G26+G27+G23+G24+G25</f>
        <v>977455</v>
      </c>
      <c r="H20" s="20">
        <f t="shared" si="11"/>
        <v>1019232</v>
      </c>
      <c r="I20" s="20">
        <f t="shared" si="11"/>
        <v>1128606</v>
      </c>
      <c r="J20" s="20">
        <f t="shared" si="11"/>
        <v>1297048</v>
      </c>
      <c r="K20" s="20">
        <f t="shared" si="11"/>
        <v>1355491</v>
      </c>
      <c r="L20" s="20">
        <f t="shared" si="11"/>
        <v>1253035</v>
      </c>
      <c r="M20" s="20">
        <f t="shared" si="11"/>
        <v>1661368</v>
      </c>
      <c r="N20" s="20">
        <f t="shared" si="11"/>
        <v>1757310</v>
      </c>
      <c r="O20" s="20">
        <f t="shared" si="11"/>
        <v>1891528</v>
      </c>
      <c r="P20" s="20">
        <f t="shared" si="11"/>
        <v>2033162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K20" s="11"/>
    </row>
    <row r="21" spans="1:193" ht="17.25" x14ac:dyDescent="0.25">
      <c r="A21" s="21">
        <v>7.1</v>
      </c>
      <c r="B21" s="22" t="s">
        <v>11</v>
      </c>
      <c r="C21" s="32">
        <v>121509</v>
      </c>
      <c r="D21" s="32">
        <v>140418</v>
      </c>
      <c r="E21" s="32">
        <v>150098</v>
      </c>
      <c r="F21" s="32">
        <v>162133</v>
      </c>
      <c r="G21" s="24">
        <v>179355</v>
      </c>
      <c r="H21" s="24">
        <v>189941</v>
      </c>
      <c r="I21" s="24">
        <v>205817</v>
      </c>
      <c r="J21" s="24">
        <v>269276</v>
      </c>
      <c r="K21" s="24">
        <v>291480</v>
      </c>
      <c r="L21" s="24">
        <v>258570</v>
      </c>
      <c r="M21" s="24">
        <v>333188</v>
      </c>
      <c r="N21" s="24">
        <v>368947</v>
      </c>
      <c r="O21" s="24">
        <v>378123</v>
      </c>
      <c r="P21" s="24">
        <v>342412</v>
      </c>
      <c r="Q21" s="4"/>
      <c r="R21" s="4"/>
      <c r="S21" s="4"/>
      <c r="T21" s="4"/>
      <c r="U21" s="3"/>
      <c r="V21" s="4"/>
      <c r="W21" s="4"/>
      <c r="X21" s="3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1"/>
      <c r="GI21" s="1"/>
      <c r="GJ21" s="1"/>
    </row>
    <row r="22" spans="1:193" ht="17.25" x14ac:dyDescent="0.25">
      <c r="A22" s="21">
        <v>7.2</v>
      </c>
      <c r="B22" s="22" t="s">
        <v>12</v>
      </c>
      <c r="C22" s="31">
        <v>281709</v>
      </c>
      <c r="D22" s="23">
        <v>329096</v>
      </c>
      <c r="E22" s="23">
        <v>365284</v>
      </c>
      <c r="F22" s="23">
        <v>397901</v>
      </c>
      <c r="G22" s="35">
        <v>430176</v>
      </c>
      <c r="H22" s="35">
        <v>474535</v>
      </c>
      <c r="I22" s="35">
        <v>572415</v>
      </c>
      <c r="J22" s="35">
        <v>618566</v>
      </c>
      <c r="K22" s="35">
        <v>603606</v>
      </c>
      <c r="L22" s="35">
        <v>477344</v>
      </c>
      <c r="M22" s="35">
        <v>723962</v>
      </c>
      <c r="N22" s="35">
        <v>693225</v>
      </c>
      <c r="O22" s="35">
        <v>762067</v>
      </c>
      <c r="P22" s="35">
        <v>840510</v>
      </c>
      <c r="Q22" s="4"/>
      <c r="R22" s="4"/>
      <c r="S22" s="4"/>
      <c r="T22" s="4"/>
      <c r="U22" s="3"/>
      <c r="V22" s="4"/>
      <c r="W22" s="4"/>
      <c r="X22" s="3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1"/>
      <c r="GI22" s="1"/>
      <c r="GJ22" s="1"/>
    </row>
    <row r="23" spans="1:193" ht="17.25" x14ac:dyDescent="0.25">
      <c r="A23" s="21">
        <v>7.3</v>
      </c>
      <c r="B23" s="22" t="s">
        <v>13</v>
      </c>
      <c r="C23" s="32">
        <v>0</v>
      </c>
      <c r="D23" s="32">
        <v>0</v>
      </c>
      <c r="E23" s="32">
        <v>0</v>
      </c>
      <c r="F23" s="32">
        <v>0</v>
      </c>
      <c r="G23" s="35">
        <v>0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  <c r="N23" s="35">
        <v>0</v>
      </c>
      <c r="O23" s="35">
        <v>0</v>
      </c>
      <c r="P23" s="35"/>
      <c r="Q23" s="4"/>
      <c r="R23" s="4"/>
      <c r="S23" s="4"/>
      <c r="T23" s="4"/>
      <c r="U23" s="3"/>
      <c r="V23" s="4"/>
      <c r="W23" s="4"/>
      <c r="X23" s="3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1"/>
      <c r="GI23" s="1"/>
      <c r="GJ23" s="1"/>
    </row>
    <row r="24" spans="1:193" ht="17.25" x14ac:dyDescent="0.25">
      <c r="A24" s="21">
        <v>7.4</v>
      </c>
      <c r="B24" s="22" t="s">
        <v>14</v>
      </c>
      <c r="C24" s="32"/>
      <c r="D24" s="32"/>
      <c r="E24" s="32"/>
      <c r="F24" s="32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4"/>
      <c r="R24" s="4"/>
      <c r="S24" s="4"/>
      <c r="T24" s="4"/>
      <c r="U24" s="3"/>
      <c r="V24" s="4"/>
      <c r="W24" s="4"/>
      <c r="X24" s="3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1"/>
      <c r="GI24" s="1"/>
      <c r="GJ24" s="1"/>
    </row>
    <row r="25" spans="1:193" ht="17.25" x14ac:dyDescent="0.25">
      <c r="A25" s="21">
        <v>7.5</v>
      </c>
      <c r="B25" s="22" t="s">
        <v>15</v>
      </c>
      <c r="C25" s="32"/>
      <c r="D25" s="32"/>
      <c r="E25" s="32"/>
      <c r="F25" s="32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4"/>
      <c r="R25" s="4"/>
      <c r="S25" s="4"/>
      <c r="T25" s="4"/>
      <c r="U25" s="3"/>
      <c r="V25" s="4"/>
      <c r="W25" s="4"/>
      <c r="X25" s="3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1"/>
      <c r="GI25" s="1"/>
      <c r="GJ25" s="1"/>
    </row>
    <row r="26" spans="1:193" ht="17.25" x14ac:dyDescent="0.25">
      <c r="A26" s="21">
        <v>7.6</v>
      </c>
      <c r="B26" s="22" t="s">
        <v>16</v>
      </c>
      <c r="C26" s="31">
        <v>10189</v>
      </c>
      <c r="D26" s="23">
        <v>11689</v>
      </c>
      <c r="E26" s="23">
        <v>14026</v>
      </c>
      <c r="F26" s="23">
        <v>15338</v>
      </c>
      <c r="G26" s="24">
        <v>17991</v>
      </c>
      <c r="H26" s="24">
        <v>18142</v>
      </c>
      <c r="I26" s="24">
        <v>20693</v>
      </c>
      <c r="J26" s="24">
        <v>40085</v>
      </c>
      <c r="K26" s="24">
        <v>36251</v>
      </c>
      <c r="L26" s="24">
        <v>38812</v>
      </c>
      <c r="M26" s="24">
        <v>31807</v>
      </c>
      <c r="N26" s="24">
        <v>32384</v>
      </c>
      <c r="O26" s="24">
        <v>35217</v>
      </c>
      <c r="P26" s="24">
        <v>38592</v>
      </c>
      <c r="Q26" s="4"/>
      <c r="R26" s="4"/>
      <c r="S26" s="4"/>
      <c r="T26" s="4"/>
      <c r="U26" s="3"/>
      <c r="V26" s="4"/>
      <c r="W26" s="4"/>
      <c r="X26" s="3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1"/>
      <c r="GI26" s="1"/>
      <c r="GJ26" s="1"/>
    </row>
    <row r="27" spans="1:193" ht="30" x14ac:dyDescent="0.25">
      <c r="A27" s="21">
        <v>7.7</v>
      </c>
      <c r="B27" s="22" t="s">
        <v>17</v>
      </c>
      <c r="C27" s="31">
        <v>170301</v>
      </c>
      <c r="D27" s="23">
        <v>202117</v>
      </c>
      <c r="E27" s="23">
        <v>253709</v>
      </c>
      <c r="F27" s="23">
        <v>299339</v>
      </c>
      <c r="G27" s="24">
        <v>349933</v>
      </c>
      <c r="H27" s="24">
        <v>336614</v>
      </c>
      <c r="I27" s="24">
        <v>329681</v>
      </c>
      <c r="J27" s="24">
        <v>369121</v>
      </c>
      <c r="K27" s="24">
        <v>424154</v>
      </c>
      <c r="L27" s="24">
        <v>478309</v>
      </c>
      <c r="M27" s="24">
        <v>572411</v>
      </c>
      <c r="N27" s="24">
        <v>662754</v>
      </c>
      <c r="O27" s="24">
        <v>716121</v>
      </c>
      <c r="P27" s="24">
        <v>811648</v>
      </c>
      <c r="Q27" s="4"/>
      <c r="R27" s="4"/>
      <c r="S27" s="4"/>
      <c r="T27" s="4"/>
      <c r="U27" s="3"/>
      <c r="V27" s="4"/>
      <c r="W27" s="4"/>
      <c r="X27" s="3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1"/>
      <c r="GI27" s="1"/>
      <c r="GJ27" s="1"/>
    </row>
    <row r="28" spans="1:193" ht="17.25" x14ac:dyDescent="0.25">
      <c r="A28" s="25" t="s">
        <v>37</v>
      </c>
      <c r="B28" s="22" t="s">
        <v>18</v>
      </c>
      <c r="C28" s="31">
        <v>537699</v>
      </c>
      <c r="D28" s="23">
        <v>609344</v>
      </c>
      <c r="E28" s="23">
        <v>680931</v>
      </c>
      <c r="F28" s="23">
        <v>719388</v>
      </c>
      <c r="G28" s="24">
        <v>833987</v>
      </c>
      <c r="H28" s="24">
        <v>745959</v>
      </c>
      <c r="I28" s="24">
        <v>859451</v>
      </c>
      <c r="J28" s="24">
        <v>869951</v>
      </c>
      <c r="K28" s="24">
        <v>992882</v>
      </c>
      <c r="L28" s="24">
        <v>1038998</v>
      </c>
      <c r="M28" s="24">
        <v>1098168</v>
      </c>
      <c r="N28" s="24">
        <v>1499534</v>
      </c>
      <c r="O28" s="24">
        <v>1728284</v>
      </c>
      <c r="P28" s="24">
        <v>1996786</v>
      </c>
      <c r="Q28" s="4"/>
      <c r="R28" s="4"/>
      <c r="S28" s="4"/>
      <c r="T28" s="4"/>
      <c r="U28" s="3"/>
      <c r="V28" s="4"/>
      <c r="W28" s="4"/>
      <c r="X28" s="3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1"/>
      <c r="GI28" s="1"/>
      <c r="GJ28" s="1"/>
    </row>
    <row r="29" spans="1:193" ht="30" x14ac:dyDescent="0.25">
      <c r="A29" s="25" t="s">
        <v>38</v>
      </c>
      <c r="B29" s="22" t="s">
        <v>19</v>
      </c>
      <c r="C29" s="31">
        <v>1755211</v>
      </c>
      <c r="D29" s="23">
        <v>1919630</v>
      </c>
      <c r="E29" s="23">
        <v>2227586</v>
      </c>
      <c r="F29" s="23">
        <v>2406208</v>
      </c>
      <c r="G29" s="24">
        <v>2506577</v>
      </c>
      <c r="H29" s="24">
        <v>2667389</v>
      </c>
      <c r="I29" s="24">
        <v>2815613</v>
      </c>
      <c r="J29" s="24">
        <v>2589911</v>
      </c>
      <c r="K29" s="24">
        <v>3131290</v>
      </c>
      <c r="L29" s="24">
        <v>3116592</v>
      </c>
      <c r="M29" s="24">
        <v>3374979</v>
      </c>
      <c r="N29" s="24">
        <v>3580846</v>
      </c>
      <c r="O29" s="24">
        <v>3875352</v>
      </c>
      <c r="P29" s="24">
        <v>4206979</v>
      </c>
      <c r="Q29" s="4"/>
      <c r="R29" s="4"/>
      <c r="S29" s="4"/>
      <c r="T29" s="4"/>
      <c r="U29" s="3"/>
      <c r="V29" s="4"/>
      <c r="W29" s="4"/>
      <c r="X29" s="3"/>
      <c r="Y29" s="5"/>
      <c r="Z29" s="5"/>
      <c r="AA29" s="5"/>
      <c r="AB29" s="5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1"/>
      <c r="GI29" s="1"/>
      <c r="GJ29" s="1"/>
    </row>
    <row r="30" spans="1:193" ht="17.25" x14ac:dyDescent="0.25">
      <c r="A30" s="25" t="s">
        <v>39</v>
      </c>
      <c r="B30" s="22" t="s">
        <v>54</v>
      </c>
      <c r="C30" s="31">
        <v>549383</v>
      </c>
      <c r="D30" s="23">
        <v>611344</v>
      </c>
      <c r="E30" s="23">
        <v>781483</v>
      </c>
      <c r="F30" s="23">
        <v>879675</v>
      </c>
      <c r="G30" s="24">
        <v>924507</v>
      </c>
      <c r="H30" s="24">
        <v>1018403</v>
      </c>
      <c r="I30" s="24">
        <v>1204495</v>
      </c>
      <c r="J30" s="24">
        <v>1317723</v>
      </c>
      <c r="K30" s="24">
        <v>1443985</v>
      </c>
      <c r="L30" s="24">
        <v>2297393</v>
      </c>
      <c r="M30" s="24">
        <v>2149476</v>
      </c>
      <c r="N30" s="24">
        <v>2464688</v>
      </c>
      <c r="O30" s="24">
        <v>2914264</v>
      </c>
      <c r="P30" s="24">
        <v>3321611</v>
      </c>
      <c r="Q30" s="4"/>
      <c r="R30" s="4"/>
      <c r="S30" s="4"/>
      <c r="T30" s="4"/>
      <c r="U30" s="3"/>
      <c r="V30" s="4"/>
      <c r="W30" s="4"/>
      <c r="X30" s="3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1"/>
      <c r="GI30" s="1"/>
      <c r="GJ30" s="1"/>
    </row>
    <row r="31" spans="1:193" ht="17.25" x14ac:dyDescent="0.25">
      <c r="A31" s="25" t="s">
        <v>40</v>
      </c>
      <c r="B31" s="22" t="s">
        <v>20</v>
      </c>
      <c r="C31" s="31">
        <v>781802</v>
      </c>
      <c r="D31" s="23">
        <v>875123</v>
      </c>
      <c r="E31" s="23">
        <v>914758</v>
      </c>
      <c r="F31" s="23">
        <v>1008461</v>
      </c>
      <c r="G31" s="24">
        <v>1161313</v>
      </c>
      <c r="H31" s="24">
        <v>1339933</v>
      </c>
      <c r="I31" s="24">
        <v>1512442</v>
      </c>
      <c r="J31" s="24">
        <v>2045754</v>
      </c>
      <c r="K31" s="24">
        <v>2577928</v>
      </c>
      <c r="L31" s="24">
        <v>2059544</v>
      </c>
      <c r="M31" s="24">
        <v>2578258</v>
      </c>
      <c r="N31" s="24">
        <v>2968537</v>
      </c>
      <c r="O31" s="24">
        <v>3289494</v>
      </c>
      <c r="P31" s="24">
        <v>3771126</v>
      </c>
      <c r="Q31" s="4"/>
      <c r="R31" s="4"/>
      <c r="S31" s="4"/>
      <c r="T31" s="4"/>
      <c r="U31" s="3"/>
      <c r="V31" s="4"/>
      <c r="W31" s="4"/>
      <c r="X31" s="3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1"/>
      <c r="GI31" s="1"/>
      <c r="GJ31" s="1"/>
    </row>
    <row r="32" spans="1:193" s="11" customFormat="1" ht="15.75" x14ac:dyDescent="0.25">
      <c r="A32" s="26"/>
      <c r="B32" s="27" t="s">
        <v>30</v>
      </c>
      <c r="C32" s="28">
        <f>C17+C20+C28+C29+C30+C31</f>
        <v>5140420</v>
      </c>
      <c r="D32" s="28">
        <f t="shared" ref="D32:K32" si="12">D17+D20+D28+D29+D30+D31</f>
        <v>5800032</v>
      </c>
      <c r="E32" s="28">
        <f t="shared" si="12"/>
        <v>6676857</v>
      </c>
      <c r="F32" s="28">
        <f t="shared" si="12"/>
        <v>7270475</v>
      </c>
      <c r="G32" s="28">
        <f t="shared" si="12"/>
        <v>7834753</v>
      </c>
      <c r="H32" s="28">
        <f t="shared" si="12"/>
        <v>8739937</v>
      </c>
      <c r="I32" s="28">
        <f t="shared" si="12"/>
        <v>9376499</v>
      </c>
      <c r="J32" s="28">
        <f t="shared" si="12"/>
        <v>10286662</v>
      </c>
      <c r="K32" s="28">
        <f t="shared" si="12"/>
        <v>11861792</v>
      </c>
      <c r="L32" s="28">
        <f t="shared" ref="L32" si="13">L17+L20+L28+L29+L30+L31</f>
        <v>11681386</v>
      </c>
      <c r="M32" s="28">
        <f t="shared" ref="M32:N32" si="14">M17+M20+M28+M29+M30+M31</f>
        <v>13151273</v>
      </c>
      <c r="N32" s="28">
        <f t="shared" si="14"/>
        <v>15086369</v>
      </c>
      <c r="O32" s="28">
        <f t="shared" ref="O32:P32" si="15">O17+O20+O28+O29+O30+O31</f>
        <v>17133534</v>
      </c>
      <c r="P32" s="28">
        <f t="shared" si="15"/>
        <v>19434560</v>
      </c>
      <c r="Q32" s="4"/>
      <c r="R32" s="4"/>
      <c r="S32" s="4"/>
      <c r="T32" s="4"/>
      <c r="U32" s="3"/>
      <c r="V32" s="4"/>
      <c r="W32" s="4"/>
      <c r="X32" s="3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12"/>
      <c r="GH32" s="10"/>
      <c r="GI32" s="10"/>
      <c r="GJ32" s="10"/>
    </row>
    <row r="33" spans="1:193" s="10" customFormat="1" ht="15.75" x14ac:dyDescent="0.25">
      <c r="A33" s="17" t="s">
        <v>27</v>
      </c>
      <c r="B33" s="36" t="s">
        <v>41</v>
      </c>
      <c r="C33" s="19">
        <f t="shared" ref="C33" si="16">C6+C11+C13+C14+C15+C17+C20+C28+C29+C30+C31</f>
        <v>14842982.094574941</v>
      </c>
      <c r="D33" s="19">
        <f t="shared" ref="D33:K33" si="17">D6+D11+D13+D14+D15+D17+D20+D28+D29+D30+D31</f>
        <v>16613332.912815902</v>
      </c>
      <c r="E33" s="19">
        <f t="shared" si="17"/>
        <v>19542711</v>
      </c>
      <c r="F33" s="19">
        <f t="shared" si="17"/>
        <v>20906764</v>
      </c>
      <c r="G33" s="19">
        <f t="shared" si="17"/>
        <v>21371205</v>
      </c>
      <c r="H33" s="19">
        <f t="shared" si="17"/>
        <v>24154594</v>
      </c>
      <c r="I33" s="19">
        <f t="shared" si="17"/>
        <v>25973833</v>
      </c>
      <c r="J33" s="19">
        <f t="shared" si="17"/>
        <v>30110605</v>
      </c>
      <c r="K33" s="19">
        <f t="shared" si="17"/>
        <v>32497528</v>
      </c>
      <c r="L33" s="19">
        <f t="shared" ref="L33" si="18">L6+L11+L13+L14+L15+L17+L20+L28+L29+L30+L31</f>
        <v>33603012</v>
      </c>
      <c r="M33" s="19">
        <f t="shared" ref="M33:N33" si="19">M6+M11+M13+M14+M15+M17+M20+M28+M29+M30+M31</f>
        <v>39072550</v>
      </c>
      <c r="N33" s="19">
        <f t="shared" si="19"/>
        <v>43369508</v>
      </c>
      <c r="O33" s="19">
        <f t="shared" ref="O33:P33" si="20">O6+O11+O13+O14+O15+O17+O20+O28+O29+O30+O31</f>
        <v>48159927</v>
      </c>
      <c r="P33" s="19">
        <f t="shared" si="20"/>
        <v>53325523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9"/>
      <c r="FU33" s="9"/>
      <c r="FV33" s="9"/>
      <c r="FW33" s="9"/>
      <c r="FX33" s="9"/>
      <c r="FY33" s="9"/>
      <c r="FZ33" s="9"/>
      <c r="GA33" s="9"/>
      <c r="GB33" s="9"/>
      <c r="GC33" s="9"/>
      <c r="GD33" s="9"/>
      <c r="GE33" s="9"/>
      <c r="GF33" s="9"/>
      <c r="GG33" s="9"/>
      <c r="GK33" s="11"/>
    </row>
    <row r="34" spans="1:193" ht="17.25" x14ac:dyDescent="0.25">
      <c r="A34" s="37" t="s">
        <v>43</v>
      </c>
      <c r="B34" s="38" t="s">
        <v>25</v>
      </c>
      <c r="C34" s="39">
        <v>964400</v>
      </c>
      <c r="D34" s="39">
        <v>1137800</v>
      </c>
      <c r="E34" s="31">
        <v>1140607</v>
      </c>
      <c r="F34" s="31">
        <v>1205047</v>
      </c>
      <c r="G34" s="24">
        <v>1145094</v>
      </c>
      <c r="H34" s="24">
        <v>2125581</v>
      </c>
      <c r="I34" s="24">
        <v>2299911</v>
      </c>
      <c r="J34" s="24">
        <v>2600061</v>
      </c>
      <c r="K34" s="24">
        <v>1969676</v>
      </c>
      <c r="L34" s="24">
        <v>1629739</v>
      </c>
      <c r="M34" s="24">
        <v>2088785</v>
      </c>
      <c r="N34" s="24">
        <v>2519624</v>
      </c>
      <c r="O34" s="24">
        <v>3050822</v>
      </c>
      <c r="P34" s="24">
        <v>3462520</v>
      </c>
      <c r="Q34" s="4"/>
      <c r="R34" s="4"/>
      <c r="S34" s="4"/>
      <c r="T34" s="4"/>
      <c r="U34" s="3"/>
      <c r="V34" s="4"/>
      <c r="W34" s="4"/>
      <c r="X34" s="3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</row>
    <row r="35" spans="1:193" ht="17.25" x14ac:dyDescent="0.25">
      <c r="A35" s="37" t="s">
        <v>44</v>
      </c>
      <c r="B35" s="38" t="s">
        <v>24</v>
      </c>
      <c r="C35" s="39"/>
      <c r="D35" s="39"/>
      <c r="E35" s="31"/>
      <c r="F35" s="31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4"/>
      <c r="R35" s="4"/>
      <c r="S35" s="4"/>
      <c r="T35" s="4"/>
      <c r="U35" s="3"/>
      <c r="V35" s="4"/>
      <c r="W35" s="4"/>
      <c r="X35" s="3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</row>
    <row r="36" spans="1:193" s="11" customFormat="1" ht="15.75" x14ac:dyDescent="0.25">
      <c r="A36" s="40" t="s">
        <v>45</v>
      </c>
      <c r="B36" s="41" t="s">
        <v>55</v>
      </c>
      <c r="C36" s="28">
        <f>C33+C34-C35</f>
        <v>15807382.094574941</v>
      </c>
      <c r="D36" s="28">
        <f>D33+D34-D35</f>
        <v>17751132.912815902</v>
      </c>
      <c r="E36" s="28">
        <f>E33+E34-E35</f>
        <v>20683318</v>
      </c>
      <c r="F36" s="28">
        <f>F33+F34-F35</f>
        <v>22111811</v>
      </c>
      <c r="G36" s="28">
        <f t="shared" ref="G36:P36" si="21">G33+G34-G35</f>
        <v>22516299</v>
      </c>
      <c r="H36" s="28">
        <f t="shared" si="21"/>
        <v>26280175</v>
      </c>
      <c r="I36" s="28">
        <f t="shared" si="21"/>
        <v>28273744</v>
      </c>
      <c r="J36" s="28">
        <f t="shared" si="21"/>
        <v>32710666</v>
      </c>
      <c r="K36" s="28">
        <f t="shared" si="21"/>
        <v>34467204</v>
      </c>
      <c r="L36" s="28">
        <f t="shared" si="21"/>
        <v>35232751</v>
      </c>
      <c r="M36" s="28">
        <f t="shared" si="21"/>
        <v>41161335</v>
      </c>
      <c r="N36" s="28">
        <f t="shared" si="21"/>
        <v>45889132</v>
      </c>
      <c r="O36" s="28">
        <f t="shared" si="21"/>
        <v>51210749</v>
      </c>
      <c r="P36" s="28">
        <f t="shared" si="21"/>
        <v>56788043</v>
      </c>
      <c r="Q36" s="4"/>
      <c r="R36" s="4"/>
      <c r="S36" s="4"/>
      <c r="T36" s="4"/>
      <c r="U36" s="3"/>
      <c r="V36" s="4"/>
      <c r="W36" s="4"/>
      <c r="X36" s="3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  <c r="GF36" s="12"/>
    </row>
    <row r="37" spans="1:193" ht="15.75" x14ac:dyDescent="0.25">
      <c r="A37" s="37" t="s">
        <v>46</v>
      </c>
      <c r="B37" s="38" t="s">
        <v>42</v>
      </c>
      <c r="C37" s="42">
        <v>257850</v>
      </c>
      <c r="D37" s="42">
        <v>262010</v>
      </c>
      <c r="E37" s="42">
        <v>266240</v>
      </c>
      <c r="F37" s="42">
        <v>270530</v>
      </c>
      <c r="G37" s="15">
        <v>274900</v>
      </c>
      <c r="H37" s="15">
        <v>279330</v>
      </c>
      <c r="I37" s="15">
        <v>283840</v>
      </c>
      <c r="J37" s="15">
        <v>288420</v>
      </c>
      <c r="K37" s="15">
        <v>289480</v>
      </c>
      <c r="L37" s="15">
        <v>293330</v>
      </c>
      <c r="M37" s="15">
        <v>296930</v>
      </c>
      <c r="N37" s="15">
        <v>300370</v>
      </c>
      <c r="O37" s="15">
        <v>303800</v>
      </c>
      <c r="P37" s="15">
        <v>307240</v>
      </c>
      <c r="Y37" s="1"/>
      <c r="Z37" s="1"/>
      <c r="AA37" s="1"/>
      <c r="AB37" s="1"/>
    </row>
    <row r="38" spans="1:193" s="11" customFormat="1" ht="17.25" x14ac:dyDescent="0.25">
      <c r="A38" s="40" t="s">
        <v>47</v>
      </c>
      <c r="B38" s="41" t="s">
        <v>58</v>
      </c>
      <c r="C38" s="28">
        <f>C36/C37*1000</f>
        <v>61304.565036164204</v>
      </c>
      <c r="D38" s="28">
        <f>D36/D37*1000</f>
        <v>67749.829826403206</v>
      </c>
      <c r="E38" s="28">
        <f>E36/E37*1000</f>
        <v>77686.741286057702</v>
      </c>
      <c r="F38" s="28">
        <f>F36/F37*1000</f>
        <v>81735.153217757746</v>
      </c>
      <c r="G38" s="20">
        <f t="shared" ref="G38:P38" si="22">G36/G37*1000</f>
        <v>81907.2353583121</v>
      </c>
      <c r="H38" s="20">
        <f t="shared" si="22"/>
        <v>94082.894783947297</v>
      </c>
      <c r="I38" s="20">
        <f>I36/I37*1000</f>
        <v>99611.555806087941</v>
      </c>
      <c r="J38" s="20">
        <f t="shared" si="22"/>
        <v>113413.30698287219</v>
      </c>
      <c r="K38" s="20">
        <f t="shared" si="22"/>
        <v>119065.92510708858</v>
      </c>
      <c r="L38" s="20">
        <f t="shared" si="22"/>
        <v>120113.01605700066</v>
      </c>
      <c r="M38" s="20">
        <f t="shared" si="22"/>
        <v>138623.02562893613</v>
      </c>
      <c r="N38" s="20">
        <f t="shared" si="22"/>
        <v>152775.35040117189</v>
      </c>
      <c r="O38" s="20">
        <f t="shared" si="22"/>
        <v>168567.31073074392</v>
      </c>
      <c r="P38" s="20">
        <f t="shared" si="22"/>
        <v>184832.84403072516</v>
      </c>
      <c r="Q38" s="2"/>
      <c r="R38" s="2"/>
      <c r="S38" s="2"/>
      <c r="T38" s="2"/>
      <c r="U38" s="1"/>
      <c r="V38" s="2"/>
      <c r="W38" s="2"/>
      <c r="X38" s="3"/>
      <c r="Y38" s="3"/>
      <c r="Z38" s="3"/>
      <c r="AA38" s="3"/>
      <c r="AB38" s="3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CC38" s="12"/>
      <c r="CD38" s="12"/>
      <c r="CE38" s="12"/>
      <c r="CF38" s="12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</row>
    <row r="39" spans="1:193" x14ac:dyDescent="0.25">
      <c r="A39" s="2" t="s">
        <v>75</v>
      </c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8" max="1048575" man="1"/>
    <brk id="40" max="1048575" man="1"/>
    <brk id="56" max="1048575" man="1"/>
    <brk id="120" max="95" man="1"/>
    <brk id="156" max="1048575" man="1"/>
    <brk id="180" max="1048575" man="1"/>
    <brk id="188" max="95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S39"/>
  <sheetViews>
    <sheetView zoomScale="87" zoomScaleNormal="87" zoomScaleSheetLayoutView="100" workbookViewId="0">
      <pane xSplit="2" ySplit="5" topLeftCell="C6" activePane="bottomRight" state="frozen"/>
      <selection activeCell="S25" sqref="S25"/>
      <selection pane="topRight" activeCell="S25" sqref="S25"/>
      <selection pane="bottomLeft" activeCell="S25" sqref="S25"/>
      <selection pane="bottomRight" activeCell="S25" sqref="S25"/>
    </sheetView>
  </sheetViews>
  <sheetFormatPr defaultColWidth="8.85546875" defaultRowHeight="15" x14ac:dyDescent="0.25"/>
  <cols>
    <col min="1" max="1" width="11" style="2" customWidth="1"/>
    <col min="2" max="2" width="36.140625" style="2" customWidth="1"/>
    <col min="3" max="6" width="11.140625" style="2" customWidth="1"/>
    <col min="7" max="16" width="11.85546875" style="1" customWidth="1"/>
    <col min="17" max="17" width="11.7109375" style="1" customWidth="1"/>
    <col min="18" max="18" width="9.140625" style="2" customWidth="1"/>
    <col min="19" max="19" width="10.85546875" style="2" customWidth="1"/>
    <col min="20" max="20" width="10.85546875" style="1" customWidth="1"/>
    <col min="21" max="21" width="11" style="2" customWidth="1"/>
    <col min="22" max="24" width="11.42578125" style="2" customWidth="1"/>
    <col min="25" max="52" width="9.140625" style="2" customWidth="1"/>
    <col min="53" max="53" width="12.42578125" style="2" customWidth="1"/>
    <col min="54" max="75" width="9.140625" style="2" customWidth="1"/>
    <col min="76" max="76" width="12.140625" style="2" customWidth="1"/>
    <col min="77" max="80" width="9.140625" style="2" customWidth="1"/>
    <col min="81" max="85" width="9.140625" style="2" hidden="1" customWidth="1"/>
    <col min="86" max="86" width="9.140625" style="2" customWidth="1"/>
    <col min="87" max="91" width="9.140625" style="2" hidden="1" customWidth="1"/>
    <col min="92" max="92" width="9.140625" style="2" customWidth="1"/>
    <col min="93" max="97" width="9.140625" style="2" hidden="1" customWidth="1"/>
    <col min="98" max="98" width="9.140625" style="2" customWidth="1"/>
    <col min="99" max="103" width="9.140625" style="2" hidden="1" customWidth="1"/>
    <col min="104" max="104" width="9.140625" style="2" customWidth="1"/>
    <col min="105" max="109" width="9.140625" style="2" hidden="1" customWidth="1"/>
    <col min="110" max="110" width="9.140625" style="1" customWidth="1"/>
    <col min="111" max="115" width="9.140625" style="1" hidden="1" customWidth="1"/>
    <col min="116" max="116" width="9.140625" style="1" customWidth="1"/>
    <col min="117" max="121" width="9.140625" style="1" hidden="1" customWidth="1"/>
    <col min="122" max="122" width="9.140625" style="1" customWidth="1"/>
    <col min="123" max="127" width="9.140625" style="1" hidden="1" customWidth="1"/>
    <col min="128" max="128" width="9.140625" style="1" customWidth="1"/>
    <col min="129" max="158" width="9.140625" style="2" customWidth="1"/>
    <col min="159" max="159" width="9.140625" style="2" hidden="1" customWidth="1"/>
    <col min="160" max="167" width="9.140625" style="2" customWidth="1"/>
    <col min="168" max="168" width="9.140625" style="2" hidden="1" customWidth="1"/>
    <col min="169" max="173" width="9.140625" style="2" customWidth="1"/>
    <col min="174" max="174" width="9.140625" style="2" hidden="1" customWidth="1"/>
    <col min="175" max="184" width="9.140625" style="2" customWidth="1"/>
    <col min="185" max="185" width="9.140625" style="2"/>
    <col min="186" max="188" width="8.85546875" style="2"/>
    <col min="189" max="189" width="12.7109375" style="2" bestFit="1" customWidth="1"/>
    <col min="190" max="16384" width="8.85546875" style="2"/>
  </cols>
  <sheetData>
    <row r="1" spans="1:189" ht="18.75" x14ac:dyDescent="0.3">
      <c r="A1" s="2" t="s">
        <v>53</v>
      </c>
      <c r="B1" s="6" t="s">
        <v>66</v>
      </c>
      <c r="S1" s="3"/>
    </row>
    <row r="2" spans="1:189" ht="15.75" x14ac:dyDescent="0.25">
      <c r="A2" s="7" t="s">
        <v>49</v>
      </c>
      <c r="I2" s="1" t="str">
        <f>[1]GSVA_cur!$I$3</f>
        <v>01.08.2025</v>
      </c>
    </row>
    <row r="3" spans="1:189" ht="15.75" x14ac:dyDescent="0.25">
      <c r="A3" s="7"/>
    </row>
    <row r="4" spans="1:189" ht="15.75" x14ac:dyDescent="0.25">
      <c r="A4" s="7"/>
      <c r="E4" s="8"/>
      <c r="F4" s="8" t="s">
        <v>57</v>
      </c>
    </row>
    <row r="5" spans="1:189" ht="15.75" x14ac:dyDescent="0.25">
      <c r="A5" s="13" t="s">
        <v>0</v>
      </c>
      <c r="B5" s="14" t="s">
        <v>1</v>
      </c>
      <c r="C5" s="15" t="s">
        <v>21</v>
      </c>
      <c r="D5" s="15" t="s">
        <v>22</v>
      </c>
      <c r="E5" s="15" t="s">
        <v>23</v>
      </c>
      <c r="F5" s="15" t="s">
        <v>56</v>
      </c>
      <c r="G5" s="16" t="s">
        <v>65</v>
      </c>
      <c r="H5" s="16" t="s">
        <v>67</v>
      </c>
      <c r="I5" s="16" t="s">
        <v>68</v>
      </c>
      <c r="J5" s="16" t="s">
        <v>69</v>
      </c>
      <c r="K5" s="16" t="s">
        <v>70</v>
      </c>
      <c r="L5" s="16" t="s">
        <v>71</v>
      </c>
      <c r="M5" s="16" t="s">
        <v>72</v>
      </c>
      <c r="N5" s="16" t="s">
        <v>73</v>
      </c>
      <c r="O5" s="16" t="s">
        <v>74</v>
      </c>
      <c r="P5" s="16" t="s">
        <v>76</v>
      </c>
    </row>
    <row r="6" spans="1:189" s="10" customFormat="1" ht="15.75" x14ac:dyDescent="0.25">
      <c r="A6" s="17" t="s">
        <v>26</v>
      </c>
      <c r="B6" s="18" t="s">
        <v>2</v>
      </c>
      <c r="C6" s="19">
        <f>SUM(C7:C10)</f>
        <v>2685950</v>
      </c>
      <c r="D6" s="19">
        <f>SUM(D7:D10)</f>
        <v>2850359.869750076</v>
      </c>
      <c r="E6" s="19">
        <f>SUM(E7:E10)</f>
        <v>2927578.3376950053</v>
      </c>
      <c r="F6" s="19">
        <f>SUM(F7:F10)</f>
        <v>3121630</v>
      </c>
      <c r="G6" s="43">
        <f t="shared" ref="G6:P6" si="0">SUM(G7:G10)</f>
        <v>3092063</v>
      </c>
      <c r="H6" s="43">
        <f t="shared" si="0"/>
        <v>3750127</v>
      </c>
      <c r="I6" s="43">
        <f t="shared" si="0"/>
        <v>3341450</v>
      </c>
      <c r="J6" s="43">
        <f t="shared" si="0"/>
        <v>3792163</v>
      </c>
      <c r="K6" s="43">
        <f t="shared" si="0"/>
        <v>3990204</v>
      </c>
      <c r="L6" s="43">
        <f t="shared" si="0"/>
        <v>4180687</v>
      </c>
      <c r="M6" s="43">
        <f t="shared" si="0"/>
        <v>4369216</v>
      </c>
      <c r="N6" s="43">
        <f t="shared" si="0"/>
        <v>4754832</v>
      </c>
      <c r="O6" s="43">
        <f t="shared" si="0"/>
        <v>4898742</v>
      </c>
      <c r="P6" s="43">
        <f t="shared" si="0"/>
        <v>5162082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G6" s="11"/>
    </row>
    <row r="7" spans="1:189" ht="15.75" x14ac:dyDescent="0.25">
      <c r="A7" s="21">
        <v>1.1000000000000001</v>
      </c>
      <c r="B7" s="22" t="s">
        <v>59</v>
      </c>
      <c r="C7" s="51">
        <v>1798258</v>
      </c>
      <c r="D7" s="51">
        <v>1923736</v>
      </c>
      <c r="E7" s="51">
        <v>1982691</v>
      </c>
      <c r="F7" s="51">
        <v>2045885</v>
      </c>
      <c r="G7" s="51">
        <v>1978955</v>
      </c>
      <c r="H7" s="51">
        <v>2454184</v>
      </c>
      <c r="I7" s="52">
        <v>1994483</v>
      </c>
      <c r="J7" s="51">
        <v>2279945</v>
      </c>
      <c r="K7" s="51">
        <v>2323058</v>
      </c>
      <c r="L7" s="51">
        <v>2421613</v>
      </c>
      <c r="M7" s="51">
        <v>2545727</v>
      </c>
      <c r="N7" s="51">
        <v>2803330</v>
      </c>
      <c r="O7" s="51">
        <v>2850656</v>
      </c>
      <c r="P7" s="51">
        <v>2972460</v>
      </c>
      <c r="Q7" s="3"/>
      <c r="R7" s="4"/>
      <c r="S7" s="4"/>
      <c r="T7" s="3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1"/>
      <c r="GE7" s="1"/>
      <c r="GF7" s="1"/>
    </row>
    <row r="8" spans="1:189" ht="15.75" x14ac:dyDescent="0.25">
      <c r="A8" s="21">
        <v>1.2</v>
      </c>
      <c r="B8" s="22" t="s">
        <v>60</v>
      </c>
      <c r="C8" s="51">
        <v>226704</v>
      </c>
      <c r="D8" s="51">
        <v>237979</v>
      </c>
      <c r="E8" s="51">
        <v>249536</v>
      </c>
      <c r="F8" s="51">
        <v>245276</v>
      </c>
      <c r="G8" s="51">
        <v>253157</v>
      </c>
      <c r="H8" s="51">
        <v>284250</v>
      </c>
      <c r="I8" s="51">
        <v>313268</v>
      </c>
      <c r="J8" s="51">
        <v>380986</v>
      </c>
      <c r="K8" s="51">
        <v>415694</v>
      </c>
      <c r="L8" s="51">
        <v>416338</v>
      </c>
      <c r="M8" s="51">
        <v>443221</v>
      </c>
      <c r="N8" s="51">
        <v>483008</v>
      </c>
      <c r="O8" s="51">
        <v>492928</v>
      </c>
      <c r="P8" s="51">
        <v>542332</v>
      </c>
      <c r="Q8" s="3"/>
      <c r="R8" s="4"/>
      <c r="S8" s="4"/>
      <c r="T8" s="3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1"/>
      <c r="GE8" s="1"/>
      <c r="GF8" s="1"/>
    </row>
    <row r="9" spans="1:189" ht="15.75" x14ac:dyDescent="0.25">
      <c r="A9" s="21">
        <v>1.3</v>
      </c>
      <c r="B9" s="22" t="s">
        <v>61</v>
      </c>
      <c r="C9" s="51">
        <v>426205</v>
      </c>
      <c r="D9" s="51">
        <v>449230</v>
      </c>
      <c r="E9" s="51">
        <v>428448</v>
      </c>
      <c r="F9" s="51">
        <v>536211</v>
      </c>
      <c r="G9" s="51">
        <v>539469</v>
      </c>
      <c r="H9" s="51">
        <v>658802</v>
      </c>
      <c r="I9" s="51">
        <v>605499</v>
      </c>
      <c r="J9" s="51">
        <v>673573</v>
      </c>
      <c r="K9" s="51">
        <v>747645</v>
      </c>
      <c r="L9" s="51">
        <v>801927</v>
      </c>
      <c r="M9" s="51">
        <v>826433</v>
      </c>
      <c r="N9" s="51">
        <v>857859</v>
      </c>
      <c r="O9" s="51">
        <v>871183</v>
      </c>
      <c r="P9" s="51">
        <v>905725</v>
      </c>
      <c r="Q9" s="3"/>
      <c r="R9" s="4"/>
      <c r="S9" s="4"/>
      <c r="T9" s="3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1"/>
      <c r="GE9" s="1"/>
      <c r="GF9" s="1"/>
    </row>
    <row r="10" spans="1:189" ht="15.75" x14ac:dyDescent="0.25">
      <c r="A10" s="21">
        <v>1.4</v>
      </c>
      <c r="B10" s="22" t="s">
        <v>62</v>
      </c>
      <c r="C10" s="51">
        <v>234783</v>
      </c>
      <c r="D10" s="51">
        <v>239414.86975007606</v>
      </c>
      <c r="E10" s="51">
        <v>266903.33769500541</v>
      </c>
      <c r="F10" s="51">
        <v>294258</v>
      </c>
      <c r="G10" s="51">
        <v>320482</v>
      </c>
      <c r="H10" s="51">
        <v>352891</v>
      </c>
      <c r="I10" s="51">
        <v>428200</v>
      </c>
      <c r="J10" s="51">
        <v>457659</v>
      </c>
      <c r="K10" s="51">
        <v>503807</v>
      </c>
      <c r="L10" s="51">
        <v>540809</v>
      </c>
      <c r="M10" s="51">
        <v>553835</v>
      </c>
      <c r="N10" s="51">
        <v>610635</v>
      </c>
      <c r="O10" s="51">
        <v>683975</v>
      </c>
      <c r="P10" s="51">
        <v>741565</v>
      </c>
      <c r="Q10" s="3"/>
      <c r="R10" s="4"/>
      <c r="S10" s="4"/>
      <c r="T10" s="3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1"/>
      <c r="GE10" s="1"/>
      <c r="GF10" s="1"/>
    </row>
    <row r="11" spans="1:189" ht="15.75" x14ac:dyDescent="0.25">
      <c r="A11" s="25" t="s">
        <v>31</v>
      </c>
      <c r="B11" s="22" t="s">
        <v>3</v>
      </c>
      <c r="C11" s="23">
        <v>1970259</v>
      </c>
      <c r="D11" s="23">
        <v>1923176.3092080317</v>
      </c>
      <c r="E11" s="23">
        <v>2072375</v>
      </c>
      <c r="F11" s="23">
        <v>2109607</v>
      </c>
      <c r="G11" s="47">
        <v>2008586</v>
      </c>
      <c r="H11" s="47">
        <v>2200011</v>
      </c>
      <c r="I11" s="47">
        <v>2349865</v>
      </c>
      <c r="J11" s="47">
        <v>2536999</v>
      </c>
      <c r="K11" s="47">
        <v>2481577</v>
      </c>
      <c r="L11" s="47">
        <v>2550559</v>
      </c>
      <c r="M11" s="47">
        <v>2656946</v>
      </c>
      <c r="N11" s="47">
        <v>2926273</v>
      </c>
      <c r="O11" s="47">
        <v>3225572</v>
      </c>
      <c r="P11" s="47">
        <v>3429576</v>
      </c>
      <c r="Q11" s="3"/>
      <c r="R11" s="4"/>
      <c r="S11" s="4"/>
      <c r="T11" s="3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1"/>
      <c r="GE11" s="1"/>
      <c r="GF11" s="1"/>
    </row>
    <row r="12" spans="1:189" s="11" customFormat="1" ht="15.75" x14ac:dyDescent="0.25">
      <c r="A12" s="26"/>
      <c r="B12" s="27" t="s">
        <v>28</v>
      </c>
      <c r="C12" s="28">
        <f>C6+C11</f>
        <v>4656209</v>
      </c>
      <c r="D12" s="28">
        <f>D6+D11</f>
        <v>4773536.1789581077</v>
      </c>
      <c r="E12" s="28">
        <f>E6+E11</f>
        <v>4999953.3376950053</v>
      </c>
      <c r="F12" s="28">
        <f>F6+F11</f>
        <v>5231237</v>
      </c>
      <c r="G12" s="45">
        <f t="shared" ref="G12:P12" si="1">G6+G11</f>
        <v>5100649</v>
      </c>
      <c r="H12" s="45">
        <f t="shared" si="1"/>
        <v>5950138</v>
      </c>
      <c r="I12" s="45">
        <f t="shared" si="1"/>
        <v>5691315</v>
      </c>
      <c r="J12" s="45">
        <f t="shared" si="1"/>
        <v>6329162</v>
      </c>
      <c r="K12" s="45">
        <f t="shared" si="1"/>
        <v>6471781</v>
      </c>
      <c r="L12" s="45">
        <f t="shared" si="1"/>
        <v>6731246</v>
      </c>
      <c r="M12" s="45">
        <f t="shared" si="1"/>
        <v>7026162</v>
      </c>
      <c r="N12" s="45">
        <f t="shared" si="1"/>
        <v>7681105</v>
      </c>
      <c r="O12" s="45">
        <f t="shared" si="1"/>
        <v>8124314</v>
      </c>
      <c r="P12" s="45">
        <f t="shared" si="1"/>
        <v>8591658</v>
      </c>
      <c r="Q12" s="3"/>
      <c r="R12" s="4"/>
      <c r="S12" s="4"/>
      <c r="T12" s="3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0"/>
      <c r="GE12" s="10"/>
      <c r="GF12" s="10"/>
    </row>
    <row r="13" spans="1:189" s="1" customFormat="1" ht="15.75" x14ac:dyDescent="0.25">
      <c r="A13" s="29" t="s">
        <v>32</v>
      </c>
      <c r="B13" s="30" t="s">
        <v>4</v>
      </c>
      <c r="C13" s="23">
        <v>2435032</v>
      </c>
      <c r="D13" s="23">
        <v>2660178.6297598686</v>
      </c>
      <c r="E13" s="23">
        <v>3588922</v>
      </c>
      <c r="F13" s="23">
        <v>3313429</v>
      </c>
      <c r="G13" s="46">
        <v>3402519</v>
      </c>
      <c r="H13" s="46">
        <v>3168509</v>
      </c>
      <c r="I13" s="46">
        <v>3504001</v>
      </c>
      <c r="J13" s="46">
        <v>4456271</v>
      </c>
      <c r="K13" s="46">
        <v>4532028</v>
      </c>
      <c r="L13" s="46">
        <v>4814504</v>
      </c>
      <c r="M13" s="46">
        <v>5364130</v>
      </c>
      <c r="N13" s="46">
        <v>5179535</v>
      </c>
      <c r="O13" s="46">
        <v>5249859</v>
      </c>
      <c r="P13" s="46">
        <v>5571396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G13" s="2"/>
    </row>
    <row r="14" spans="1:189" ht="30" x14ac:dyDescent="0.25">
      <c r="A14" s="25" t="s">
        <v>33</v>
      </c>
      <c r="B14" s="22" t="s">
        <v>5</v>
      </c>
      <c r="C14" s="23">
        <v>709991</v>
      </c>
      <c r="D14" s="23">
        <v>955984</v>
      </c>
      <c r="E14" s="23">
        <v>1047311</v>
      </c>
      <c r="F14" s="23">
        <v>1150570</v>
      </c>
      <c r="G14" s="47">
        <v>1446947</v>
      </c>
      <c r="H14" s="47">
        <v>1696875</v>
      </c>
      <c r="I14" s="47">
        <v>1902591</v>
      </c>
      <c r="J14" s="47">
        <v>2046201</v>
      </c>
      <c r="K14" s="47">
        <v>2263773</v>
      </c>
      <c r="L14" s="47">
        <v>2464169</v>
      </c>
      <c r="M14" s="47">
        <v>2715879</v>
      </c>
      <c r="N14" s="47">
        <v>2891918</v>
      </c>
      <c r="O14" s="47">
        <v>3013307</v>
      </c>
      <c r="P14" s="47">
        <v>3300116</v>
      </c>
      <c r="Q14" s="3"/>
      <c r="R14" s="4"/>
      <c r="S14" s="4"/>
      <c r="T14" s="3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3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3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3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1"/>
      <c r="GE14" s="1"/>
      <c r="GF14" s="1"/>
    </row>
    <row r="15" spans="1:189" ht="15.75" x14ac:dyDescent="0.25">
      <c r="A15" s="25" t="s">
        <v>34</v>
      </c>
      <c r="B15" s="22" t="s">
        <v>6</v>
      </c>
      <c r="C15" s="23">
        <v>1901330</v>
      </c>
      <c r="D15" s="23">
        <v>1787105.592489541</v>
      </c>
      <c r="E15" s="23">
        <v>1760222</v>
      </c>
      <c r="F15" s="23">
        <v>1763809</v>
      </c>
      <c r="G15" s="47">
        <v>1641223</v>
      </c>
      <c r="H15" s="47">
        <v>1874831</v>
      </c>
      <c r="I15" s="47">
        <v>2015930</v>
      </c>
      <c r="J15" s="47">
        <v>2324970</v>
      </c>
      <c r="K15" s="47">
        <v>2345434</v>
      </c>
      <c r="L15" s="47">
        <v>2231731</v>
      </c>
      <c r="M15" s="47">
        <v>1969585</v>
      </c>
      <c r="N15" s="47">
        <v>2128481</v>
      </c>
      <c r="O15" s="47">
        <v>2276164</v>
      </c>
      <c r="P15" s="47">
        <v>2416079</v>
      </c>
      <c r="Q15" s="3"/>
      <c r="R15" s="4"/>
      <c r="S15" s="4"/>
      <c r="T15" s="3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3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3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3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1"/>
      <c r="GE15" s="1"/>
      <c r="GF15" s="1"/>
    </row>
    <row r="16" spans="1:189" s="11" customFormat="1" ht="15.75" x14ac:dyDescent="0.25">
      <c r="A16" s="26"/>
      <c r="B16" s="27" t="s">
        <v>29</v>
      </c>
      <c r="C16" s="28">
        <f>+C13+C14+C15</f>
        <v>5046353</v>
      </c>
      <c r="D16" s="28">
        <f>+D13+D14+D15</f>
        <v>5403268.2222494092</v>
      </c>
      <c r="E16" s="28">
        <f>+E13+E14+E15</f>
        <v>6396455</v>
      </c>
      <c r="F16" s="28">
        <f>+F13+F14+F15</f>
        <v>6227808</v>
      </c>
      <c r="G16" s="45">
        <f t="shared" ref="G16:H16" si="2">+G13+G14+G15</f>
        <v>6490689</v>
      </c>
      <c r="H16" s="45">
        <f t="shared" si="2"/>
        <v>6740215</v>
      </c>
      <c r="I16" s="45">
        <f t="shared" ref="I16:K16" si="3">+I13+I14+I15</f>
        <v>7422522</v>
      </c>
      <c r="J16" s="45">
        <f t="shared" si="3"/>
        <v>8827442</v>
      </c>
      <c r="K16" s="45">
        <f t="shared" si="3"/>
        <v>9141235</v>
      </c>
      <c r="L16" s="45">
        <f t="shared" ref="L16:M16" si="4">+L13+L14+L15</f>
        <v>9510404</v>
      </c>
      <c r="M16" s="45">
        <f t="shared" si="4"/>
        <v>10049594</v>
      </c>
      <c r="N16" s="45">
        <f t="shared" ref="N16:O16" si="5">+N13+N14+N15</f>
        <v>10199934</v>
      </c>
      <c r="O16" s="45">
        <f t="shared" si="5"/>
        <v>10539330</v>
      </c>
      <c r="P16" s="45">
        <f t="shared" ref="P16" si="6">+P13+P14+P15</f>
        <v>11287591</v>
      </c>
      <c r="Q16" s="3"/>
      <c r="R16" s="4"/>
      <c r="S16" s="4"/>
      <c r="T16" s="3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9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9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9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0"/>
      <c r="GE16" s="10"/>
      <c r="GF16" s="10"/>
    </row>
    <row r="17" spans="1:189" s="10" customFormat="1" ht="15.75" x14ac:dyDescent="0.25">
      <c r="A17" s="17" t="s">
        <v>35</v>
      </c>
      <c r="B17" s="18" t="s">
        <v>7</v>
      </c>
      <c r="C17" s="19">
        <f>C18+C19</f>
        <v>932617</v>
      </c>
      <c r="D17" s="19">
        <f t="shared" ref="D17:H17" si="7">D18+D19</f>
        <v>1021682</v>
      </c>
      <c r="E17" s="19">
        <f t="shared" si="7"/>
        <v>1129497</v>
      </c>
      <c r="F17" s="19">
        <f t="shared" si="7"/>
        <v>1154290</v>
      </c>
      <c r="G17" s="19">
        <f t="shared" si="7"/>
        <v>1215208</v>
      </c>
      <c r="H17" s="19">
        <f t="shared" si="7"/>
        <v>1538875</v>
      </c>
      <c r="I17" s="19">
        <f t="shared" ref="I17:K17" si="8">I18+I19</f>
        <v>1417566</v>
      </c>
      <c r="J17" s="19">
        <f t="shared" si="8"/>
        <v>1558394</v>
      </c>
      <c r="K17" s="19">
        <f t="shared" si="8"/>
        <v>1606573</v>
      </c>
      <c r="L17" s="19">
        <f t="shared" ref="L17:M17" si="9">L18+L19</f>
        <v>1218717</v>
      </c>
      <c r="M17" s="19">
        <f t="shared" si="9"/>
        <v>1325511</v>
      </c>
      <c r="N17" s="19">
        <f t="shared" ref="N17:O17" si="10">N18+N19</f>
        <v>1643293</v>
      </c>
      <c r="O17" s="19">
        <f t="shared" si="10"/>
        <v>1962075</v>
      </c>
      <c r="P17" s="19">
        <f t="shared" ref="P17" si="11">P18+P19</f>
        <v>2237854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G17" s="11"/>
    </row>
    <row r="18" spans="1:189" ht="15.75" x14ac:dyDescent="0.25">
      <c r="A18" s="21">
        <v>6.1</v>
      </c>
      <c r="B18" s="22" t="s">
        <v>8</v>
      </c>
      <c r="C18" s="32">
        <v>932617</v>
      </c>
      <c r="D18" s="32">
        <v>1021682</v>
      </c>
      <c r="E18" s="32">
        <v>1129497</v>
      </c>
      <c r="F18" s="32">
        <v>1154290</v>
      </c>
      <c r="G18" s="47">
        <v>1215208</v>
      </c>
      <c r="H18" s="47">
        <v>1538875</v>
      </c>
      <c r="I18" s="47">
        <v>1417566</v>
      </c>
      <c r="J18" s="47">
        <v>1558394</v>
      </c>
      <c r="K18" s="47">
        <v>1606573</v>
      </c>
      <c r="L18" s="47">
        <v>1218717</v>
      </c>
      <c r="M18" s="47">
        <v>1325511</v>
      </c>
      <c r="N18" s="47">
        <v>1643293</v>
      </c>
      <c r="O18" s="47">
        <v>1962075</v>
      </c>
      <c r="P18" s="47">
        <v>2237854</v>
      </c>
      <c r="Q18" s="3"/>
      <c r="R18" s="4"/>
      <c r="S18" s="4"/>
      <c r="T18" s="3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1"/>
      <c r="GE18" s="1"/>
      <c r="GF18" s="1"/>
    </row>
    <row r="19" spans="1:189" ht="15.75" x14ac:dyDescent="0.25">
      <c r="A19" s="21">
        <v>6.2</v>
      </c>
      <c r="B19" s="22" t="s">
        <v>9</v>
      </c>
      <c r="C19" s="32"/>
      <c r="D19" s="32"/>
      <c r="E19" s="32"/>
      <c r="F19" s="32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3"/>
      <c r="R19" s="4"/>
      <c r="S19" s="4"/>
      <c r="T19" s="3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1"/>
      <c r="GE19" s="1"/>
      <c r="GF19" s="1"/>
    </row>
    <row r="20" spans="1:189" s="10" customFormat="1" ht="30" x14ac:dyDescent="0.25">
      <c r="A20" s="33" t="s">
        <v>36</v>
      </c>
      <c r="B20" s="34" t="s">
        <v>10</v>
      </c>
      <c r="C20" s="19">
        <f>SUM(C21:C27)</f>
        <v>583708</v>
      </c>
      <c r="D20" s="19">
        <f>SUM(D21:D27)</f>
        <v>650789.758113191</v>
      </c>
      <c r="E20" s="19">
        <f>SUM(E21:E27)</f>
        <v>726849</v>
      </c>
      <c r="F20" s="19">
        <f>SUM(F21:F27)</f>
        <v>801978</v>
      </c>
      <c r="G20" s="43">
        <f t="shared" ref="G20:P20" si="12">SUM(G21:G27)</f>
        <v>894191</v>
      </c>
      <c r="H20" s="43">
        <f t="shared" si="12"/>
        <v>892092</v>
      </c>
      <c r="I20" s="43">
        <f t="shared" si="12"/>
        <v>923225</v>
      </c>
      <c r="J20" s="43">
        <f t="shared" si="12"/>
        <v>1065485</v>
      </c>
      <c r="K20" s="43">
        <f t="shared" si="12"/>
        <v>1075304</v>
      </c>
      <c r="L20" s="43">
        <f t="shared" si="12"/>
        <v>941020</v>
      </c>
      <c r="M20" s="43">
        <f t="shared" si="12"/>
        <v>1234064</v>
      </c>
      <c r="N20" s="43">
        <f t="shared" si="12"/>
        <v>1273409</v>
      </c>
      <c r="O20" s="43">
        <f t="shared" si="12"/>
        <v>1362462</v>
      </c>
      <c r="P20" s="43">
        <f t="shared" si="12"/>
        <v>1463607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G20" s="11"/>
    </row>
    <row r="21" spans="1:189" ht="15.75" x14ac:dyDescent="0.25">
      <c r="A21" s="21">
        <v>7.1</v>
      </c>
      <c r="B21" s="22" t="s">
        <v>11</v>
      </c>
      <c r="C21" s="32">
        <v>121509</v>
      </c>
      <c r="D21" s="32">
        <v>133946</v>
      </c>
      <c r="E21" s="32">
        <v>139351</v>
      </c>
      <c r="F21" s="32">
        <v>141548</v>
      </c>
      <c r="G21" s="47">
        <v>152574</v>
      </c>
      <c r="H21" s="47">
        <v>146141</v>
      </c>
      <c r="I21" s="47">
        <v>155598</v>
      </c>
      <c r="J21" s="47">
        <v>199021</v>
      </c>
      <c r="K21" s="47">
        <v>177206</v>
      </c>
      <c r="L21" s="47">
        <v>131072</v>
      </c>
      <c r="M21" s="47">
        <v>182802</v>
      </c>
      <c r="N21" s="47">
        <v>212762</v>
      </c>
      <c r="O21" s="47">
        <v>205731</v>
      </c>
      <c r="P21" s="47">
        <v>190541</v>
      </c>
      <c r="Q21" s="3"/>
      <c r="R21" s="4"/>
      <c r="S21" s="4"/>
      <c r="T21" s="3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1"/>
      <c r="GE21" s="1"/>
      <c r="GF21" s="1"/>
    </row>
    <row r="22" spans="1:189" ht="15.75" x14ac:dyDescent="0.25">
      <c r="A22" s="21">
        <v>7.2</v>
      </c>
      <c r="B22" s="22" t="s">
        <v>12</v>
      </c>
      <c r="C22" s="32">
        <v>281709</v>
      </c>
      <c r="D22" s="32">
        <v>312164.758113191</v>
      </c>
      <c r="E22" s="32">
        <v>339710</v>
      </c>
      <c r="F22" s="32">
        <v>373159</v>
      </c>
      <c r="G22" s="47">
        <v>407899</v>
      </c>
      <c r="H22" s="47">
        <v>437572</v>
      </c>
      <c r="I22" s="47">
        <v>471786</v>
      </c>
      <c r="J22" s="47">
        <v>541359</v>
      </c>
      <c r="K22" s="47">
        <v>531966</v>
      </c>
      <c r="L22" s="47">
        <v>433015</v>
      </c>
      <c r="M22" s="47">
        <v>655585</v>
      </c>
      <c r="N22" s="47">
        <v>621167</v>
      </c>
      <c r="O22" s="47">
        <v>682991</v>
      </c>
      <c r="P22" s="47">
        <v>745703</v>
      </c>
      <c r="Q22" s="3"/>
      <c r="R22" s="4"/>
      <c r="S22" s="4"/>
      <c r="T22" s="3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1"/>
      <c r="GE22" s="1"/>
      <c r="GF22" s="1"/>
    </row>
    <row r="23" spans="1:189" ht="15.75" x14ac:dyDescent="0.25">
      <c r="A23" s="21">
        <v>7.3</v>
      </c>
      <c r="B23" s="22" t="s">
        <v>13</v>
      </c>
      <c r="C23" s="32">
        <v>0</v>
      </c>
      <c r="D23" s="32">
        <v>0</v>
      </c>
      <c r="E23" s="32">
        <v>0</v>
      </c>
      <c r="F23" s="32">
        <v>0</v>
      </c>
      <c r="G23" s="47">
        <v>0</v>
      </c>
      <c r="H23" s="47">
        <v>0</v>
      </c>
      <c r="I23" s="47">
        <v>0</v>
      </c>
      <c r="J23" s="47">
        <v>0</v>
      </c>
      <c r="K23" s="47">
        <v>0</v>
      </c>
      <c r="L23" s="47">
        <v>0</v>
      </c>
      <c r="M23" s="47">
        <v>0</v>
      </c>
      <c r="N23" s="47">
        <v>0</v>
      </c>
      <c r="O23" s="47">
        <v>0</v>
      </c>
      <c r="P23" s="47"/>
      <c r="Q23" s="3"/>
      <c r="R23" s="4"/>
      <c r="S23" s="4"/>
      <c r="T23" s="3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1"/>
      <c r="GE23" s="1"/>
      <c r="GF23" s="1"/>
    </row>
    <row r="24" spans="1:189" ht="15.75" x14ac:dyDescent="0.25">
      <c r="A24" s="21">
        <v>7.4</v>
      </c>
      <c r="B24" s="22" t="s">
        <v>14</v>
      </c>
      <c r="C24" s="32"/>
      <c r="D24" s="32"/>
      <c r="E24" s="32"/>
      <c r="F24" s="32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3"/>
      <c r="R24" s="4"/>
      <c r="S24" s="4"/>
      <c r="T24" s="3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1"/>
      <c r="GE24" s="1"/>
      <c r="GF24" s="1"/>
    </row>
    <row r="25" spans="1:189" ht="15.75" x14ac:dyDescent="0.25">
      <c r="A25" s="21">
        <v>7.5</v>
      </c>
      <c r="B25" s="22" t="s">
        <v>15</v>
      </c>
      <c r="C25" s="32"/>
      <c r="D25" s="32"/>
      <c r="E25" s="32"/>
      <c r="F25" s="32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3"/>
      <c r="R25" s="4"/>
      <c r="S25" s="4"/>
      <c r="T25" s="3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1"/>
      <c r="GE25" s="1"/>
      <c r="GF25" s="1"/>
    </row>
    <row r="26" spans="1:189" ht="15.75" x14ac:dyDescent="0.25">
      <c r="A26" s="21">
        <v>7.6</v>
      </c>
      <c r="B26" s="22" t="s">
        <v>16</v>
      </c>
      <c r="C26" s="31">
        <v>10189</v>
      </c>
      <c r="D26" s="23">
        <v>11087</v>
      </c>
      <c r="E26" s="23">
        <v>12696</v>
      </c>
      <c r="F26" s="23">
        <v>13623</v>
      </c>
      <c r="G26" s="47">
        <v>16025</v>
      </c>
      <c r="H26" s="47">
        <v>15634</v>
      </c>
      <c r="I26" s="47">
        <v>17291</v>
      </c>
      <c r="J26" s="47">
        <v>31915</v>
      </c>
      <c r="K26" s="47">
        <v>28961</v>
      </c>
      <c r="L26" s="47">
        <v>28031</v>
      </c>
      <c r="M26" s="47">
        <v>20582</v>
      </c>
      <c r="N26" s="47">
        <v>20221</v>
      </c>
      <c r="O26" s="47">
        <v>21947</v>
      </c>
      <c r="P26" s="47">
        <v>23669</v>
      </c>
      <c r="Q26" s="3"/>
      <c r="R26" s="4"/>
      <c r="S26" s="4"/>
      <c r="T26" s="3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1"/>
      <c r="GE26" s="1"/>
      <c r="GF26" s="1"/>
    </row>
    <row r="27" spans="1:189" ht="30" x14ac:dyDescent="0.25">
      <c r="A27" s="21">
        <v>7.7</v>
      </c>
      <c r="B27" s="22" t="s">
        <v>17</v>
      </c>
      <c r="C27" s="31">
        <v>170301</v>
      </c>
      <c r="D27" s="23">
        <v>193592</v>
      </c>
      <c r="E27" s="23">
        <v>235092</v>
      </c>
      <c r="F27" s="23">
        <v>273648</v>
      </c>
      <c r="G27" s="47">
        <v>317693</v>
      </c>
      <c r="H27" s="47">
        <v>292745</v>
      </c>
      <c r="I27" s="47">
        <v>278550</v>
      </c>
      <c r="J27" s="47">
        <v>293190</v>
      </c>
      <c r="K27" s="47">
        <v>337171</v>
      </c>
      <c r="L27" s="47">
        <v>348902</v>
      </c>
      <c r="M27" s="47">
        <v>375095</v>
      </c>
      <c r="N27" s="47">
        <v>419259</v>
      </c>
      <c r="O27" s="47">
        <v>451793</v>
      </c>
      <c r="P27" s="47">
        <v>503694</v>
      </c>
      <c r="Q27" s="3"/>
      <c r="R27" s="4"/>
      <c r="S27" s="4"/>
      <c r="T27" s="3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1"/>
      <c r="GE27" s="1"/>
      <c r="GF27" s="1"/>
    </row>
    <row r="28" spans="1:189" ht="15.75" x14ac:dyDescent="0.25">
      <c r="A28" s="25" t="s">
        <v>37</v>
      </c>
      <c r="B28" s="22" t="s">
        <v>18</v>
      </c>
      <c r="C28" s="31">
        <v>537699</v>
      </c>
      <c r="D28" s="23">
        <v>601331</v>
      </c>
      <c r="E28" s="23">
        <v>657470</v>
      </c>
      <c r="F28" s="23">
        <v>682236</v>
      </c>
      <c r="G28" s="47">
        <v>772556</v>
      </c>
      <c r="H28" s="47">
        <v>692048</v>
      </c>
      <c r="I28" s="47">
        <v>742683</v>
      </c>
      <c r="J28" s="47">
        <v>700347</v>
      </c>
      <c r="K28" s="47">
        <v>758003</v>
      </c>
      <c r="L28" s="47">
        <v>788926</v>
      </c>
      <c r="M28" s="47">
        <v>750217</v>
      </c>
      <c r="N28" s="47">
        <v>810960</v>
      </c>
      <c r="O28" s="47">
        <v>873289</v>
      </c>
      <c r="P28" s="47">
        <v>929472</v>
      </c>
      <c r="Q28" s="3"/>
      <c r="R28" s="4"/>
      <c r="S28" s="4"/>
      <c r="T28" s="3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1"/>
      <c r="GE28" s="1"/>
      <c r="GF28" s="1"/>
    </row>
    <row r="29" spans="1:189" ht="30" x14ac:dyDescent="0.25">
      <c r="A29" s="25" t="s">
        <v>38</v>
      </c>
      <c r="B29" s="22" t="s">
        <v>19</v>
      </c>
      <c r="C29" s="31">
        <v>1755211</v>
      </c>
      <c r="D29" s="23">
        <v>1741686</v>
      </c>
      <c r="E29" s="23">
        <v>1895155</v>
      </c>
      <c r="F29" s="23">
        <v>1923839</v>
      </c>
      <c r="G29" s="47">
        <v>1912359</v>
      </c>
      <c r="H29" s="47">
        <v>1917931</v>
      </c>
      <c r="I29" s="47">
        <v>1890641</v>
      </c>
      <c r="J29" s="47">
        <v>1607509</v>
      </c>
      <c r="K29" s="47">
        <v>1918655</v>
      </c>
      <c r="L29" s="47">
        <v>1912397</v>
      </c>
      <c r="M29" s="47">
        <v>2061503</v>
      </c>
      <c r="N29" s="47">
        <v>2182390</v>
      </c>
      <c r="O29" s="47">
        <v>2287939</v>
      </c>
      <c r="P29" s="47">
        <v>2465313</v>
      </c>
      <c r="Q29" s="3"/>
      <c r="R29" s="4"/>
      <c r="S29" s="4"/>
      <c r="T29" s="3"/>
      <c r="U29" s="5"/>
      <c r="V29" s="5"/>
      <c r="W29" s="5"/>
      <c r="X29" s="5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1"/>
      <c r="GE29" s="1"/>
      <c r="GF29" s="1"/>
    </row>
    <row r="30" spans="1:189" ht="15.75" x14ac:dyDescent="0.25">
      <c r="A30" s="25" t="s">
        <v>39</v>
      </c>
      <c r="B30" s="22" t="s">
        <v>54</v>
      </c>
      <c r="C30" s="31">
        <v>549383</v>
      </c>
      <c r="D30" s="23">
        <v>562938</v>
      </c>
      <c r="E30" s="23">
        <v>661283</v>
      </c>
      <c r="F30" s="23">
        <v>680126</v>
      </c>
      <c r="G30" s="47">
        <v>753267</v>
      </c>
      <c r="H30" s="47">
        <v>766450</v>
      </c>
      <c r="I30" s="47">
        <v>867720</v>
      </c>
      <c r="J30" s="47">
        <v>918401</v>
      </c>
      <c r="K30" s="47">
        <v>982350</v>
      </c>
      <c r="L30" s="47">
        <v>1461942</v>
      </c>
      <c r="M30" s="47">
        <v>1296775</v>
      </c>
      <c r="N30" s="47">
        <v>1416197</v>
      </c>
      <c r="O30" s="47">
        <v>1629072</v>
      </c>
      <c r="P30" s="47">
        <v>1726493</v>
      </c>
      <c r="Q30" s="3"/>
      <c r="R30" s="4"/>
      <c r="S30" s="4"/>
      <c r="T30" s="3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1"/>
      <c r="GE30" s="1"/>
      <c r="GF30" s="1"/>
    </row>
    <row r="31" spans="1:189" ht="15.75" x14ac:dyDescent="0.25">
      <c r="A31" s="25" t="s">
        <v>40</v>
      </c>
      <c r="B31" s="22" t="s">
        <v>20</v>
      </c>
      <c r="C31" s="31">
        <v>781802</v>
      </c>
      <c r="D31" s="23">
        <v>801651</v>
      </c>
      <c r="E31" s="23">
        <v>788798</v>
      </c>
      <c r="F31" s="23">
        <v>821843</v>
      </c>
      <c r="G31" s="47">
        <v>875617</v>
      </c>
      <c r="H31" s="47">
        <v>968086</v>
      </c>
      <c r="I31" s="47">
        <v>1054742</v>
      </c>
      <c r="J31" s="47">
        <v>1280841</v>
      </c>
      <c r="K31" s="47">
        <v>1583865</v>
      </c>
      <c r="L31" s="47">
        <v>1233882</v>
      </c>
      <c r="M31" s="47">
        <v>1461017</v>
      </c>
      <c r="N31" s="47">
        <v>1722197</v>
      </c>
      <c r="O31" s="47">
        <v>1877656</v>
      </c>
      <c r="P31" s="47">
        <v>2023393</v>
      </c>
      <c r="Q31" s="3"/>
      <c r="R31" s="4"/>
      <c r="S31" s="4"/>
      <c r="T31" s="3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1"/>
      <c r="GE31" s="1"/>
      <c r="GF31" s="1"/>
    </row>
    <row r="32" spans="1:189" s="11" customFormat="1" ht="15.75" x14ac:dyDescent="0.25">
      <c r="A32" s="26"/>
      <c r="B32" s="27" t="s">
        <v>30</v>
      </c>
      <c r="C32" s="28">
        <f>C17+C20+C28+C29+C30+C31</f>
        <v>5140420</v>
      </c>
      <c r="D32" s="28">
        <f t="shared" ref="D32:K32" si="13">D17+D20+D28+D29+D30+D31</f>
        <v>5380077.7581131905</v>
      </c>
      <c r="E32" s="28">
        <f t="shared" si="13"/>
        <v>5859052</v>
      </c>
      <c r="F32" s="28">
        <f t="shared" si="13"/>
        <v>6064312</v>
      </c>
      <c r="G32" s="28">
        <f t="shared" si="13"/>
        <v>6423198</v>
      </c>
      <c r="H32" s="28">
        <f t="shared" si="13"/>
        <v>6775482</v>
      </c>
      <c r="I32" s="28">
        <f t="shared" si="13"/>
        <v>6896577</v>
      </c>
      <c r="J32" s="28">
        <f t="shared" si="13"/>
        <v>7130977</v>
      </c>
      <c r="K32" s="28">
        <f t="shared" si="13"/>
        <v>7924750</v>
      </c>
      <c r="L32" s="28">
        <f t="shared" ref="L32" si="14">L17+L20+L28+L29+L30+L31</f>
        <v>7556884</v>
      </c>
      <c r="M32" s="28">
        <f t="shared" ref="M32:N32" si="15">M17+M20+M28+M29+M30+M31</f>
        <v>8129087</v>
      </c>
      <c r="N32" s="28">
        <f t="shared" si="15"/>
        <v>9048446</v>
      </c>
      <c r="O32" s="28">
        <f t="shared" ref="O32:P32" si="16">O17+O20+O28+O29+O30+O31</f>
        <v>9992493</v>
      </c>
      <c r="P32" s="28">
        <f t="shared" si="16"/>
        <v>10846132</v>
      </c>
      <c r="Q32" s="3"/>
      <c r="R32" s="4"/>
      <c r="S32" s="4"/>
      <c r="T32" s="3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0"/>
      <c r="GE32" s="10"/>
      <c r="GF32" s="10"/>
    </row>
    <row r="33" spans="1:189" s="10" customFormat="1" ht="15.75" x14ac:dyDescent="0.25">
      <c r="A33" s="17" t="s">
        <v>27</v>
      </c>
      <c r="B33" s="36" t="s">
        <v>41</v>
      </c>
      <c r="C33" s="19">
        <f t="shared" ref="C33" si="17">C6+C11+C13+C14+C15+C17+C20+C28+C29+C30+C31</f>
        <v>14842982</v>
      </c>
      <c r="D33" s="19">
        <f t="shared" ref="D33:K33" si="18">D6+D11+D13+D14+D15+D17+D20+D28+D29+D30+D31</f>
        <v>15556882.159320708</v>
      </c>
      <c r="E33" s="19">
        <f t="shared" si="18"/>
        <v>17255460.337695006</v>
      </c>
      <c r="F33" s="19">
        <f t="shared" si="18"/>
        <v>17523357</v>
      </c>
      <c r="G33" s="19">
        <f t="shared" si="18"/>
        <v>18014536</v>
      </c>
      <c r="H33" s="19">
        <f t="shared" si="18"/>
        <v>19465835</v>
      </c>
      <c r="I33" s="19">
        <f t="shared" si="18"/>
        <v>20010414</v>
      </c>
      <c r="J33" s="19">
        <f t="shared" si="18"/>
        <v>22287581</v>
      </c>
      <c r="K33" s="19">
        <f t="shared" si="18"/>
        <v>23537766</v>
      </c>
      <c r="L33" s="19">
        <f t="shared" ref="L33" si="19">L6+L11+L13+L14+L15+L17+L20+L28+L29+L30+L31</f>
        <v>23798534</v>
      </c>
      <c r="M33" s="19">
        <f t="shared" ref="M33:N33" si="20">M6+M11+M13+M14+M15+M17+M20+M28+M29+M30+M31</f>
        <v>25204843</v>
      </c>
      <c r="N33" s="19">
        <f t="shared" si="20"/>
        <v>26929485</v>
      </c>
      <c r="O33" s="19">
        <f t="shared" ref="O33:P33" si="21">O6+O11+O13+O14+O15+O17+O20+O28+O29+O30+O31</f>
        <v>28656137</v>
      </c>
      <c r="P33" s="19">
        <f t="shared" si="21"/>
        <v>30725381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9"/>
      <c r="FU33" s="9"/>
      <c r="FV33" s="9"/>
      <c r="FW33" s="9"/>
      <c r="FX33" s="9"/>
      <c r="FY33" s="9"/>
      <c r="FZ33" s="9"/>
      <c r="GA33" s="9"/>
      <c r="GB33" s="9"/>
      <c r="GC33" s="9"/>
      <c r="GG33" s="11"/>
    </row>
    <row r="34" spans="1:189" ht="15.75" x14ac:dyDescent="0.25">
      <c r="A34" s="37" t="s">
        <v>43</v>
      </c>
      <c r="B34" s="38" t="s">
        <v>25</v>
      </c>
      <c r="C34" s="39">
        <v>964400</v>
      </c>
      <c r="D34" s="39">
        <v>1040858</v>
      </c>
      <c r="E34" s="39">
        <v>1002493.6439428056</v>
      </c>
      <c r="F34" s="54">
        <v>1057986.8305531167</v>
      </c>
      <c r="G34" s="15">
        <v>1043841</v>
      </c>
      <c r="H34" s="15">
        <v>1904642</v>
      </c>
      <c r="I34" s="15">
        <v>2003155</v>
      </c>
      <c r="J34" s="15">
        <v>2170335</v>
      </c>
      <c r="K34" s="15">
        <v>1617140</v>
      </c>
      <c r="L34" s="15">
        <v>1320696</v>
      </c>
      <c r="M34" s="15">
        <v>1498411</v>
      </c>
      <c r="N34" s="15">
        <v>1652212</v>
      </c>
      <c r="O34" s="15">
        <v>2015074</v>
      </c>
      <c r="P34" s="15">
        <v>2249850</v>
      </c>
      <c r="Q34" s="3"/>
      <c r="R34" s="4"/>
      <c r="S34" s="4"/>
      <c r="T34" s="3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</row>
    <row r="35" spans="1:189" ht="15.75" x14ac:dyDescent="0.25">
      <c r="A35" s="37" t="s">
        <v>44</v>
      </c>
      <c r="B35" s="38" t="s">
        <v>24</v>
      </c>
      <c r="C35" s="39"/>
      <c r="D35" s="39"/>
      <c r="E35" s="39"/>
      <c r="F35" s="54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3"/>
      <c r="R35" s="4"/>
      <c r="S35" s="4"/>
      <c r="T35" s="3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</row>
    <row r="36" spans="1:189" s="11" customFormat="1" ht="15.75" x14ac:dyDescent="0.25">
      <c r="A36" s="40" t="s">
        <v>45</v>
      </c>
      <c r="B36" s="41" t="s">
        <v>55</v>
      </c>
      <c r="C36" s="28">
        <f>C33+C34-C35</f>
        <v>15807382</v>
      </c>
      <c r="D36" s="28">
        <f>D33+D34-D35</f>
        <v>16597740.159320708</v>
      </c>
      <c r="E36" s="28">
        <f>E33+E34-E35</f>
        <v>18257953.981637813</v>
      </c>
      <c r="F36" s="28">
        <f>F33+F34-F35</f>
        <v>18581343.830553118</v>
      </c>
      <c r="G36" s="28">
        <f t="shared" ref="G36:H36" si="22">G33+G34-G35</f>
        <v>19058377</v>
      </c>
      <c r="H36" s="28">
        <f t="shared" si="22"/>
        <v>21370477</v>
      </c>
      <c r="I36" s="28">
        <f t="shared" ref="I36:O36" si="23">I33+I34-I35</f>
        <v>22013569</v>
      </c>
      <c r="J36" s="28">
        <f t="shared" si="23"/>
        <v>24457916</v>
      </c>
      <c r="K36" s="28">
        <f t="shared" si="23"/>
        <v>25154906</v>
      </c>
      <c r="L36" s="28">
        <f t="shared" si="23"/>
        <v>25119230</v>
      </c>
      <c r="M36" s="28">
        <f t="shared" si="23"/>
        <v>26703254</v>
      </c>
      <c r="N36" s="28">
        <f t="shared" si="23"/>
        <v>28581697</v>
      </c>
      <c r="O36" s="28">
        <f t="shared" si="23"/>
        <v>30671211</v>
      </c>
      <c r="P36" s="28">
        <f t="shared" ref="P36" si="24">P33+P34-P35</f>
        <v>32975231</v>
      </c>
      <c r="Q36" s="3"/>
      <c r="R36" s="4"/>
      <c r="S36" s="4"/>
      <c r="T36" s="3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</row>
    <row r="37" spans="1:189" s="11" customFormat="1" ht="15.75" x14ac:dyDescent="0.25">
      <c r="A37" s="40" t="s">
        <v>46</v>
      </c>
      <c r="B37" s="41" t="s">
        <v>42</v>
      </c>
      <c r="C37" s="50">
        <f>GSVA_cur!C37</f>
        <v>257850</v>
      </c>
      <c r="D37" s="50">
        <f>GSVA_cur!D37</f>
        <v>262010</v>
      </c>
      <c r="E37" s="50">
        <f>GSVA_cur!E37</f>
        <v>266240</v>
      </c>
      <c r="F37" s="50">
        <f>GSVA_cur!F37</f>
        <v>270530</v>
      </c>
      <c r="G37" s="50">
        <f>GSVA_cur!G37</f>
        <v>274900</v>
      </c>
      <c r="H37" s="50">
        <f>GSVA_cur!H37</f>
        <v>279330</v>
      </c>
      <c r="I37" s="50">
        <f>GSVA_cur!I37</f>
        <v>283840</v>
      </c>
      <c r="J37" s="50">
        <f>GSVA_cur!J37</f>
        <v>288420</v>
      </c>
      <c r="K37" s="50">
        <f>GSVA_cur!K37</f>
        <v>289480</v>
      </c>
      <c r="L37" s="50">
        <f>GSVA_cur!L37</f>
        <v>293330</v>
      </c>
      <c r="M37" s="50">
        <f>GSVA_cur!M37</f>
        <v>296930</v>
      </c>
      <c r="N37" s="50">
        <f>GSVA_cur!N37</f>
        <v>300370</v>
      </c>
      <c r="O37" s="50">
        <f>GSVA_cur!O37</f>
        <v>303800</v>
      </c>
      <c r="P37" s="50">
        <f>GSVA_cur!P37</f>
        <v>307240</v>
      </c>
      <c r="Q37" s="1"/>
      <c r="R37" s="2"/>
      <c r="S37" s="2"/>
      <c r="T37" s="1"/>
      <c r="U37" s="1"/>
      <c r="V37" s="1"/>
      <c r="W37" s="1"/>
      <c r="X37" s="1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</row>
    <row r="38" spans="1:189" s="11" customFormat="1" ht="15.75" x14ac:dyDescent="0.25">
      <c r="A38" s="40" t="s">
        <v>47</v>
      </c>
      <c r="B38" s="41" t="s">
        <v>58</v>
      </c>
      <c r="C38" s="28">
        <f>C36/C37*1000</f>
        <v>61304.56466938142</v>
      </c>
      <c r="D38" s="28">
        <f>D36/D37*1000</f>
        <v>63347.735427352804</v>
      </c>
      <c r="E38" s="28">
        <f>E36/E37*1000</f>
        <v>68577.050712281445</v>
      </c>
      <c r="F38" s="28">
        <f>F36/F37*1000</f>
        <v>68684.965920796662</v>
      </c>
      <c r="G38" s="45">
        <f t="shared" ref="G38:H38" si="25">G36/G37*1000</f>
        <v>69328.399417970169</v>
      </c>
      <c r="H38" s="45">
        <f t="shared" si="25"/>
        <v>76506.200551319227</v>
      </c>
      <c r="I38" s="45">
        <f t="shared" ref="I38:O38" si="26">I36/I37*1000</f>
        <v>77556.260569334845</v>
      </c>
      <c r="J38" s="45">
        <f t="shared" si="26"/>
        <v>84799.653283406151</v>
      </c>
      <c r="K38" s="45">
        <f t="shared" si="26"/>
        <v>86896.870250103631</v>
      </c>
      <c r="L38" s="45">
        <f t="shared" si="26"/>
        <v>85634.71175808816</v>
      </c>
      <c r="M38" s="45">
        <f t="shared" si="26"/>
        <v>89931.142020004714</v>
      </c>
      <c r="N38" s="45">
        <f t="shared" si="26"/>
        <v>95154.965542497594</v>
      </c>
      <c r="O38" s="45">
        <f t="shared" si="26"/>
        <v>100958.56155365372</v>
      </c>
      <c r="P38" s="45">
        <f t="shared" ref="P38" si="27">P36/P37*1000</f>
        <v>107327.27183960422</v>
      </c>
      <c r="Q38" s="1"/>
      <c r="R38" s="2"/>
      <c r="S38" s="2"/>
      <c r="T38" s="3"/>
      <c r="U38" s="3"/>
      <c r="V38" s="3"/>
      <c r="W38" s="3"/>
      <c r="X38" s="3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Y38" s="12"/>
      <c r="BZ38" s="12"/>
      <c r="CA38" s="12"/>
      <c r="CB38" s="12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</row>
    <row r="39" spans="1:189" x14ac:dyDescent="0.25">
      <c r="A39" s="2" t="s">
        <v>75</v>
      </c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4" max="1048575" man="1"/>
    <brk id="36" max="1048575" man="1"/>
    <brk id="52" max="1048575" man="1"/>
    <brk id="116" max="95" man="1"/>
    <brk id="152" max="1048575" man="1"/>
    <brk id="176" max="1048575" man="1"/>
    <brk id="184" max="9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W39"/>
  <sheetViews>
    <sheetView zoomScale="87" zoomScaleNormal="87" zoomScaleSheetLayoutView="100" workbookViewId="0">
      <pane xSplit="2" ySplit="5" topLeftCell="C6" activePane="bottomRight" state="frozen"/>
      <selection activeCell="S25" sqref="S25"/>
      <selection pane="topRight" activeCell="S25" sqref="S25"/>
      <selection pane="bottomLeft" activeCell="S25" sqref="S25"/>
      <selection pane="bottomRight" activeCell="S25" sqref="S25"/>
    </sheetView>
  </sheetViews>
  <sheetFormatPr defaultColWidth="8.85546875" defaultRowHeight="15" x14ac:dyDescent="0.25"/>
  <cols>
    <col min="1" max="1" width="11" style="2" customWidth="1"/>
    <col min="2" max="2" width="37.28515625" style="2" customWidth="1"/>
    <col min="3" max="6" width="11.28515625" style="2" customWidth="1"/>
    <col min="7" max="16" width="11.85546875" style="1" customWidth="1"/>
    <col min="17" max="18" width="9.140625" style="2" customWidth="1"/>
    <col min="19" max="19" width="11.85546875" style="2" customWidth="1"/>
    <col min="20" max="20" width="11.28515625" style="2" customWidth="1"/>
    <col min="21" max="21" width="11.7109375" style="1" customWidth="1"/>
    <col min="22" max="22" width="9.140625" style="2" customWidth="1"/>
    <col min="23" max="23" width="10.85546875" style="2" customWidth="1"/>
    <col min="24" max="24" width="10.85546875" style="1" customWidth="1"/>
    <col min="25" max="25" width="11" style="2" customWidth="1"/>
    <col min="26" max="28" width="11.42578125" style="2" customWidth="1"/>
    <col min="29" max="56" width="9.140625" style="2" customWidth="1"/>
    <col min="57" max="57" width="12.42578125" style="2" customWidth="1"/>
    <col min="58" max="79" width="9.140625" style="2" customWidth="1"/>
    <col min="80" max="80" width="12.140625" style="2" customWidth="1"/>
    <col min="81" max="84" width="9.140625" style="2" customWidth="1"/>
    <col min="85" max="89" width="9.140625" style="2" hidden="1" customWidth="1"/>
    <col min="90" max="90" width="9.140625" style="2" customWidth="1"/>
    <col min="91" max="95" width="9.140625" style="2" hidden="1" customWidth="1"/>
    <col min="96" max="96" width="9.140625" style="2" customWidth="1"/>
    <col min="97" max="101" width="9.140625" style="2" hidden="1" customWidth="1"/>
    <col min="102" max="102" width="9.140625" style="2" customWidth="1"/>
    <col min="103" max="107" width="9.140625" style="2" hidden="1" customWidth="1"/>
    <col min="108" max="108" width="9.140625" style="2" customWidth="1"/>
    <col min="109" max="113" width="9.140625" style="2" hidden="1" customWidth="1"/>
    <col min="114" max="114" width="9.140625" style="1" customWidth="1"/>
    <col min="115" max="119" width="9.140625" style="1" hidden="1" customWidth="1"/>
    <col min="120" max="120" width="9.140625" style="1" customWidth="1"/>
    <col min="121" max="125" width="9.140625" style="1" hidden="1" customWidth="1"/>
    <col min="126" max="126" width="9.140625" style="1" customWidth="1"/>
    <col min="127" max="131" width="9.140625" style="1" hidden="1" customWidth="1"/>
    <col min="132" max="132" width="9.140625" style="1" customWidth="1"/>
    <col min="133" max="162" width="9.140625" style="2" customWidth="1"/>
    <col min="163" max="163" width="9.140625" style="2" hidden="1" customWidth="1"/>
    <col min="164" max="171" width="9.140625" style="2" customWidth="1"/>
    <col min="172" max="172" width="9.140625" style="2" hidden="1" customWidth="1"/>
    <col min="173" max="177" width="9.140625" style="2" customWidth="1"/>
    <col min="178" max="178" width="9.140625" style="2" hidden="1" customWidth="1"/>
    <col min="179" max="188" width="9.140625" style="2" customWidth="1"/>
    <col min="189" max="192" width="8.85546875" style="2"/>
    <col min="193" max="193" width="12.7109375" style="2" bestFit="1" customWidth="1"/>
    <col min="194" max="16384" width="8.85546875" style="2"/>
  </cols>
  <sheetData>
    <row r="1" spans="1:193" ht="18.75" x14ac:dyDescent="0.3">
      <c r="A1" s="2" t="s">
        <v>53</v>
      </c>
      <c r="B1" s="6" t="s">
        <v>66</v>
      </c>
      <c r="W1" s="3"/>
    </row>
    <row r="2" spans="1:193" ht="15.75" x14ac:dyDescent="0.25">
      <c r="A2" s="7" t="s">
        <v>50</v>
      </c>
      <c r="I2" s="1" t="str">
        <f>[1]GSVA_cur!$I$3</f>
        <v>01.08.2025</v>
      </c>
    </row>
    <row r="3" spans="1:193" ht="15.75" x14ac:dyDescent="0.25">
      <c r="A3" s="7"/>
    </row>
    <row r="4" spans="1:193" ht="15.75" x14ac:dyDescent="0.25">
      <c r="A4" s="7"/>
      <c r="E4" s="8"/>
      <c r="F4" s="8" t="s">
        <v>57</v>
      </c>
    </row>
    <row r="5" spans="1:193" ht="15.75" x14ac:dyDescent="0.25">
      <c r="A5" s="13" t="s">
        <v>0</v>
      </c>
      <c r="B5" s="14" t="s">
        <v>1</v>
      </c>
      <c r="C5" s="15" t="s">
        <v>21</v>
      </c>
      <c r="D5" s="15" t="s">
        <v>22</v>
      </c>
      <c r="E5" s="15" t="s">
        <v>23</v>
      </c>
      <c r="F5" s="15" t="s">
        <v>56</v>
      </c>
      <c r="G5" s="16" t="s">
        <v>65</v>
      </c>
      <c r="H5" s="16" t="s">
        <v>67</v>
      </c>
      <c r="I5" s="16" t="s">
        <v>68</v>
      </c>
      <c r="J5" s="16" t="s">
        <v>69</v>
      </c>
      <c r="K5" s="16" t="s">
        <v>70</v>
      </c>
      <c r="L5" s="16" t="s">
        <v>71</v>
      </c>
      <c r="M5" s="16" t="s">
        <v>72</v>
      </c>
      <c r="N5" s="16" t="s">
        <v>73</v>
      </c>
      <c r="O5" s="16" t="s">
        <v>74</v>
      </c>
      <c r="P5" s="16" t="s">
        <v>76</v>
      </c>
    </row>
    <row r="6" spans="1:193" s="10" customFormat="1" ht="15.75" x14ac:dyDescent="0.25">
      <c r="A6" s="17" t="s">
        <v>26</v>
      </c>
      <c r="B6" s="18" t="s">
        <v>2</v>
      </c>
      <c r="C6" s="19">
        <f>SUM(C7:C10)</f>
        <v>2496386.5117031052</v>
      </c>
      <c r="D6" s="19">
        <f t="shared" ref="D6:P6" si="0">SUM(D7:D10)</f>
        <v>2959930.4608984124</v>
      </c>
      <c r="E6" s="19">
        <f t="shared" si="0"/>
        <v>3341332</v>
      </c>
      <c r="F6" s="19">
        <f t="shared" si="0"/>
        <v>3749765</v>
      </c>
      <c r="G6" s="19">
        <f t="shared" si="0"/>
        <v>3964983</v>
      </c>
      <c r="H6" s="19">
        <f t="shared" si="0"/>
        <v>5091749</v>
      </c>
      <c r="I6" s="19">
        <f t="shared" si="0"/>
        <v>4832396</v>
      </c>
      <c r="J6" s="19">
        <f t="shared" si="0"/>
        <v>5952557</v>
      </c>
      <c r="K6" s="19">
        <f t="shared" si="0"/>
        <v>6760836</v>
      </c>
      <c r="L6" s="19">
        <f t="shared" si="0"/>
        <v>7445677</v>
      </c>
      <c r="M6" s="19">
        <f t="shared" si="0"/>
        <v>7812411</v>
      </c>
      <c r="N6" s="19">
        <f t="shared" si="0"/>
        <v>8441245</v>
      </c>
      <c r="O6" s="19">
        <f t="shared" si="0"/>
        <v>9158392</v>
      </c>
      <c r="P6" s="19">
        <f t="shared" si="0"/>
        <v>9994682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K6" s="11"/>
    </row>
    <row r="7" spans="1:193" ht="15.75" x14ac:dyDescent="0.25">
      <c r="A7" s="21">
        <v>1.1000000000000001</v>
      </c>
      <c r="B7" s="22" t="s">
        <v>59</v>
      </c>
      <c r="C7" s="51">
        <v>1646143</v>
      </c>
      <c r="D7" s="51">
        <v>1963201</v>
      </c>
      <c r="E7" s="51">
        <v>2194237</v>
      </c>
      <c r="F7" s="51">
        <v>2333827</v>
      </c>
      <c r="G7" s="52">
        <v>2357219</v>
      </c>
      <c r="H7" s="51">
        <v>3092124</v>
      </c>
      <c r="I7" s="51">
        <v>2639711</v>
      </c>
      <c r="J7" s="51">
        <v>3287111</v>
      </c>
      <c r="K7" s="51">
        <v>3681422</v>
      </c>
      <c r="L7" s="53">
        <v>4064693</v>
      </c>
      <c r="M7" s="53">
        <v>4311900</v>
      </c>
      <c r="N7" s="53">
        <v>4700656</v>
      </c>
      <c r="O7" s="53">
        <v>5152125</v>
      </c>
      <c r="P7" s="53">
        <v>5634743</v>
      </c>
      <c r="Q7" s="4"/>
      <c r="R7" s="4"/>
      <c r="S7" s="4"/>
      <c r="T7" s="4"/>
      <c r="U7" s="3"/>
      <c r="V7" s="4"/>
      <c r="W7" s="4"/>
      <c r="X7" s="3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1"/>
      <c r="GI7" s="1"/>
      <c r="GJ7" s="1"/>
    </row>
    <row r="8" spans="1:193" ht="15.75" x14ac:dyDescent="0.25">
      <c r="A8" s="21">
        <v>1.2</v>
      </c>
      <c r="B8" s="22" t="s">
        <v>60</v>
      </c>
      <c r="C8" s="51">
        <v>221527</v>
      </c>
      <c r="D8" s="51">
        <v>249016</v>
      </c>
      <c r="E8" s="51">
        <v>304221</v>
      </c>
      <c r="F8" s="51">
        <v>340100</v>
      </c>
      <c r="G8" s="51">
        <v>399674</v>
      </c>
      <c r="H8" s="51">
        <v>426641</v>
      </c>
      <c r="I8" s="51">
        <v>562031</v>
      </c>
      <c r="J8" s="51">
        <v>740293</v>
      </c>
      <c r="K8" s="51">
        <v>810062</v>
      </c>
      <c r="L8" s="53">
        <v>861189</v>
      </c>
      <c r="M8" s="53">
        <v>929318</v>
      </c>
      <c r="N8" s="53">
        <v>1011825</v>
      </c>
      <c r="O8" s="53">
        <v>1141234</v>
      </c>
      <c r="P8" s="53">
        <v>1300802</v>
      </c>
      <c r="Q8" s="4"/>
      <c r="R8" s="4"/>
      <c r="S8" s="4"/>
      <c r="T8" s="4"/>
      <c r="U8" s="3"/>
      <c r="V8" s="4"/>
      <c r="W8" s="4"/>
      <c r="X8" s="3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1"/>
      <c r="GI8" s="1"/>
      <c r="GJ8" s="1"/>
    </row>
    <row r="9" spans="1:193" ht="15.75" x14ac:dyDescent="0.25">
      <c r="A9" s="21">
        <v>1.3</v>
      </c>
      <c r="B9" s="22" t="s">
        <v>61</v>
      </c>
      <c r="C9" s="51">
        <v>421532</v>
      </c>
      <c r="D9" s="51">
        <v>497684</v>
      </c>
      <c r="E9" s="51">
        <v>553321</v>
      </c>
      <c r="F9" s="51">
        <v>726648</v>
      </c>
      <c r="G9" s="51">
        <v>819614</v>
      </c>
      <c r="H9" s="51">
        <v>1130393</v>
      </c>
      <c r="I9" s="51">
        <v>1055472</v>
      </c>
      <c r="J9" s="51">
        <v>1259076</v>
      </c>
      <c r="K9" s="51">
        <v>1504510</v>
      </c>
      <c r="L9" s="53">
        <v>1651045</v>
      </c>
      <c r="M9" s="53">
        <v>1656754</v>
      </c>
      <c r="N9" s="53">
        <v>1719911</v>
      </c>
      <c r="O9" s="53">
        <v>1736656</v>
      </c>
      <c r="P9" s="53">
        <v>1823060</v>
      </c>
      <c r="Q9" s="4"/>
      <c r="R9" s="4"/>
      <c r="S9" s="4"/>
      <c r="T9" s="4"/>
      <c r="U9" s="3"/>
      <c r="V9" s="4"/>
      <c r="W9" s="4"/>
      <c r="X9" s="3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1"/>
      <c r="GI9" s="1"/>
      <c r="GJ9" s="1"/>
    </row>
    <row r="10" spans="1:193" ht="15.75" x14ac:dyDescent="0.25">
      <c r="A10" s="21">
        <v>1.4</v>
      </c>
      <c r="B10" s="22" t="s">
        <v>62</v>
      </c>
      <c r="C10" s="51">
        <v>207184.51170310527</v>
      </c>
      <c r="D10" s="51">
        <v>250029.46089841239</v>
      </c>
      <c r="E10" s="51">
        <v>289553</v>
      </c>
      <c r="F10" s="51">
        <v>349190</v>
      </c>
      <c r="G10" s="51">
        <v>388476</v>
      </c>
      <c r="H10" s="51">
        <v>442591</v>
      </c>
      <c r="I10" s="51">
        <v>575182</v>
      </c>
      <c r="J10" s="51">
        <v>666077</v>
      </c>
      <c r="K10" s="51">
        <v>764842</v>
      </c>
      <c r="L10" s="53">
        <v>868750</v>
      </c>
      <c r="M10" s="53">
        <v>914439</v>
      </c>
      <c r="N10" s="53">
        <v>1008853</v>
      </c>
      <c r="O10" s="53">
        <v>1128377</v>
      </c>
      <c r="P10" s="53">
        <v>1236077</v>
      </c>
      <c r="Q10" s="4"/>
      <c r="R10" s="4"/>
      <c r="S10" s="4"/>
      <c r="T10" s="4"/>
      <c r="U10" s="3"/>
      <c r="V10" s="4"/>
      <c r="W10" s="4"/>
      <c r="X10" s="3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1"/>
      <c r="GI10" s="1"/>
      <c r="GJ10" s="1"/>
    </row>
    <row r="11" spans="1:193" ht="15.75" x14ac:dyDescent="0.25">
      <c r="A11" s="25" t="s">
        <v>31</v>
      </c>
      <c r="B11" s="22" t="s">
        <v>3</v>
      </c>
      <c r="C11" s="51">
        <v>1732435.4920786407</v>
      </c>
      <c r="D11" s="51">
        <v>1689652.319806136</v>
      </c>
      <c r="E11" s="51">
        <v>1836289</v>
      </c>
      <c r="F11" s="51">
        <v>2024369</v>
      </c>
      <c r="G11" s="51">
        <v>1704698</v>
      </c>
      <c r="H11" s="51">
        <v>1692842</v>
      </c>
      <c r="I11" s="51">
        <v>1888107</v>
      </c>
      <c r="J11" s="51">
        <v>2084381</v>
      </c>
      <c r="K11" s="51">
        <v>1635512</v>
      </c>
      <c r="L11" s="53">
        <v>1566333</v>
      </c>
      <c r="M11" s="53">
        <v>2007506</v>
      </c>
      <c r="N11" s="53">
        <v>2191601</v>
      </c>
      <c r="O11" s="53">
        <v>2431436</v>
      </c>
      <c r="P11" s="53">
        <v>2722199</v>
      </c>
      <c r="Q11" s="4"/>
      <c r="R11" s="4"/>
      <c r="S11" s="4"/>
      <c r="T11" s="4"/>
      <c r="U11" s="3"/>
      <c r="V11" s="4"/>
      <c r="W11" s="4"/>
      <c r="X11" s="3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1"/>
      <c r="GI11" s="1"/>
      <c r="GJ11" s="1"/>
    </row>
    <row r="12" spans="1:193" s="11" customFormat="1" ht="15.75" x14ac:dyDescent="0.25">
      <c r="A12" s="26"/>
      <c r="B12" s="27" t="s">
        <v>28</v>
      </c>
      <c r="C12" s="28">
        <f>C6+C11</f>
        <v>4228822.0037817461</v>
      </c>
      <c r="D12" s="28">
        <f t="shared" ref="D12:P12" si="1">D6+D11</f>
        <v>4649582.7807045486</v>
      </c>
      <c r="E12" s="28">
        <f t="shared" si="1"/>
        <v>5177621</v>
      </c>
      <c r="F12" s="28">
        <f t="shared" si="1"/>
        <v>5774134</v>
      </c>
      <c r="G12" s="28">
        <f t="shared" si="1"/>
        <v>5669681</v>
      </c>
      <c r="H12" s="28">
        <f t="shared" si="1"/>
        <v>6784591</v>
      </c>
      <c r="I12" s="28">
        <f t="shared" si="1"/>
        <v>6720503</v>
      </c>
      <c r="J12" s="28">
        <f t="shared" si="1"/>
        <v>8036938</v>
      </c>
      <c r="K12" s="28">
        <f t="shared" si="1"/>
        <v>8396348</v>
      </c>
      <c r="L12" s="28">
        <f t="shared" si="1"/>
        <v>9012010</v>
      </c>
      <c r="M12" s="28">
        <f t="shared" si="1"/>
        <v>9819917</v>
      </c>
      <c r="N12" s="28">
        <f t="shared" si="1"/>
        <v>10632846</v>
      </c>
      <c r="O12" s="28">
        <f t="shared" si="1"/>
        <v>11589828</v>
      </c>
      <c r="P12" s="28">
        <f t="shared" si="1"/>
        <v>12716881</v>
      </c>
      <c r="Q12" s="4"/>
      <c r="R12" s="4"/>
      <c r="S12" s="4"/>
      <c r="T12" s="4"/>
      <c r="U12" s="3"/>
      <c r="V12" s="4"/>
      <c r="W12" s="4"/>
      <c r="X12" s="3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10"/>
      <c r="GI12" s="10"/>
      <c r="GJ12" s="10"/>
    </row>
    <row r="13" spans="1:193" s="1" customFormat="1" ht="15.75" x14ac:dyDescent="0.25">
      <c r="A13" s="29" t="s">
        <v>32</v>
      </c>
      <c r="B13" s="30" t="s">
        <v>4</v>
      </c>
      <c r="C13" s="23">
        <v>2096873.4278000006</v>
      </c>
      <c r="D13" s="23">
        <v>2457604.8655000003</v>
      </c>
      <c r="E13" s="23">
        <v>3440532</v>
      </c>
      <c r="F13" s="23">
        <v>3058680</v>
      </c>
      <c r="G13" s="46">
        <v>2781121</v>
      </c>
      <c r="H13" s="46">
        <v>2401694</v>
      </c>
      <c r="I13" s="46">
        <v>3187833</v>
      </c>
      <c r="J13" s="46">
        <v>4221725</v>
      </c>
      <c r="K13" s="46">
        <v>4398883</v>
      </c>
      <c r="L13" s="46">
        <v>4797324</v>
      </c>
      <c r="M13" s="46">
        <v>6082190</v>
      </c>
      <c r="N13" s="46">
        <v>5891620</v>
      </c>
      <c r="O13" s="46">
        <v>6403862</v>
      </c>
      <c r="P13" s="46">
        <v>6842961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K13" s="2"/>
    </row>
    <row r="14" spans="1:193" ht="30" x14ac:dyDescent="0.25">
      <c r="A14" s="25" t="s">
        <v>33</v>
      </c>
      <c r="B14" s="22" t="s">
        <v>5</v>
      </c>
      <c r="C14" s="23">
        <v>471685</v>
      </c>
      <c r="D14" s="23">
        <v>634688</v>
      </c>
      <c r="E14" s="23">
        <v>695984</v>
      </c>
      <c r="F14" s="23">
        <v>761427</v>
      </c>
      <c r="G14" s="47">
        <v>1008199</v>
      </c>
      <c r="H14" s="47">
        <v>1218102</v>
      </c>
      <c r="I14" s="47">
        <v>1441859</v>
      </c>
      <c r="J14" s="47">
        <v>1532742</v>
      </c>
      <c r="K14" s="47">
        <v>1608638</v>
      </c>
      <c r="L14" s="47">
        <v>1745911</v>
      </c>
      <c r="M14" s="47">
        <v>1883226</v>
      </c>
      <c r="N14" s="47">
        <v>2077262</v>
      </c>
      <c r="O14" s="47">
        <v>2174505</v>
      </c>
      <c r="P14" s="47">
        <v>2496445</v>
      </c>
      <c r="Q14" s="4"/>
      <c r="R14" s="4"/>
      <c r="S14" s="4"/>
      <c r="T14" s="4"/>
      <c r="U14" s="3"/>
      <c r="V14" s="4"/>
      <c r="W14" s="4"/>
      <c r="X14" s="3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3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3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3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1"/>
      <c r="GI14" s="1"/>
      <c r="GJ14" s="1"/>
    </row>
    <row r="15" spans="1:193" ht="15.75" x14ac:dyDescent="0.25">
      <c r="A15" s="25" t="s">
        <v>34</v>
      </c>
      <c r="B15" s="22" t="s">
        <v>6</v>
      </c>
      <c r="C15" s="23">
        <v>1811676.1746962999</v>
      </c>
      <c r="D15" s="23">
        <v>1819653.7275097664</v>
      </c>
      <c r="E15" s="23">
        <v>2143948</v>
      </c>
      <c r="F15" s="23">
        <v>2392533</v>
      </c>
      <c r="G15" s="47">
        <v>2355732</v>
      </c>
      <c r="H15" s="47">
        <v>2852628</v>
      </c>
      <c r="I15" s="47">
        <v>3178626</v>
      </c>
      <c r="J15" s="47">
        <v>3796372</v>
      </c>
      <c r="K15" s="47">
        <v>3854803</v>
      </c>
      <c r="L15" s="47">
        <v>3666961</v>
      </c>
      <c r="M15" s="47">
        <v>5203882</v>
      </c>
      <c r="N15" s="47">
        <v>6147315</v>
      </c>
      <c r="O15" s="47">
        <v>6966805</v>
      </c>
      <c r="P15" s="47">
        <v>7491874</v>
      </c>
      <c r="Q15" s="4"/>
      <c r="R15" s="4"/>
      <c r="S15" s="4"/>
      <c r="T15" s="4"/>
      <c r="U15" s="3"/>
      <c r="V15" s="4"/>
      <c r="W15" s="4"/>
      <c r="X15" s="3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3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3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3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1"/>
      <c r="GI15" s="1"/>
      <c r="GJ15" s="1"/>
    </row>
    <row r="16" spans="1:193" s="11" customFormat="1" ht="15.75" x14ac:dyDescent="0.25">
      <c r="A16" s="26"/>
      <c r="B16" s="27" t="s">
        <v>29</v>
      </c>
      <c r="C16" s="28">
        <f>+C13+C14+C15</f>
        <v>4380234.6024963008</v>
      </c>
      <c r="D16" s="28">
        <f t="shared" ref="D16:I16" si="2">+D13+D14+D15</f>
        <v>4911946.5930097662</v>
      </c>
      <c r="E16" s="28">
        <f t="shared" si="2"/>
        <v>6280464</v>
      </c>
      <c r="F16" s="28">
        <f t="shared" si="2"/>
        <v>6212640</v>
      </c>
      <c r="G16" s="28">
        <f t="shared" si="2"/>
        <v>6145052</v>
      </c>
      <c r="H16" s="28">
        <f t="shared" si="2"/>
        <v>6472424</v>
      </c>
      <c r="I16" s="28">
        <f t="shared" si="2"/>
        <v>7808318</v>
      </c>
      <c r="J16" s="28">
        <f t="shared" ref="J16:K16" si="3">+J13+J14+J15</f>
        <v>9550839</v>
      </c>
      <c r="K16" s="28">
        <f t="shared" si="3"/>
        <v>9862324</v>
      </c>
      <c r="L16" s="28">
        <f t="shared" ref="L16:M16" si="4">+L13+L14+L15</f>
        <v>10210196</v>
      </c>
      <c r="M16" s="28">
        <f t="shared" si="4"/>
        <v>13169298</v>
      </c>
      <c r="N16" s="28">
        <f t="shared" ref="N16:O16" si="5">+N13+N14+N15</f>
        <v>14116197</v>
      </c>
      <c r="O16" s="28">
        <f t="shared" si="5"/>
        <v>15545172</v>
      </c>
      <c r="P16" s="28">
        <f t="shared" ref="P16" si="6">+P13+P14+P15</f>
        <v>16831280</v>
      </c>
      <c r="Q16" s="4"/>
      <c r="R16" s="4"/>
      <c r="S16" s="4"/>
      <c r="T16" s="4"/>
      <c r="U16" s="3"/>
      <c r="V16" s="4"/>
      <c r="W16" s="4"/>
      <c r="X16" s="3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9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9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9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0"/>
      <c r="GI16" s="10"/>
      <c r="GJ16" s="10"/>
    </row>
    <row r="17" spans="1:193" s="10" customFormat="1" ht="15.75" x14ac:dyDescent="0.25">
      <c r="A17" s="17" t="s">
        <v>35</v>
      </c>
      <c r="B17" s="18" t="s">
        <v>7</v>
      </c>
      <c r="C17" s="19">
        <f>C18+C19</f>
        <v>868351</v>
      </c>
      <c r="D17" s="19">
        <f>D18+D19</f>
        <v>1022444</v>
      </c>
      <c r="E17" s="19">
        <f>E18+E19</f>
        <v>1195215</v>
      </c>
      <c r="F17" s="19">
        <f>F18+F19</f>
        <v>1276126</v>
      </c>
      <c r="G17" s="19">
        <f t="shared" ref="G17:K17" si="7">G18+G19</f>
        <v>1323274</v>
      </c>
      <c r="H17" s="19">
        <f t="shared" si="7"/>
        <v>1826408</v>
      </c>
      <c r="I17" s="19">
        <f t="shared" si="7"/>
        <v>1703803</v>
      </c>
      <c r="J17" s="19">
        <f t="shared" si="7"/>
        <v>1990884</v>
      </c>
      <c r="K17" s="19">
        <f t="shared" si="7"/>
        <v>2167572</v>
      </c>
      <c r="L17" s="19">
        <f t="shared" ref="L17:M17" si="8">L18+L19</f>
        <v>1705216</v>
      </c>
      <c r="M17" s="19">
        <f t="shared" si="8"/>
        <v>2036512</v>
      </c>
      <c r="N17" s="19">
        <f t="shared" ref="N17:O17" si="9">N18+N19</f>
        <v>2509429</v>
      </c>
      <c r="O17" s="19">
        <f t="shared" si="9"/>
        <v>3072836</v>
      </c>
      <c r="P17" s="19">
        <f t="shared" ref="P17" si="10">P18+P19</f>
        <v>3671474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K17" s="11"/>
    </row>
    <row r="18" spans="1:193" ht="15.75" x14ac:dyDescent="0.25">
      <c r="A18" s="21">
        <v>6.1</v>
      </c>
      <c r="B18" s="22" t="s">
        <v>8</v>
      </c>
      <c r="C18" s="32">
        <v>868351</v>
      </c>
      <c r="D18" s="32">
        <v>1022444</v>
      </c>
      <c r="E18" s="32">
        <v>1195215</v>
      </c>
      <c r="F18" s="32">
        <v>1276126</v>
      </c>
      <c r="G18" s="47">
        <v>1323274</v>
      </c>
      <c r="H18" s="47">
        <v>1826408</v>
      </c>
      <c r="I18" s="47">
        <v>1703803</v>
      </c>
      <c r="J18" s="47">
        <v>1990884</v>
      </c>
      <c r="K18" s="47">
        <v>2167572</v>
      </c>
      <c r="L18" s="47">
        <v>1705216</v>
      </c>
      <c r="M18" s="47">
        <v>2036512</v>
      </c>
      <c r="N18" s="47">
        <v>2509429</v>
      </c>
      <c r="O18" s="47">
        <v>3072836</v>
      </c>
      <c r="P18" s="47">
        <v>3671474</v>
      </c>
      <c r="Q18" s="4"/>
      <c r="R18" s="4"/>
      <c r="S18" s="4"/>
      <c r="T18" s="4"/>
      <c r="U18" s="3"/>
      <c r="V18" s="4"/>
      <c r="W18" s="4"/>
      <c r="X18" s="3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1"/>
      <c r="GI18" s="1"/>
      <c r="GJ18" s="1"/>
    </row>
    <row r="19" spans="1:193" ht="15.75" x14ac:dyDescent="0.25">
      <c r="A19" s="21">
        <v>6.2</v>
      </c>
      <c r="B19" s="22" t="s">
        <v>9</v>
      </c>
      <c r="C19" s="32"/>
      <c r="D19" s="32"/>
      <c r="E19" s="32"/>
      <c r="F19" s="32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"/>
      <c r="R19" s="4"/>
      <c r="S19" s="4"/>
      <c r="T19" s="4"/>
      <c r="U19" s="3"/>
      <c r="V19" s="4"/>
      <c r="W19" s="4"/>
      <c r="X19" s="3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1"/>
      <c r="GI19" s="1"/>
      <c r="GJ19" s="1"/>
    </row>
    <row r="20" spans="1:193" s="10" customFormat="1" ht="30" x14ac:dyDescent="0.25">
      <c r="A20" s="33" t="s">
        <v>36</v>
      </c>
      <c r="B20" s="34" t="s">
        <v>10</v>
      </c>
      <c r="C20" s="19">
        <f>SUM(C21:C27)</f>
        <v>489851</v>
      </c>
      <c r="D20" s="19">
        <f t="shared" ref="D20:P20" si="11">SUM(D21:D27)</f>
        <v>577283</v>
      </c>
      <c r="E20" s="19">
        <f t="shared" si="11"/>
        <v>635613</v>
      </c>
      <c r="F20" s="19">
        <f t="shared" si="11"/>
        <v>718672</v>
      </c>
      <c r="G20" s="19">
        <f t="shared" si="11"/>
        <v>801518</v>
      </c>
      <c r="H20" s="19">
        <f t="shared" si="11"/>
        <v>823061</v>
      </c>
      <c r="I20" s="19">
        <f t="shared" si="11"/>
        <v>885554</v>
      </c>
      <c r="J20" s="19">
        <f t="shared" si="11"/>
        <v>1004963</v>
      </c>
      <c r="K20" s="19">
        <f t="shared" si="11"/>
        <v>1023265</v>
      </c>
      <c r="L20" s="19">
        <f t="shared" si="11"/>
        <v>884203</v>
      </c>
      <c r="M20" s="19">
        <f t="shared" si="11"/>
        <v>1249731</v>
      </c>
      <c r="N20" s="19">
        <f t="shared" si="11"/>
        <v>1285373</v>
      </c>
      <c r="O20" s="19">
        <f t="shared" si="11"/>
        <v>1338194</v>
      </c>
      <c r="P20" s="19">
        <f t="shared" si="11"/>
        <v>1395369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K20" s="11"/>
    </row>
    <row r="21" spans="1:193" ht="15.75" x14ac:dyDescent="0.25">
      <c r="A21" s="21">
        <v>7.1</v>
      </c>
      <c r="B21" s="22" t="s">
        <v>11</v>
      </c>
      <c r="C21" s="32">
        <v>101630</v>
      </c>
      <c r="D21" s="32">
        <v>118355</v>
      </c>
      <c r="E21" s="32">
        <v>124514</v>
      </c>
      <c r="F21" s="32">
        <v>133540</v>
      </c>
      <c r="G21" s="47">
        <v>147159</v>
      </c>
      <c r="H21" s="47">
        <v>153117</v>
      </c>
      <c r="I21" s="47">
        <v>162332</v>
      </c>
      <c r="J21" s="47">
        <v>216367</v>
      </c>
      <c r="K21" s="47">
        <v>235254</v>
      </c>
      <c r="L21" s="47">
        <v>193316</v>
      </c>
      <c r="M21" s="47">
        <v>260112</v>
      </c>
      <c r="N21" s="47">
        <v>281344</v>
      </c>
      <c r="O21" s="47">
        <v>273105</v>
      </c>
      <c r="P21" s="47">
        <v>221460</v>
      </c>
      <c r="Q21" s="4"/>
      <c r="R21" s="4"/>
      <c r="S21" s="4"/>
      <c r="T21" s="4"/>
      <c r="U21" s="3"/>
      <c r="V21" s="4"/>
      <c r="W21" s="4"/>
      <c r="X21" s="3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1"/>
      <c r="GI21" s="1"/>
      <c r="GJ21" s="1"/>
    </row>
    <row r="22" spans="1:193" ht="15.75" x14ac:dyDescent="0.25">
      <c r="A22" s="21">
        <v>7.2</v>
      </c>
      <c r="B22" s="22" t="s">
        <v>12</v>
      </c>
      <c r="C22" s="32">
        <v>240528</v>
      </c>
      <c r="D22" s="32">
        <v>282193</v>
      </c>
      <c r="E22" s="32">
        <v>306458</v>
      </c>
      <c r="F22" s="32">
        <v>336224</v>
      </c>
      <c r="G22" s="48">
        <v>370473</v>
      </c>
      <c r="H22" s="48">
        <v>401982</v>
      </c>
      <c r="I22" s="48">
        <v>476965</v>
      </c>
      <c r="J22" s="48">
        <v>510634</v>
      </c>
      <c r="K22" s="48">
        <v>476841</v>
      </c>
      <c r="L22" s="48">
        <v>344774</v>
      </c>
      <c r="M22" s="48">
        <v>579685</v>
      </c>
      <c r="N22" s="48">
        <v>527334</v>
      </c>
      <c r="O22" s="48">
        <v>569606</v>
      </c>
      <c r="P22" s="48">
        <v>618736</v>
      </c>
      <c r="Q22" s="4"/>
      <c r="R22" s="4"/>
      <c r="S22" s="4"/>
      <c r="T22" s="4"/>
      <c r="U22" s="3"/>
      <c r="V22" s="4"/>
      <c r="W22" s="4"/>
      <c r="X22" s="3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1"/>
      <c r="GI22" s="1"/>
      <c r="GJ22" s="1"/>
    </row>
    <row r="23" spans="1:193" ht="15.75" x14ac:dyDescent="0.25">
      <c r="A23" s="21">
        <v>7.3</v>
      </c>
      <c r="B23" s="22" t="s">
        <v>13</v>
      </c>
      <c r="C23" s="32">
        <v>0</v>
      </c>
      <c r="D23" s="32">
        <v>0</v>
      </c>
      <c r="E23" s="32">
        <v>0</v>
      </c>
      <c r="F23" s="32">
        <v>0</v>
      </c>
      <c r="G23" s="48">
        <v>0</v>
      </c>
      <c r="H23" s="48">
        <v>0</v>
      </c>
      <c r="I23" s="48">
        <v>0</v>
      </c>
      <c r="J23" s="48">
        <v>0</v>
      </c>
      <c r="K23" s="48">
        <v>0</v>
      </c>
      <c r="L23" s="48">
        <v>0</v>
      </c>
      <c r="M23" s="48">
        <v>0</v>
      </c>
      <c r="N23" s="48">
        <v>0</v>
      </c>
      <c r="O23" s="48">
        <v>0</v>
      </c>
      <c r="P23" s="48"/>
      <c r="Q23" s="4"/>
      <c r="R23" s="4"/>
      <c r="S23" s="4"/>
      <c r="T23" s="4"/>
      <c r="U23" s="3"/>
      <c r="V23" s="4"/>
      <c r="W23" s="4"/>
      <c r="X23" s="3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1"/>
      <c r="GI23" s="1"/>
      <c r="GJ23" s="1"/>
    </row>
    <row r="24" spans="1:193" ht="15.75" x14ac:dyDescent="0.25">
      <c r="A24" s="21">
        <v>7.4</v>
      </c>
      <c r="B24" s="22" t="s">
        <v>14</v>
      </c>
      <c r="C24" s="32"/>
      <c r="D24" s="32"/>
      <c r="E24" s="32"/>
      <c r="F24" s="32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"/>
      <c r="R24" s="4"/>
      <c r="S24" s="4"/>
      <c r="T24" s="4"/>
      <c r="U24" s="3"/>
      <c r="V24" s="4"/>
      <c r="W24" s="4"/>
      <c r="X24" s="3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1"/>
      <c r="GI24" s="1"/>
      <c r="GJ24" s="1"/>
    </row>
    <row r="25" spans="1:193" ht="15.75" x14ac:dyDescent="0.25">
      <c r="A25" s="21">
        <v>7.5</v>
      </c>
      <c r="B25" s="22" t="s">
        <v>15</v>
      </c>
      <c r="C25" s="32"/>
      <c r="D25" s="32"/>
      <c r="E25" s="32"/>
      <c r="F25" s="32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"/>
      <c r="R25" s="4"/>
      <c r="S25" s="4"/>
      <c r="T25" s="4"/>
      <c r="U25" s="3"/>
      <c r="V25" s="4"/>
      <c r="W25" s="4"/>
      <c r="X25" s="3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1"/>
      <c r="GI25" s="1"/>
      <c r="GJ25" s="1"/>
    </row>
    <row r="26" spans="1:193" ht="15.75" x14ac:dyDescent="0.25">
      <c r="A26" s="21">
        <v>7.6</v>
      </c>
      <c r="B26" s="22" t="s">
        <v>16</v>
      </c>
      <c r="C26" s="32">
        <v>8723</v>
      </c>
      <c r="D26" s="32">
        <v>10121</v>
      </c>
      <c r="E26" s="32">
        <v>11948</v>
      </c>
      <c r="F26" s="32">
        <v>12911</v>
      </c>
      <c r="G26" s="47">
        <v>15108</v>
      </c>
      <c r="H26" s="47">
        <v>15240</v>
      </c>
      <c r="I26" s="47">
        <v>17401</v>
      </c>
      <c r="J26" s="47">
        <v>36471</v>
      </c>
      <c r="K26" s="47">
        <v>32858</v>
      </c>
      <c r="L26" s="47">
        <v>34832</v>
      </c>
      <c r="M26" s="47">
        <v>28141</v>
      </c>
      <c r="N26" s="47">
        <v>28443</v>
      </c>
      <c r="O26" s="47">
        <v>31137</v>
      </c>
      <c r="P26" s="47">
        <v>34206</v>
      </c>
      <c r="Q26" s="4"/>
      <c r="R26" s="4"/>
      <c r="S26" s="4"/>
      <c r="T26" s="4"/>
      <c r="U26" s="3"/>
      <c r="V26" s="4"/>
      <c r="W26" s="4"/>
      <c r="X26" s="3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1"/>
      <c r="GI26" s="1"/>
      <c r="GJ26" s="1"/>
    </row>
    <row r="27" spans="1:193" ht="30" x14ac:dyDescent="0.25">
      <c r="A27" s="21">
        <v>7.7</v>
      </c>
      <c r="B27" s="22" t="s">
        <v>17</v>
      </c>
      <c r="C27" s="32">
        <v>138970</v>
      </c>
      <c r="D27" s="32">
        <v>166614</v>
      </c>
      <c r="E27" s="32">
        <v>192693</v>
      </c>
      <c r="F27" s="32">
        <v>235997</v>
      </c>
      <c r="G27" s="47">
        <v>268778</v>
      </c>
      <c r="H27" s="47">
        <v>252722</v>
      </c>
      <c r="I27" s="47">
        <v>228856</v>
      </c>
      <c r="J27" s="47">
        <v>241491</v>
      </c>
      <c r="K27" s="47">
        <v>278312</v>
      </c>
      <c r="L27" s="47">
        <v>311281</v>
      </c>
      <c r="M27" s="47">
        <v>381793</v>
      </c>
      <c r="N27" s="47">
        <v>448252</v>
      </c>
      <c r="O27" s="47">
        <v>464346</v>
      </c>
      <c r="P27" s="47">
        <v>520967</v>
      </c>
      <c r="Q27" s="4"/>
      <c r="R27" s="4"/>
      <c r="S27" s="4"/>
      <c r="T27" s="4"/>
      <c r="U27" s="3"/>
      <c r="V27" s="4"/>
      <c r="W27" s="4"/>
      <c r="X27" s="3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1"/>
      <c r="GI27" s="1"/>
      <c r="GJ27" s="1"/>
    </row>
    <row r="28" spans="1:193" ht="15.75" x14ac:dyDescent="0.25">
      <c r="A28" s="25" t="s">
        <v>37</v>
      </c>
      <c r="B28" s="22" t="s">
        <v>18</v>
      </c>
      <c r="C28" s="23">
        <v>529208</v>
      </c>
      <c r="D28" s="23">
        <v>598550</v>
      </c>
      <c r="E28" s="23">
        <v>669637</v>
      </c>
      <c r="F28" s="23">
        <v>706048</v>
      </c>
      <c r="G28" s="47">
        <v>776414</v>
      </c>
      <c r="H28" s="47">
        <v>694096</v>
      </c>
      <c r="I28" s="47">
        <v>840895</v>
      </c>
      <c r="J28" s="47">
        <v>848623</v>
      </c>
      <c r="K28" s="47">
        <v>970232</v>
      </c>
      <c r="L28" s="47">
        <v>1012001</v>
      </c>
      <c r="M28" s="47">
        <v>1069252</v>
      </c>
      <c r="N28" s="47">
        <v>1464070</v>
      </c>
      <c r="O28" s="47">
        <v>1688110</v>
      </c>
      <c r="P28" s="47">
        <v>1951408</v>
      </c>
      <c r="Q28" s="4"/>
      <c r="R28" s="4"/>
      <c r="S28" s="4"/>
      <c r="T28" s="4"/>
      <c r="U28" s="3"/>
      <c r="V28" s="4"/>
      <c r="W28" s="4"/>
      <c r="X28" s="3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1"/>
      <c r="GI28" s="1"/>
      <c r="GJ28" s="1"/>
    </row>
    <row r="29" spans="1:193" ht="30" x14ac:dyDescent="0.25">
      <c r="A29" s="25" t="s">
        <v>38</v>
      </c>
      <c r="B29" s="22" t="s">
        <v>19</v>
      </c>
      <c r="C29" s="23">
        <v>1609432</v>
      </c>
      <c r="D29" s="23">
        <v>1747426</v>
      </c>
      <c r="E29" s="23">
        <v>2032613</v>
      </c>
      <c r="F29" s="23">
        <v>2191490</v>
      </c>
      <c r="G29" s="47">
        <v>2281423</v>
      </c>
      <c r="H29" s="47">
        <v>2423725</v>
      </c>
      <c r="I29" s="47">
        <v>2543901</v>
      </c>
      <c r="J29" s="47">
        <v>2358025</v>
      </c>
      <c r="K29" s="47">
        <v>2805225</v>
      </c>
      <c r="L29" s="47">
        <v>2765326</v>
      </c>
      <c r="M29" s="47">
        <v>2968489</v>
      </c>
      <c r="N29" s="47">
        <v>3113172</v>
      </c>
      <c r="O29" s="47">
        <v>3351580</v>
      </c>
      <c r="P29" s="47">
        <v>3594272</v>
      </c>
      <c r="Q29" s="4"/>
      <c r="R29" s="4"/>
      <c r="S29" s="4"/>
      <c r="T29" s="4"/>
      <c r="U29" s="3"/>
      <c r="V29" s="4"/>
      <c r="W29" s="4"/>
      <c r="X29" s="3"/>
      <c r="Y29" s="5"/>
      <c r="Z29" s="5"/>
      <c r="AA29" s="5"/>
      <c r="AB29" s="5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1"/>
      <c r="GI29" s="1"/>
      <c r="GJ29" s="1"/>
    </row>
    <row r="30" spans="1:193" ht="15.75" x14ac:dyDescent="0.25">
      <c r="A30" s="25" t="s">
        <v>39</v>
      </c>
      <c r="B30" s="22" t="s">
        <v>54</v>
      </c>
      <c r="C30" s="23">
        <v>423898</v>
      </c>
      <c r="D30" s="23">
        <v>475364</v>
      </c>
      <c r="E30" s="23">
        <v>613867</v>
      </c>
      <c r="F30" s="23">
        <v>696822</v>
      </c>
      <c r="G30" s="47">
        <v>823850</v>
      </c>
      <c r="H30" s="47">
        <v>842732</v>
      </c>
      <c r="I30" s="47">
        <v>971096</v>
      </c>
      <c r="J30" s="47">
        <v>1094340</v>
      </c>
      <c r="K30" s="47">
        <v>1205371</v>
      </c>
      <c r="L30" s="47">
        <v>1961871</v>
      </c>
      <c r="M30" s="47">
        <v>1829753</v>
      </c>
      <c r="N30" s="47">
        <v>2103315</v>
      </c>
      <c r="O30" s="47">
        <v>2510408</v>
      </c>
      <c r="P30" s="47">
        <v>2869081</v>
      </c>
      <c r="Q30" s="4"/>
      <c r="R30" s="4"/>
      <c r="S30" s="4"/>
      <c r="T30" s="4"/>
      <c r="U30" s="3"/>
      <c r="V30" s="4"/>
      <c r="W30" s="4"/>
      <c r="X30" s="3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1"/>
      <c r="GI30" s="1"/>
      <c r="GJ30" s="1"/>
    </row>
    <row r="31" spans="1:193" ht="15.75" x14ac:dyDescent="0.25">
      <c r="A31" s="25" t="s">
        <v>40</v>
      </c>
      <c r="B31" s="22" t="s">
        <v>20</v>
      </c>
      <c r="C31" s="23">
        <v>733145</v>
      </c>
      <c r="D31" s="23">
        <v>822746</v>
      </c>
      <c r="E31" s="23">
        <v>859324</v>
      </c>
      <c r="F31" s="23">
        <v>950387</v>
      </c>
      <c r="G31" s="47">
        <v>1099011</v>
      </c>
      <c r="H31" s="47">
        <v>1271395</v>
      </c>
      <c r="I31" s="47">
        <v>1429106</v>
      </c>
      <c r="J31" s="47">
        <v>1941114</v>
      </c>
      <c r="K31" s="47">
        <v>2461725</v>
      </c>
      <c r="L31" s="47">
        <v>1946705</v>
      </c>
      <c r="M31" s="47">
        <v>2437117</v>
      </c>
      <c r="N31" s="47">
        <v>2804677</v>
      </c>
      <c r="O31" s="47">
        <v>3095636</v>
      </c>
      <c r="P31" s="47">
        <v>3547752</v>
      </c>
      <c r="Q31" s="4"/>
      <c r="R31" s="4"/>
      <c r="S31" s="4"/>
      <c r="T31" s="4"/>
      <c r="U31" s="3"/>
      <c r="V31" s="4"/>
      <c r="W31" s="4"/>
      <c r="X31" s="3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1"/>
      <c r="GI31" s="1"/>
      <c r="GJ31" s="1"/>
    </row>
    <row r="32" spans="1:193" s="11" customFormat="1" ht="15.75" x14ac:dyDescent="0.25">
      <c r="A32" s="26"/>
      <c r="B32" s="27" t="s">
        <v>30</v>
      </c>
      <c r="C32" s="28">
        <f>C17+C20+C28+C29+C30+C31</f>
        <v>4653885</v>
      </c>
      <c r="D32" s="28">
        <f t="shared" ref="D32:K32" si="12">D17+D20+D28+D29+D30+D31</f>
        <v>5243813</v>
      </c>
      <c r="E32" s="28">
        <f t="shared" si="12"/>
        <v>6006269</v>
      </c>
      <c r="F32" s="28">
        <f t="shared" si="12"/>
        <v>6539545</v>
      </c>
      <c r="G32" s="28">
        <f t="shared" si="12"/>
        <v>7105490</v>
      </c>
      <c r="H32" s="28">
        <f t="shared" si="12"/>
        <v>7881417</v>
      </c>
      <c r="I32" s="28">
        <f t="shared" si="12"/>
        <v>8374355</v>
      </c>
      <c r="J32" s="28">
        <f t="shared" si="12"/>
        <v>9237949</v>
      </c>
      <c r="K32" s="28">
        <f t="shared" si="12"/>
        <v>10633390</v>
      </c>
      <c r="L32" s="28">
        <f t="shared" ref="L32" si="13">L17+L20+L28+L29+L30+L31</f>
        <v>10275322</v>
      </c>
      <c r="M32" s="28">
        <f t="shared" ref="M32:N32" si="14">M17+M20+M28+M29+M30+M31</f>
        <v>11590854</v>
      </c>
      <c r="N32" s="28">
        <f t="shared" si="14"/>
        <v>13280036</v>
      </c>
      <c r="O32" s="28">
        <f t="shared" ref="O32" si="15">O17+O20+O28+O29+O30+O31</f>
        <v>15056764</v>
      </c>
      <c r="P32" s="28">
        <f t="shared" ref="P32" si="16">P17+P20+P28+P29+P30+P31</f>
        <v>17029356</v>
      </c>
      <c r="Q32" s="4"/>
      <c r="R32" s="4"/>
      <c r="S32" s="4"/>
      <c r="T32" s="4"/>
      <c r="U32" s="3"/>
      <c r="V32" s="4"/>
      <c r="W32" s="4"/>
      <c r="X32" s="3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12"/>
      <c r="GH32" s="10"/>
      <c r="GI32" s="10"/>
      <c r="GJ32" s="10"/>
    </row>
    <row r="33" spans="1:193" s="10" customFormat="1" ht="15.75" x14ac:dyDescent="0.25">
      <c r="A33" s="17" t="s">
        <v>27</v>
      </c>
      <c r="B33" s="36" t="s">
        <v>51</v>
      </c>
      <c r="C33" s="19">
        <f>C6+C11+C13+C14+C15+C17+C20+C28+C29+C30+C31</f>
        <v>13262941.606278047</v>
      </c>
      <c r="D33" s="19">
        <f t="shared" ref="D33:K33" si="17">D6+D11+D13+D14+D15+D17+D20+D28+D29+D30+D31</f>
        <v>14805342.373714315</v>
      </c>
      <c r="E33" s="19">
        <f t="shared" si="17"/>
        <v>17464354</v>
      </c>
      <c r="F33" s="19">
        <f t="shared" si="17"/>
        <v>18526319</v>
      </c>
      <c r="G33" s="19">
        <f t="shared" si="17"/>
        <v>18920223</v>
      </c>
      <c r="H33" s="19">
        <f t="shared" si="17"/>
        <v>21138432</v>
      </c>
      <c r="I33" s="19">
        <f t="shared" si="17"/>
        <v>22903176</v>
      </c>
      <c r="J33" s="19">
        <f t="shared" si="17"/>
        <v>26825726</v>
      </c>
      <c r="K33" s="19">
        <f t="shared" si="17"/>
        <v>28892062</v>
      </c>
      <c r="L33" s="19">
        <f t="shared" ref="L33" si="18">L6+L11+L13+L14+L15+L17+L20+L28+L29+L30+L31</f>
        <v>29497528</v>
      </c>
      <c r="M33" s="19">
        <f t="shared" ref="M33:N33" si="19">M6+M11+M13+M14+M15+M17+M20+M28+M29+M30+M31</f>
        <v>34580069</v>
      </c>
      <c r="N33" s="19">
        <f t="shared" si="19"/>
        <v>38029079</v>
      </c>
      <c r="O33" s="19">
        <f t="shared" ref="O33" si="20">O6+O11+O13+O14+O15+O17+O20+O28+O29+O30+O31</f>
        <v>42191764</v>
      </c>
      <c r="P33" s="19">
        <f t="shared" ref="P33" si="21">P6+P11+P13+P14+P15+P17+P20+P28+P29+P30+P31</f>
        <v>46577517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9"/>
      <c r="FU33" s="9"/>
      <c r="FV33" s="9"/>
      <c r="FW33" s="9"/>
      <c r="FX33" s="9"/>
      <c r="FY33" s="9"/>
      <c r="FZ33" s="9"/>
      <c r="GA33" s="9"/>
      <c r="GB33" s="9"/>
      <c r="GC33" s="9"/>
      <c r="GD33" s="9"/>
      <c r="GE33" s="9"/>
      <c r="GF33" s="9"/>
      <c r="GG33" s="9"/>
      <c r="GK33" s="11"/>
    </row>
    <row r="34" spans="1:193" s="11" customFormat="1" ht="15.75" x14ac:dyDescent="0.25">
      <c r="A34" s="40" t="s">
        <v>43</v>
      </c>
      <c r="B34" s="41" t="s">
        <v>25</v>
      </c>
      <c r="C34" s="49">
        <f>GSVA_cur!C34</f>
        <v>964400</v>
      </c>
      <c r="D34" s="49">
        <f>GSVA_cur!D34</f>
        <v>1137800</v>
      </c>
      <c r="E34" s="49">
        <f>GSVA_cur!E34</f>
        <v>1140607</v>
      </c>
      <c r="F34" s="49">
        <f>GSVA_cur!F34</f>
        <v>1205047</v>
      </c>
      <c r="G34" s="49">
        <f>GSVA_cur!G34</f>
        <v>1145094</v>
      </c>
      <c r="H34" s="49">
        <f>GSVA_cur!H34</f>
        <v>2125581</v>
      </c>
      <c r="I34" s="49">
        <f>GSVA_cur!I34</f>
        <v>2299911</v>
      </c>
      <c r="J34" s="49">
        <f>GSVA_cur!J34</f>
        <v>2600061</v>
      </c>
      <c r="K34" s="49">
        <f>GSVA_cur!K34</f>
        <v>1969676</v>
      </c>
      <c r="L34" s="49">
        <f>GSVA_cur!L34</f>
        <v>1629739</v>
      </c>
      <c r="M34" s="49">
        <f>GSVA_cur!M34</f>
        <v>2088785</v>
      </c>
      <c r="N34" s="49">
        <f>GSVA_cur!N34</f>
        <v>2519624</v>
      </c>
      <c r="O34" s="49">
        <f>GSVA_cur!O34</f>
        <v>3050822</v>
      </c>
      <c r="P34" s="49">
        <f>GSVA_cur!P34</f>
        <v>3462520</v>
      </c>
      <c r="Q34" s="4"/>
      <c r="R34" s="4"/>
      <c r="S34" s="4"/>
      <c r="T34" s="4"/>
      <c r="U34" s="3"/>
      <c r="V34" s="4"/>
      <c r="W34" s="4"/>
      <c r="X34" s="3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  <c r="GB34" s="12"/>
      <c r="GC34" s="12"/>
      <c r="GD34" s="12"/>
      <c r="GE34" s="12"/>
      <c r="GF34" s="12"/>
    </row>
    <row r="35" spans="1:193" s="11" customFormat="1" ht="15.75" x14ac:dyDescent="0.25">
      <c r="A35" s="40" t="s">
        <v>44</v>
      </c>
      <c r="B35" s="41" t="s">
        <v>24</v>
      </c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"/>
      <c r="R35" s="4"/>
      <c r="S35" s="4"/>
      <c r="T35" s="4"/>
      <c r="U35" s="3"/>
      <c r="V35" s="4"/>
      <c r="W35" s="4"/>
      <c r="X35" s="3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9"/>
      <c r="DZ35" s="9"/>
      <c r="EA35" s="9"/>
      <c r="EB35" s="9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2"/>
      <c r="FT35" s="12"/>
      <c r="FU35" s="12"/>
      <c r="FV35" s="12"/>
      <c r="FW35" s="12"/>
      <c r="FX35" s="12"/>
      <c r="FY35" s="12"/>
      <c r="FZ35" s="12"/>
      <c r="GA35" s="12"/>
      <c r="GB35" s="12"/>
      <c r="GC35" s="12"/>
      <c r="GD35" s="12"/>
      <c r="GE35" s="12"/>
      <c r="GF35" s="12"/>
    </row>
    <row r="36" spans="1:193" s="11" customFormat="1" ht="15.75" x14ac:dyDescent="0.25">
      <c r="A36" s="40" t="s">
        <v>45</v>
      </c>
      <c r="B36" s="41" t="s">
        <v>63</v>
      </c>
      <c r="C36" s="28">
        <f>C33+C34-C35</f>
        <v>14227341.606278047</v>
      </c>
      <c r="D36" s="28">
        <f>D33+D34-D35</f>
        <v>15943142.373714315</v>
      </c>
      <c r="E36" s="28">
        <f>E33+E34-E35</f>
        <v>18604961</v>
      </c>
      <c r="F36" s="28">
        <f>F33+F34-F35</f>
        <v>19731366</v>
      </c>
      <c r="G36" s="28">
        <f t="shared" ref="G36:H36" si="22">G33+G34-G35</f>
        <v>20065317</v>
      </c>
      <c r="H36" s="28">
        <f t="shared" si="22"/>
        <v>23264013</v>
      </c>
      <c r="I36" s="28">
        <f t="shared" ref="I36:O36" si="23">I33+I34-I35</f>
        <v>25203087</v>
      </c>
      <c r="J36" s="28">
        <f t="shared" si="23"/>
        <v>29425787</v>
      </c>
      <c r="K36" s="28">
        <f t="shared" si="23"/>
        <v>30861738</v>
      </c>
      <c r="L36" s="28">
        <f t="shared" si="23"/>
        <v>31127267</v>
      </c>
      <c r="M36" s="28">
        <f t="shared" si="23"/>
        <v>36668854</v>
      </c>
      <c r="N36" s="28">
        <f t="shared" si="23"/>
        <v>40548703</v>
      </c>
      <c r="O36" s="28">
        <f t="shared" si="23"/>
        <v>45242586</v>
      </c>
      <c r="P36" s="28">
        <f t="shared" ref="P36" si="24">P33+P34-P35</f>
        <v>50040037</v>
      </c>
      <c r="Q36" s="4"/>
      <c r="R36" s="4"/>
      <c r="S36" s="4"/>
      <c r="T36" s="4"/>
      <c r="U36" s="3"/>
      <c r="V36" s="4"/>
      <c r="W36" s="4"/>
      <c r="X36" s="3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  <c r="GF36" s="12"/>
    </row>
    <row r="37" spans="1:193" s="11" customFormat="1" ht="15.75" x14ac:dyDescent="0.25">
      <c r="A37" s="40" t="s">
        <v>46</v>
      </c>
      <c r="B37" s="41" t="s">
        <v>42</v>
      </c>
      <c r="C37" s="50">
        <f>GSVA_cur!C37</f>
        <v>257850</v>
      </c>
      <c r="D37" s="50">
        <f>GSVA_cur!D37</f>
        <v>262010</v>
      </c>
      <c r="E37" s="50">
        <f>GSVA_cur!E37</f>
        <v>266240</v>
      </c>
      <c r="F37" s="50">
        <f>GSVA_cur!F37</f>
        <v>270530</v>
      </c>
      <c r="G37" s="50">
        <f>GSVA_cur!G37</f>
        <v>274900</v>
      </c>
      <c r="H37" s="50">
        <f>GSVA_cur!H37</f>
        <v>279330</v>
      </c>
      <c r="I37" s="50">
        <f>GSVA_cur!I37</f>
        <v>283840</v>
      </c>
      <c r="J37" s="50">
        <f>GSVA_cur!J37</f>
        <v>288420</v>
      </c>
      <c r="K37" s="50">
        <f>GSVA_cur!K37</f>
        <v>289480</v>
      </c>
      <c r="L37" s="50">
        <f>GSVA_cur!L37</f>
        <v>293330</v>
      </c>
      <c r="M37" s="50">
        <f>GSVA_cur!M37</f>
        <v>296930</v>
      </c>
      <c r="N37" s="50">
        <f>GSVA_cur!N37</f>
        <v>300370</v>
      </c>
      <c r="O37" s="50">
        <f>GSVA_cur!O37</f>
        <v>303800</v>
      </c>
      <c r="P37" s="50">
        <f>GSVA_cur!P37</f>
        <v>307240</v>
      </c>
      <c r="Q37" s="2"/>
      <c r="R37" s="2"/>
      <c r="S37" s="2"/>
      <c r="T37" s="2"/>
      <c r="U37" s="1"/>
      <c r="V37" s="2"/>
      <c r="W37" s="2"/>
      <c r="X37" s="1"/>
      <c r="Y37" s="1"/>
      <c r="Z37" s="1"/>
      <c r="AA37" s="1"/>
      <c r="AB37" s="1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</row>
    <row r="38" spans="1:193" s="11" customFormat="1" ht="15.75" x14ac:dyDescent="0.25">
      <c r="A38" s="40" t="s">
        <v>47</v>
      </c>
      <c r="B38" s="41" t="s">
        <v>64</v>
      </c>
      <c r="C38" s="28">
        <f>C36/C37*1000</f>
        <v>55176.814451340106</v>
      </c>
      <c r="D38" s="28">
        <f t="shared" ref="D38:H38" si="25">D36/D37*1000</f>
        <v>60849.365954407527</v>
      </c>
      <c r="E38" s="28">
        <f t="shared" si="25"/>
        <v>69880.412409855766</v>
      </c>
      <c r="F38" s="28">
        <f t="shared" si="25"/>
        <v>72935.962739807044</v>
      </c>
      <c r="G38" s="28">
        <f t="shared" si="25"/>
        <v>72991.331393233908</v>
      </c>
      <c r="H38" s="28">
        <f t="shared" si="25"/>
        <v>83285.049940930083</v>
      </c>
      <c r="I38" s="28">
        <f t="shared" ref="I38:O38" si="26">I36/I37*1000</f>
        <v>88793.288472378801</v>
      </c>
      <c r="J38" s="28">
        <f t="shared" si="26"/>
        <v>102024.08640177519</v>
      </c>
      <c r="K38" s="28">
        <f t="shared" si="26"/>
        <v>106610.95067016719</v>
      </c>
      <c r="L38" s="28">
        <f t="shared" si="26"/>
        <v>106116.88882828214</v>
      </c>
      <c r="M38" s="28">
        <f t="shared" si="26"/>
        <v>123493.26103795508</v>
      </c>
      <c r="N38" s="28">
        <f t="shared" si="26"/>
        <v>134995.84845357394</v>
      </c>
      <c r="O38" s="28">
        <f t="shared" si="26"/>
        <v>148922.27123107307</v>
      </c>
      <c r="P38" s="28">
        <f t="shared" ref="P38" si="27">P36/P37*1000</f>
        <v>162869.53847155318</v>
      </c>
      <c r="Q38" s="2"/>
      <c r="R38" s="2"/>
      <c r="S38" s="2"/>
      <c r="T38" s="2"/>
      <c r="U38" s="1"/>
      <c r="V38" s="2"/>
      <c r="W38" s="2"/>
      <c r="X38" s="3"/>
      <c r="Y38" s="3"/>
      <c r="Z38" s="3"/>
      <c r="AA38" s="3"/>
      <c r="AB38" s="3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CC38" s="12"/>
      <c r="CD38" s="12"/>
      <c r="CE38" s="12"/>
      <c r="CF38" s="12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</row>
    <row r="39" spans="1:193" x14ac:dyDescent="0.25">
      <c r="A39" s="2" t="s">
        <v>75</v>
      </c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8" max="1048575" man="1"/>
    <brk id="40" max="1048575" man="1"/>
    <brk id="56" max="1048575" man="1"/>
    <brk id="120" max="95" man="1"/>
    <brk id="156" max="1048575" man="1"/>
    <brk id="180" max="1048575" man="1"/>
    <brk id="188" max="9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S39"/>
  <sheetViews>
    <sheetView tabSelected="1" zoomScale="87" zoomScaleNormal="87" zoomScaleSheetLayoutView="100" workbookViewId="0">
      <pane xSplit="2" ySplit="5" topLeftCell="C6" activePane="bottomRight" state="frozen"/>
      <selection activeCell="S25" sqref="S25"/>
      <selection pane="topRight" activeCell="S25" sqref="S25"/>
      <selection pane="bottomLeft" activeCell="S25" sqref="S25"/>
      <selection pane="bottomRight" activeCell="S25" sqref="S25"/>
    </sheetView>
  </sheetViews>
  <sheetFormatPr defaultColWidth="8.85546875" defaultRowHeight="15" x14ac:dyDescent="0.25"/>
  <cols>
    <col min="1" max="1" width="11" style="2" customWidth="1"/>
    <col min="2" max="2" width="36.85546875" style="2" customWidth="1"/>
    <col min="3" max="6" width="10.85546875" style="2" customWidth="1"/>
    <col min="7" max="16" width="11.85546875" style="1" customWidth="1"/>
    <col min="17" max="17" width="11.7109375" style="1" customWidth="1"/>
    <col min="18" max="18" width="9.140625" style="2" customWidth="1"/>
    <col min="19" max="19" width="10.85546875" style="2" customWidth="1"/>
    <col min="20" max="20" width="10.85546875" style="1" customWidth="1"/>
    <col min="21" max="21" width="11" style="2" customWidth="1"/>
    <col min="22" max="24" width="11.42578125" style="2" customWidth="1"/>
    <col min="25" max="52" width="9.140625" style="2" customWidth="1"/>
    <col min="53" max="53" width="12.42578125" style="2" customWidth="1"/>
    <col min="54" max="75" width="9.140625" style="2" customWidth="1"/>
    <col min="76" max="76" width="12.140625" style="2" customWidth="1"/>
    <col min="77" max="80" width="9.140625" style="2" customWidth="1"/>
    <col min="81" max="85" width="9.140625" style="2" hidden="1" customWidth="1"/>
    <col min="86" max="86" width="9.140625" style="2" customWidth="1"/>
    <col min="87" max="91" width="9.140625" style="2" hidden="1" customWidth="1"/>
    <col min="92" max="92" width="9.140625" style="2" customWidth="1"/>
    <col min="93" max="97" width="9.140625" style="2" hidden="1" customWidth="1"/>
    <col min="98" max="98" width="9.140625" style="2" customWidth="1"/>
    <col min="99" max="103" width="9.140625" style="2" hidden="1" customWidth="1"/>
    <col min="104" max="104" width="9.140625" style="2" customWidth="1"/>
    <col min="105" max="109" width="9.140625" style="2" hidden="1" customWidth="1"/>
    <col min="110" max="110" width="9.140625" style="1" customWidth="1"/>
    <col min="111" max="115" width="9.140625" style="1" hidden="1" customWidth="1"/>
    <col min="116" max="116" width="9.140625" style="1" customWidth="1"/>
    <col min="117" max="121" width="9.140625" style="1" hidden="1" customWidth="1"/>
    <col min="122" max="122" width="9.140625" style="1" customWidth="1"/>
    <col min="123" max="127" width="9.140625" style="1" hidden="1" customWidth="1"/>
    <col min="128" max="128" width="9.140625" style="1" customWidth="1"/>
    <col min="129" max="158" width="9.140625" style="2" customWidth="1"/>
    <col min="159" max="159" width="9.140625" style="2" hidden="1" customWidth="1"/>
    <col min="160" max="167" width="9.140625" style="2" customWidth="1"/>
    <col min="168" max="168" width="9.140625" style="2" hidden="1" customWidth="1"/>
    <col min="169" max="173" width="9.140625" style="2" customWidth="1"/>
    <col min="174" max="174" width="9.140625" style="2" hidden="1" customWidth="1"/>
    <col min="175" max="184" width="9.140625" style="2" customWidth="1"/>
    <col min="185" max="188" width="8.85546875" style="2"/>
    <col min="189" max="189" width="12.7109375" style="2" bestFit="1" customWidth="1"/>
    <col min="190" max="16384" width="8.85546875" style="2"/>
  </cols>
  <sheetData>
    <row r="1" spans="1:189" ht="18.75" x14ac:dyDescent="0.3">
      <c r="A1" s="2" t="s">
        <v>53</v>
      </c>
      <c r="B1" s="6" t="s">
        <v>66</v>
      </c>
      <c r="S1" s="3"/>
    </row>
    <row r="2" spans="1:189" ht="15.75" x14ac:dyDescent="0.25">
      <c r="A2" s="7" t="s">
        <v>52</v>
      </c>
      <c r="I2" s="1" t="str">
        <f>[1]GSVA_cur!$I$3</f>
        <v>01.08.2025</v>
      </c>
    </row>
    <row r="3" spans="1:189" ht="15.75" x14ac:dyDescent="0.25">
      <c r="A3" s="7"/>
    </row>
    <row r="4" spans="1:189" ht="15.75" x14ac:dyDescent="0.25">
      <c r="A4" s="7"/>
      <c r="E4" s="8"/>
      <c r="F4" s="8" t="s">
        <v>57</v>
      </c>
    </row>
    <row r="5" spans="1:189" ht="15.75" x14ac:dyDescent="0.25">
      <c r="A5" s="13" t="s">
        <v>0</v>
      </c>
      <c r="B5" s="14" t="s">
        <v>1</v>
      </c>
      <c r="C5" s="15" t="s">
        <v>21</v>
      </c>
      <c r="D5" s="15" t="s">
        <v>22</v>
      </c>
      <c r="E5" s="15" t="s">
        <v>23</v>
      </c>
      <c r="F5" s="15" t="s">
        <v>56</v>
      </c>
      <c r="G5" s="16" t="s">
        <v>65</v>
      </c>
      <c r="H5" s="16" t="s">
        <v>67</v>
      </c>
      <c r="I5" s="16" t="s">
        <v>68</v>
      </c>
      <c r="J5" s="16" t="s">
        <v>69</v>
      </c>
      <c r="K5" s="16" t="s">
        <v>70</v>
      </c>
      <c r="L5" s="16" t="s">
        <v>71</v>
      </c>
      <c r="M5" s="16" t="s">
        <v>72</v>
      </c>
      <c r="N5" s="16" t="s">
        <v>73</v>
      </c>
      <c r="O5" s="16" t="s">
        <v>74</v>
      </c>
      <c r="P5" s="16" t="s">
        <v>76</v>
      </c>
    </row>
    <row r="6" spans="1:189" s="10" customFormat="1" ht="15.75" x14ac:dyDescent="0.25">
      <c r="A6" s="17" t="s">
        <v>26</v>
      </c>
      <c r="B6" s="18" t="s">
        <v>2</v>
      </c>
      <c r="C6" s="19">
        <f>SUM(C7:C10)</f>
        <v>2496386.5117031052</v>
      </c>
      <c r="D6" s="19">
        <f>SUM(D7:D10)</f>
        <v>2645350.869750076</v>
      </c>
      <c r="E6" s="19">
        <f>SUM(E7:E10)</f>
        <v>2706120</v>
      </c>
      <c r="F6" s="19">
        <f>SUM(F7:F10)</f>
        <v>2884081</v>
      </c>
      <c r="G6" s="43">
        <f t="shared" ref="G6:P6" si="0">SUM(G7:G10)</f>
        <v>2844302</v>
      </c>
      <c r="H6" s="43">
        <f t="shared" si="0"/>
        <v>3489973</v>
      </c>
      <c r="I6" s="43">
        <f t="shared" si="0"/>
        <v>3066117</v>
      </c>
      <c r="J6" s="43">
        <f t="shared" si="0"/>
        <v>3503372</v>
      </c>
      <c r="K6" s="43">
        <f t="shared" si="0"/>
        <v>3687339</v>
      </c>
      <c r="L6" s="43">
        <f t="shared" si="0"/>
        <v>3853734</v>
      </c>
      <c r="M6" s="43">
        <f t="shared" si="0"/>
        <v>4027986</v>
      </c>
      <c r="N6" s="43">
        <f t="shared" si="0"/>
        <v>4390192</v>
      </c>
      <c r="O6" s="43">
        <f t="shared" si="0"/>
        <v>4523067</v>
      </c>
      <c r="P6" s="43">
        <f t="shared" si="0"/>
        <v>4758040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G6" s="11"/>
    </row>
    <row r="7" spans="1:189" ht="17.25" x14ac:dyDescent="0.25">
      <c r="A7" s="21">
        <v>1.1000000000000001</v>
      </c>
      <c r="B7" s="22" t="s">
        <v>59</v>
      </c>
      <c r="C7" s="44">
        <v>1646143</v>
      </c>
      <c r="D7" s="44">
        <v>1759339</v>
      </c>
      <c r="E7" s="44">
        <v>1802700</v>
      </c>
      <c r="F7" s="44">
        <v>1852931</v>
      </c>
      <c r="G7" s="44">
        <v>1778748</v>
      </c>
      <c r="H7" s="44">
        <v>2244327</v>
      </c>
      <c r="I7" s="44">
        <v>1775259</v>
      </c>
      <c r="J7" s="44">
        <v>2051322</v>
      </c>
      <c r="K7" s="44">
        <v>2084876</v>
      </c>
      <c r="L7" s="44">
        <v>2170728</v>
      </c>
      <c r="M7" s="44">
        <v>2281085</v>
      </c>
      <c r="N7" s="44">
        <v>2520712</v>
      </c>
      <c r="O7" s="44">
        <v>2563840</v>
      </c>
      <c r="P7" s="44">
        <v>2664377</v>
      </c>
      <c r="Q7" s="3"/>
      <c r="R7" s="4"/>
      <c r="S7" s="4"/>
      <c r="T7" s="3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1"/>
      <c r="GE7" s="1"/>
      <c r="GF7" s="1"/>
    </row>
    <row r="8" spans="1:189" ht="17.25" x14ac:dyDescent="0.25">
      <c r="A8" s="21">
        <v>1.2</v>
      </c>
      <c r="B8" s="22" t="s">
        <v>60</v>
      </c>
      <c r="C8" s="44">
        <v>221527</v>
      </c>
      <c r="D8" s="44">
        <v>232404</v>
      </c>
      <c r="E8" s="44">
        <v>243589</v>
      </c>
      <c r="F8" s="44">
        <v>238685</v>
      </c>
      <c r="G8" s="44">
        <v>246323</v>
      </c>
      <c r="H8" s="44">
        <v>277322</v>
      </c>
      <c r="I8" s="44">
        <v>305829</v>
      </c>
      <c r="J8" s="44">
        <v>373065</v>
      </c>
      <c r="K8" s="44">
        <v>407564</v>
      </c>
      <c r="L8" s="44">
        <v>408140</v>
      </c>
      <c r="M8" s="44">
        <v>434699</v>
      </c>
      <c r="N8" s="44">
        <v>473847</v>
      </c>
      <c r="O8" s="44">
        <v>483375</v>
      </c>
      <c r="P8" s="44">
        <v>532110</v>
      </c>
      <c r="Q8" s="3"/>
      <c r="R8" s="4"/>
      <c r="S8" s="4"/>
      <c r="T8" s="3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1"/>
      <c r="GE8" s="1"/>
      <c r="GF8" s="1"/>
    </row>
    <row r="9" spans="1:189" ht="17.25" x14ac:dyDescent="0.25">
      <c r="A9" s="21">
        <v>1.3</v>
      </c>
      <c r="B9" s="22" t="s">
        <v>61</v>
      </c>
      <c r="C9" s="44">
        <v>421532</v>
      </c>
      <c r="D9" s="44">
        <v>444009</v>
      </c>
      <c r="E9" s="44">
        <v>422855</v>
      </c>
      <c r="F9" s="44">
        <v>530276</v>
      </c>
      <c r="G9" s="44">
        <v>532635</v>
      </c>
      <c r="H9" s="44">
        <v>650404</v>
      </c>
      <c r="I9" s="44">
        <v>597228</v>
      </c>
      <c r="J9" s="44">
        <v>664606</v>
      </c>
      <c r="K9" s="44">
        <v>737049</v>
      </c>
      <c r="L9" s="44">
        <v>792986</v>
      </c>
      <c r="M9" s="44">
        <v>816459</v>
      </c>
      <c r="N9" s="44">
        <v>846670</v>
      </c>
      <c r="O9" s="44">
        <v>859623</v>
      </c>
      <c r="P9" s="44">
        <v>894325</v>
      </c>
      <c r="Q9" s="3"/>
      <c r="R9" s="4"/>
      <c r="S9" s="4"/>
      <c r="T9" s="3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1"/>
      <c r="GE9" s="1"/>
      <c r="GF9" s="1"/>
    </row>
    <row r="10" spans="1:189" ht="17.25" x14ac:dyDescent="0.25">
      <c r="A10" s="21">
        <v>1.4</v>
      </c>
      <c r="B10" s="22" t="s">
        <v>62</v>
      </c>
      <c r="C10" s="44">
        <v>207184.51170310527</v>
      </c>
      <c r="D10" s="44">
        <v>209598.86975007606</v>
      </c>
      <c r="E10" s="44">
        <v>236976</v>
      </c>
      <c r="F10" s="44">
        <v>262189</v>
      </c>
      <c r="G10" s="44">
        <v>286596</v>
      </c>
      <c r="H10" s="44">
        <v>317920</v>
      </c>
      <c r="I10" s="44">
        <v>387801</v>
      </c>
      <c r="J10" s="44">
        <v>414379</v>
      </c>
      <c r="K10" s="44">
        <v>457850</v>
      </c>
      <c r="L10" s="44">
        <v>481880</v>
      </c>
      <c r="M10" s="44">
        <v>495743</v>
      </c>
      <c r="N10" s="44">
        <v>548963</v>
      </c>
      <c r="O10" s="44">
        <v>616229</v>
      </c>
      <c r="P10" s="44">
        <v>667228</v>
      </c>
      <c r="Q10" s="3"/>
      <c r="R10" s="4"/>
      <c r="S10" s="4"/>
      <c r="T10" s="3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1"/>
      <c r="GE10" s="1"/>
      <c r="GF10" s="1"/>
    </row>
    <row r="11" spans="1:189" ht="17.25" x14ac:dyDescent="0.25">
      <c r="A11" s="25" t="s">
        <v>31</v>
      </c>
      <c r="B11" s="22" t="s">
        <v>3</v>
      </c>
      <c r="C11" s="44">
        <v>1732435.4920786407</v>
      </c>
      <c r="D11" s="44">
        <v>1700990.3092080317</v>
      </c>
      <c r="E11" s="44">
        <v>1790237</v>
      </c>
      <c r="F11" s="44">
        <v>1799334</v>
      </c>
      <c r="G11" s="44">
        <v>1747743</v>
      </c>
      <c r="H11" s="44">
        <v>1934792</v>
      </c>
      <c r="I11" s="44">
        <v>2073111</v>
      </c>
      <c r="J11" s="44">
        <v>2258727</v>
      </c>
      <c r="K11" s="44">
        <v>2217487</v>
      </c>
      <c r="L11" s="44">
        <v>2235401</v>
      </c>
      <c r="M11" s="44">
        <v>2382098</v>
      </c>
      <c r="N11" s="44">
        <v>2599420</v>
      </c>
      <c r="O11" s="44">
        <v>2868969</v>
      </c>
      <c r="P11" s="44">
        <v>3049818</v>
      </c>
      <c r="Q11" s="3"/>
      <c r="R11" s="4"/>
      <c r="S11" s="4"/>
      <c r="T11" s="3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1"/>
      <c r="GE11" s="1"/>
      <c r="GF11" s="1"/>
    </row>
    <row r="12" spans="1:189" s="11" customFormat="1" ht="15.75" x14ac:dyDescent="0.25">
      <c r="A12" s="26"/>
      <c r="B12" s="27" t="s">
        <v>28</v>
      </c>
      <c r="C12" s="28">
        <f>C6+C11</f>
        <v>4228822.0037817461</v>
      </c>
      <c r="D12" s="28">
        <f>D6+D11</f>
        <v>4346341.1789581077</v>
      </c>
      <c r="E12" s="28">
        <f>E6+E11</f>
        <v>4496357</v>
      </c>
      <c r="F12" s="28">
        <f>F6+F11</f>
        <v>4683415</v>
      </c>
      <c r="G12" s="45">
        <f t="shared" ref="G12:P12" si="1">G6+G11</f>
        <v>4592045</v>
      </c>
      <c r="H12" s="45">
        <f t="shared" si="1"/>
        <v>5424765</v>
      </c>
      <c r="I12" s="45">
        <f t="shared" si="1"/>
        <v>5139228</v>
      </c>
      <c r="J12" s="45">
        <f t="shared" si="1"/>
        <v>5762099</v>
      </c>
      <c r="K12" s="45">
        <f t="shared" si="1"/>
        <v>5904826</v>
      </c>
      <c r="L12" s="45">
        <f t="shared" si="1"/>
        <v>6089135</v>
      </c>
      <c r="M12" s="45">
        <f t="shared" si="1"/>
        <v>6410084</v>
      </c>
      <c r="N12" s="45">
        <f t="shared" si="1"/>
        <v>6989612</v>
      </c>
      <c r="O12" s="45">
        <f t="shared" si="1"/>
        <v>7392036</v>
      </c>
      <c r="P12" s="45">
        <f t="shared" si="1"/>
        <v>7807858</v>
      </c>
      <c r="Q12" s="3"/>
      <c r="R12" s="4"/>
      <c r="S12" s="4"/>
      <c r="T12" s="3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0"/>
      <c r="GE12" s="10"/>
      <c r="GF12" s="10"/>
    </row>
    <row r="13" spans="1:189" s="1" customFormat="1" ht="15.75" x14ac:dyDescent="0.25">
      <c r="A13" s="29" t="s">
        <v>32</v>
      </c>
      <c r="B13" s="30" t="s">
        <v>4</v>
      </c>
      <c r="C13" s="23">
        <v>2096873.4278000006</v>
      </c>
      <c r="D13" s="23">
        <v>2313478.6297598686</v>
      </c>
      <c r="E13" s="23">
        <v>3243314</v>
      </c>
      <c r="F13" s="23">
        <v>2920843</v>
      </c>
      <c r="G13" s="46">
        <v>2995128</v>
      </c>
      <c r="H13" s="46">
        <v>2539959</v>
      </c>
      <c r="I13" s="46">
        <v>3033179</v>
      </c>
      <c r="J13" s="46">
        <v>3961519</v>
      </c>
      <c r="K13" s="46">
        <v>4056009</v>
      </c>
      <c r="L13" s="46">
        <v>4322452</v>
      </c>
      <c r="M13" s="46">
        <v>4830496</v>
      </c>
      <c r="N13" s="46">
        <v>4620761</v>
      </c>
      <c r="O13" s="46">
        <v>4641909</v>
      </c>
      <c r="P13" s="46">
        <v>4922600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G13" s="2"/>
    </row>
    <row r="14" spans="1:189" ht="30" x14ac:dyDescent="0.25">
      <c r="A14" s="25" t="s">
        <v>33</v>
      </c>
      <c r="B14" s="22" t="s">
        <v>5</v>
      </c>
      <c r="C14" s="23">
        <v>471685</v>
      </c>
      <c r="D14" s="23">
        <v>632141</v>
      </c>
      <c r="E14" s="23">
        <v>713591</v>
      </c>
      <c r="F14" s="23">
        <v>780262</v>
      </c>
      <c r="G14" s="47">
        <v>999685</v>
      </c>
      <c r="H14" s="47">
        <v>1149688</v>
      </c>
      <c r="I14" s="47">
        <v>1374308</v>
      </c>
      <c r="J14" s="47">
        <v>1480320</v>
      </c>
      <c r="K14" s="47">
        <v>1656190</v>
      </c>
      <c r="L14" s="47">
        <v>1758485</v>
      </c>
      <c r="M14" s="47">
        <v>1927512</v>
      </c>
      <c r="N14" s="47">
        <v>2020084</v>
      </c>
      <c r="O14" s="47">
        <v>2072763</v>
      </c>
      <c r="P14" s="47">
        <v>2284639</v>
      </c>
      <c r="Q14" s="3"/>
      <c r="R14" s="4"/>
      <c r="S14" s="4"/>
      <c r="T14" s="3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3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3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3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1"/>
      <c r="GE14" s="1"/>
      <c r="GF14" s="1"/>
    </row>
    <row r="15" spans="1:189" ht="15.75" x14ac:dyDescent="0.25">
      <c r="A15" s="25" t="s">
        <v>34</v>
      </c>
      <c r="B15" s="22" t="s">
        <v>6</v>
      </c>
      <c r="C15" s="23">
        <v>1811676.1746962999</v>
      </c>
      <c r="D15" s="23">
        <v>1690636.592489541</v>
      </c>
      <c r="E15" s="23">
        <v>1652417</v>
      </c>
      <c r="F15" s="23">
        <v>1656004</v>
      </c>
      <c r="G15" s="47">
        <v>1503250</v>
      </c>
      <c r="H15" s="47">
        <v>1697422</v>
      </c>
      <c r="I15" s="47">
        <v>1809386</v>
      </c>
      <c r="J15" s="47">
        <v>2089019</v>
      </c>
      <c r="K15" s="47">
        <v>2061911</v>
      </c>
      <c r="L15" s="47">
        <v>1907769</v>
      </c>
      <c r="M15" s="47">
        <v>1599701</v>
      </c>
      <c r="N15" s="47">
        <v>1723939</v>
      </c>
      <c r="O15" s="47">
        <v>1843693</v>
      </c>
      <c r="P15" s="47">
        <v>1957023</v>
      </c>
      <c r="Q15" s="3"/>
      <c r="R15" s="4"/>
      <c r="S15" s="4"/>
      <c r="T15" s="3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3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3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3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1"/>
      <c r="GE15" s="1"/>
      <c r="GF15" s="1"/>
    </row>
    <row r="16" spans="1:189" s="11" customFormat="1" ht="15.75" x14ac:dyDescent="0.25">
      <c r="A16" s="26"/>
      <c r="B16" s="27" t="s">
        <v>29</v>
      </c>
      <c r="C16" s="28">
        <f>+C13+C14+C15</f>
        <v>4380234.6024963008</v>
      </c>
      <c r="D16" s="28">
        <f>+D13+D14+D15</f>
        <v>4636256.2222494092</v>
      </c>
      <c r="E16" s="28">
        <f>+E13+E14+E15</f>
        <v>5609322</v>
      </c>
      <c r="F16" s="28">
        <f>+F13+F14+F15</f>
        <v>5357109</v>
      </c>
      <c r="G16" s="45">
        <f t="shared" ref="G16:H16" si="2">+G13+G14+G15</f>
        <v>5498063</v>
      </c>
      <c r="H16" s="45">
        <f t="shared" si="2"/>
        <v>5387069</v>
      </c>
      <c r="I16" s="45">
        <f t="shared" ref="I16:K16" si="3">+I13+I14+I15</f>
        <v>6216873</v>
      </c>
      <c r="J16" s="45">
        <f t="shared" si="3"/>
        <v>7530858</v>
      </c>
      <c r="K16" s="45">
        <f t="shared" si="3"/>
        <v>7774110</v>
      </c>
      <c r="L16" s="45">
        <f t="shared" ref="L16:M16" si="4">+L13+L14+L15</f>
        <v>7988706</v>
      </c>
      <c r="M16" s="45">
        <f t="shared" si="4"/>
        <v>8357709</v>
      </c>
      <c r="N16" s="45">
        <f t="shared" ref="N16:O16" si="5">+N13+N14+N15</f>
        <v>8364784</v>
      </c>
      <c r="O16" s="45">
        <f t="shared" si="5"/>
        <v>8558365</v>
      </c>
      <c r="P16" s="45">
        <f t="shared" ref="P16" si="6">+P13+P14+P15</f>
        <v>9164262</v>
      </c>
      <c r="Q16" s="3"/>
      <c r="R16" s="4"/>
      <c r="S16" s="4"/>
      <c r="T16" s="3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9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9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9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0"/>
      <c r="GE16" s="10"/>
      <c r="GF16" s="10"/>
    </row>
    <row r="17" spans="1:189" s="10" customFormat="1" ht="15.75" x14ac:dyDescent="0.25">
      <c r="A17" s="17" t="s">
        <v>35</v>
      </c>
      <c r="B17" s="18" t="s">
        <v>7</v>
      </c>
      <c r="C17" s="19">
        <f>C18+C19</f>
        <v>868351</v>
      </c>
      <c r="D17" s="19">
        <f t="shared" ref="D17:H17" si="7">D18+D19</f>
        <v>947399</v>
      </c>
      <c r="E17" s="19">
        <f t="shared" si="7"/>
        <v>1044104</v>
      </c>
      <c r="F17" s="19">
        <f t="shared" si="7"/>
        <v>1061307</v>
      </c>
      <c r="G17" s="19">
        <f t="shared" si="7"/>
        <v>1118921</v>
      </c>
      <c r="H17" s="19">
        <f t="shared" si="7"/>
        <v>1430245</v>
      </c>
      <c r="I17" s="19">
        <f t="shared" ref="I17:K17" si="8">I18+I19</f>
        <v>1288533</v>
      </c>
      <c r="J17" s="19">
        <f t="shared" si="8"/>
        <v>1417643</v>
      </c>
      <c r="K17" s="19">
        <f t="shared" si="8"/>
        <v>1452316</v>
      </c>
      <c r="L17" s="19">
        <f t="shared" ref="L17:M17" si="9">L18+L19</f>
        <v>1054115</v>
      </c>
      <c r="M17" s="19">
        <f t="shared" si="9"/>
        <v>1145371</v>
      </c>
      <c r="N17" s="19">
        <f t="shared" ref="N17:O17" si="10">N18+N19</f>
        <v>1445388</v>
      </c>
      <c r="O17" s="19">
        <f t="shared" si="10"/>
        <v>1751320</v>
      </c>
      <c r="P17" s="19">
        <f t="shared" ref="P17" si="11">P18+P19</f>
        <v>2004580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G17" s="11"/>
    </row>
    <row r="18" spans="1:189" ht="15.75" x14ac:dyDescent="0.25">
      <c r="A18" s="21">
        <v>6.1</v>
      </c>
      <c r="B18" s="22" t="s">
        <v>8</v>
      </c>
      <c r="C18" s="32">
        <v>868351</v>
      </c>
      <c r="D18" s="32">
        <v>947399</v>
      </c>
      <c r="E18" s="32">
        <v>1044104</v>
      </c>
      <c r="F18" s="32">
        <v>1061307</v>
      </c>
      <c r="G18" s="47">
        <v>1118921</v>
      </c>
      <c r="H18" s="47">
        <v>1430245</v>
      </c>
      <c r="I18" s="47">
        <v>1288533</v>
      </c>
      <c r="J18" s="47">
        <v>1417643</v>
      </c>
      <c r="K18" s="47">
        <v>1452316</v>
      </c>
      <c r="L18" s="47">
        <v>1054115</v>
      </c>
      <c r="M18" s="47">
        <v>1145371</v>
      </c>
      <c r="N18" s="47">
        <v>1445388</v>
      </c>
      <c r="O18" s="47">
        <v>1751320</v>
      </c>
      <c r="P18" s="47">
        <v>2004580</v>
      </c>
      <c r="Q18" s="3"/>
      <c r="R18" s="4"/>
      <c r="S18" s="4"/>
      <c r="T18" s="3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1"/>
      <c r="GE18" s="1"/>
      <c r="GF18" s="1"/>
    </row>
    <row r="19" spans="1:189" ht="15.75" x14ac:dyDescent="0.25">
      <c r="A19" s="21">
        <v>6.2</v>
      </c>
      <c r="B19" s="22" t="s">
        <v>9</v>
      </c>
      <c r="C19" s="32"/>
      <c r="D19" s="32"/>
      <c r="E19" s="32"/>
      <c r="F19" s="32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3"/>
      <c r="R19" s="4"/>
      <c r="S19" s="4"/>
      <c r="T19" s="3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1"/>
      <c r="GE19" s="1"/>
      <c r="GF19" s="1"/>
    </row>
    <row r="20" spans="1:189" s="10" customFormat="1" ht="30" x14ac:dyDescent="0.25">
      <c r="A20" s="33" t="s">
        <v>36</v>
      </c>
      <c r="B20" s="34" t="s">
        <v>10</v>
      </c>
      <c r="C20" s="19">
        <f>SUM(C21:C27)</f>
        <v>489851</v>
      </c>
      <c r="D20" s="19">
        <f t="shared" ref="D20:P20" si="12">SUM(D21:D27)</f>
        <v>549044</v>
      </c>
      <c r="E20" s="19">
        <f t="shared" si="12"/>
        <v>587540</v>
      </c>
      <c r="F20" s="19">
        <f t="shared" si="12"/>
        <v>658737</v>
      </c>
      <c r="G20" s="19">
        <f t="shared" si="12"/>
        <v>740813</v>
      </c>
      <c r="H20" s="19">
        <f t="shared" si="12"/>
        <v>719847</v>
      </c>
      <c r="I20" s="19">
        <f t="shared" si="12"/>
        <v>713795</v>
      </c>
      <c r="J20" s="19">
        <f t="shared" si="12"/>
        <v>829140</v>
      </c>
      <c r="K20" s="19">
        <f t="shared" si="12"/>
        <v>805279</v>
      </c>
      <c r="L20" s="19">
        <f t="shared" si="12"/>
        <v>650405</v>
      </c>
      <c r="M20" s="19">
        <f t="shared" si="12"/>
        <v>923666</v>
      </c>
      <c r="N20" s="19">
        <f t="shared" si="12"/>
        <v>939296</v>
      </c>
      <c r="O20" s="19">
        <f t="shared" si="12"/>
        <v>966491</v>
      </c>
      <c r="P20" s="19">
        <f t="shared" si="12"/>
        <v>1019624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G20" s="11"/>
    </row>
    <row r="21" spans="1:189" ht="15.75" x14ac:dyDescent="0.25">
      <c r="A21" s="21">
        <v>7.1</v>
      </c>
      <c r="B21" s="22" t="s">
        <v>11</v>
      </c>
      <c r="C21" s="23">
        <v>101630</v>
      </c>
      <c r="D21" s="23">
        <v>113255</v>
      </c>
      <c r="E21" s="23">
        <v>116000</v>
      </c>
      <c r="F21" s="23">
        <v>116678</v>
      </c>
      <c r="G21" s="47">
        <v>124557</v>
      </c>
      <c r="H21" s="47">
        <v>114537</v>
      </c>
      <c r="I21" s="47">
        <v>119480</v>
      </c>
      <c r="J21" s="47">
        <v>156900</v>
      </c>
      <c r="K21" s="47">
        <v>133423</v>
      </c>
      <c r="L21" s="47">
        <v>81507</v>
      </c>
      <c r="M21" s="47">
        <v>130508</v>
      </c>
      <c r="N21" s="47">
        <v>152716</v>
      </c>
      <c r="O21" s="47">
        <v>139188</v>
      </c>
      <c r="P21" s="47">
        <v>117570</v>
      </c>
      <c r="Q21" s="3"/>
      <c r="R21" s="4"/>
      <c r="S21" s="4"/>
      <c r="T21" s="3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1"/>
      <c r="GE21" s="1"/>
      <c r="GF21" s="1"/>
    </row>
    <row r="22" spans="1:189" ht="15.75" x14ac:dyDescent="0.25">
      <c r="A22" s="21">
        <v>7.2</v>
      </c>
      <c r="B22" s="22" t="s">
        <v>12</v>
      </c>
      <c r="C22" s="32">
        <v>240528</v>
      </c>
      <c r="D22" s="32">
        <v>267263</v>
      </c>
      <c r="E22" s="32">
        <v>285237</v>
      </c>
      <c r="F22" s="32">
        <v>316897</v>
      </c>
      <c r="G22" s="48">
        <v>352166</v>
      </c>
      <c r="H22" s="48">
        <v>371121</v>
      </c>
      <c r="I22" s="48">
        <v>386449</v>
      </c>
      <c r="J22" s="48">
        <v>454549</v>
      </c>
      <c r="K22" s="48">
        <v>425899</v>
      </c>
      <c r="L22" s="48">
        <v>328645</v>
      </c>
      <c r="M22" s="48">
        <v>547178</v>
      </c>
      <c r="N22" s="48">
        <v>509904</v>
      </c>
      <c r="O22" s="48">
        <v>533565</v>
      </c>
      <c r="P22" s="48">
        <v>578501</v>
      </c>
      <c r="Q22" s="3"/>
      <c r="R22" s="4"/>
      <c r="S22" s="4"/>
      <c r="T22" s="3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1"/>
      <c r="GE22" s="1"/>
      <c r="GF22" s="1"/>
    </row>
    <row r="23" spans="1:189" ht="15.75" x14ac:dyDescent="0.25">
      <c r="A23" s="21">
        <v>7.3</v>
      </c>
      <c r="B23" s="22" t="s">
        <v>13</v>
      </c>
      <c r="C23" s="32"/>
      <c r="D23" s="32"/>
      <c r="E23" s="32"/>
      <c r="F23" s="32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3"/>
      <c r="R23" s="4"/>
      <c r="S23" s="4"/>
      <c r="T23" s="3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1"/>
      <c r="GE23" s="1"/>
      <c r="GF23" s="1"/>
    </row>
    <row r="24" spans="1:189" ht="15.75" x14ac:dyDescent="0.25">
      <c r="A24" s="21">
        <v>7.4</v>
      </c>
      <c r="B24" s="22" t="s">
        <v>14</v>
      </c>
      <c r="C24" s="32"/>
      <c r="D24" s="32"/>
      <c r="E24" s="32"/>
      <c r="F24" s="32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3"/>
      <c r="R24" s="4"/>
      <c r="S24" s="4"/>
      <c r="T24" s="3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1"/>
      <c r="GE24" s="1"/>
      <c r="GF24" s="1"/>
    </row>
    <row r="25" spans="1:189" ht="15.75" x14ac:dyDescent="0.25">
      <c r="A25" s="21">
        <v>7.5</v>
      </c>
      <c r="B25" s="22" t="s">
        <v>15</v>
      </c>
      <c r="C25" s="32"/>
      <c r="D25" s="32"/>
      <c r="E25" s="32"/>
      <c r="F25" s="32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3"/>
      <c r="R25" s="4"/>
      <c r="S25" s="4"/>
      <c r="T25" s="3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1"/>
      <c r="GE25" s="1"/>
      <c r="GF25" s="1"/>
    </row>
    <row r="26" spans="1:189" ht="15.75" x14ac:dyDescent="0.25">
      <c r="A26" s="21">
        <v>7.6</v>
      </c>
      <c r="B26" s="22" t="s">
        <v>16</v>
      </c>
      <c r="C26" s="23">
        <v>8723</v>
      </c>
      <c r="D26" s="23">
        <v>9608</v>
      </c>
      <c r="E26" s="23">
        <v>10814</v>
      </c>
      <c r="F26" s="23">
        <v>11506</v>
      </c>
      <c r="G26" s="47">
        <v>13462</v>
      </c>
      <c r="H26" s="47">
        <v>13070</v>
      </c>
      <c r="I26" s="47">
        <v>14531</v>
      </c>
      <c r="J26" s="47">
        <v>28971</v>
      </c>
      <c r="K26" s="47">
        <v>26283</v>
      </c>
      <c r="L26" s="47">
        <v>24963</v>
      </c>
      <c r="M26" s="47">
        <v>18046</v>
      </c>
      <c r="N26" s="47">
        <v>17677</v>
      </c>
      <c r="O26" s="47">
        <v>19270</v>
      </c>
      <c r="P26" s="47">
        <v>20814</v>
      </c>
      <c r="Q26" s="3"/>
      <c r="R26" s="4"/>
      <c r="S26" s="4"/>
      <c r="T26" s="3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1"/>
      <c r="GE26" s="1"/>
      <c r="GF26" s="1"/>
    </row>
    <row r="27" spans="1:189" ht="30" x14ac:dyDescent="0.25">
      <c r="A27" s="21">
        <v>7.7</v>
      </c>
      <c r="B27" s="22" t="s">
        <v>17</v>
      </c>
      <c r="C27" s="23">
        <v>138970</v>
      </c>
      <c r="D27" s="23">
        <v>158918</v>
      </c>
      <c r="E27" s="23">
        <v>175489</v>
      </c>
      <c r="F27" s="23">
        <v>213656</v>
      </c>
      <c r="G27" s="47">
        <v>250628</v>
      </c>
      <c r="H27" s="47">
        <v>221119</v>
      </c>
      <c r="I27" s="47">
        <v>193335</v>
      </c>
      <c r="J27" s="47">
        <v>188720</v>
      </c>
      <c r="K27" s="47">
        <v>219674</v>
      </c>
      <c r="L27" s="47">
        <v>215290</v>
      </c>
      <c r="M27" s="47">
        <v>227934</v>
      </c>
      <c r="N27" s="47">
        <v>258999</v>
      </c>
      <c r="O27" s="47">
        <v>274468</v>
      </c>
      <c r="P27" s="47">
        <v>302739</v>
      </c>
      <c r="Q27" s="3"/>
      <c r="R27" s="4"/>
      <c r="S27" s="4"/>
      <c r="T27" s="3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1"/>
      <c r="GE27" s="1"/>
      <c r="GF27" s="1"/>
    </row>
    <row r="28" spans="1:189" ht="15.75" x14ac:dyDescent="0.25">
      <c r="A28" s="25" t="s">
        <v>37</v>
      </c>
      <c r="B28" s="22" t="s">
        <v>18</v>
      </c>
      <c r="C28" s="23">
        <v>529208</v>
      </c>
      <c r="D28" s="23">
        <v>590866</v>
      </c>
      <c r="E28" s="23">
        <v>646724</v>
      </c>
      <c r="F28" s="23">
        <v>670413</v>
      </c>
      <c r="G28" s="47">
        <v>757684</v>
      </c>
      <c r="H28" s="47">
        <v>677144</v>
      </c>
      <c r="I28" s="47">
        <v>726866</v>
      </c>
      <c r="J28" s="47">
        <v>682873</v>
      </c>
      <c r="K28" s="47">
        <v>739746</v>
      </c>
      <c r="L28" s="47">
        <v>760606</v>
      </c>
      <c r="M28" s="47">
        <v>728266</v>
      </c>
      <c r="N28" s="47">
        <v>785140</v>
      </c>
      <c r="O28" s="47">
        <v>844039</v>
      </c>
      <c r="P28" s="47">
        <v>896434</v>
      </c>
      <c r="Q28" s="3"/>
      <c r="R28" s="4"/>
      <c r="S28" s="4"/>
      <c r="T28" s="3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1"/>
      <c r="GE28" s="1"/>
      <c r="GF28" s="1"/>
    </row>
    <row r="29" spans="1:189" ht="30" x14ac:dyDescent="0.25">
      <c r="A29" s="25" t="s">
        <v>38</v>
      </c>
      <c r="B29" s="22" t="s">
        <v>19</v>
      </c>
      <c r="C29" s="23">
        <v>1609432</v>
      </c>
      <c r="D29" s="23">
        <v>1581372</v>
      </c>
      <c r="E29" s="23">
        <v>1721146</v>
      </c>
      <c r="F29" s="23">
        <v>1740686</v>
      </c>
      <c r="G29" s="47">
        <v>1719357</v>
      </c>
      <c r="H29" s="47">
        <v>1712846</v>
      </c>
      <c r="I29" s="47">
        <v>1673027</v>
      </c>
      <c r="J29" s="47">
        <v>1435618</v>
      </c>
      <c r="K29" s="47">
        <v>1672723</v>
      </c>
      <c r="L29" s="47">
        <v>1653766</v>
      </c>
      <c r="M29" s="47">
        <v>1786183</v>
      </c>
      <c r="N29" s="47">
        <v>1891613</v>
      </c>
      <c r="O29" s="47">
        <v>1985531</v>
      </c>
      <c r="P29" s="47">
        <v>2147785</v>
      </c>
      <c r="Q29" s="3"/>
      <c r="R29" s="4"/>
      <c r="S29" s="4"/>
      <c r="T29" s="3"/>
      <c r="U29" s="5"/>
      <c r="V29" s="5"/>
      <c r="W29" s="5"/>
      <c r="X29" s="5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1"/>
      <c r="GE29" s="1"/>
      <c r="GF29" s="1"/>
    </row>
    <row r="30" spans="1:189" ht="15.75" x14ac:dyDescent="0.25">
      <c r="A30" s="25" t="s">
        <v>39</v>
      </c>
      <c r="B30" s="22" t="s">
        <v>54</v>
      </c>
      <c r="C30" s="23">
        <v>423898</v>
      </c>
      <c r="D30" s="23">
        <v>432267</v>
      </c>
      <c r="E30" s="23">
        <v>504451</v>
      </c>
      <c r="F30" s="23">
        <v>538752</v>
      </c>
      <c r="G30" s="47">
        <v>596690</v>
      </c>
      <c r="H30" s="47">
        <v>589859</v>
      </c>
      <c r="I30" s="47">
        <v>661871</v>
      </c>
      <c r="J30" s="47">
        <v>728394</v>
      </c>
      <c r="K30" s="47">
        <v>782861</v>
      </c>
      <c r="L30" s="47">
        <v>1187214</v>
      </c>
      <c r="M30" s="47">
        <v>1055525</v>
      </c>
      <c r="N30" s="47">
        <v>1160706</v>
      </c>
      <c r="O30" s="47">
        <v>1362057</v>
      </c>
      <c r="P30" s="47">
        <v>1439507</v>
      </c>
      <c r="Q30" s="3"/>
      <c r="R30" s="4"/>
      <c r="S30" s="4"/>
      <c r="T30" s="3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1"/>
      <c r="GE30" s="1"/>
      <c r="GF30" s="1"/>
    </row>
    <row r="31" spans="1:189" ht="15.75" x14ac:dyDescent="0.25">
      <c r="A31" s="25" t="s">
        <v>40</v>
      </c>
      <c r="B31" s="22" t="s">
        <v>20</v>
      </c>
      <c r="C31" s="23">
        <v>733145</v>
      </c>
      <c r="D31" s="23">
        <v>751627</v>
      </c>
      <c r="E31" s="23">
        <v>737295</v>
      </c>
      <c r="F31" s="23">
        <v>767015</v>
      </c>
      <c r="G31" s="47">
        <v>820474</v>
      </c>
      <c r="H31" s="47">
        <v>907635</v>
      </c>
      <c r="I31" s="47">
        <v>983974</v>
      </c>
      <c r="J31" s="47">
        <v>1200859</v>
      </c>
      <c r="K31" s="47">
        <v>1490835</v>
      </c>
      <c r="L31" s="47">
        <v>1145293</v>
      </c>
      <c r="M31" s="47">
        <v>1359360</v>
      </c>
      <c r="N31" s="47">
        <v>1611558</v>
      </c>
      <c r="O31" s="47">
        <v>1762455</v>
      </c>
      <c r="P31" s="47">
        <v>1892802</v>
      </c>
      <c r="Q31" s="3"/>
      <c r="R31" s="4"/>
      <c r="S31" s="4"/>
      <c r="T31" s="3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1"/>
      <c r="GE31" s="1"/>
      <c r="GF31" s="1"/>
    </row>
    <row r="32" spans="1:189" s="11" customFormat="1" ht="15.75" x14ac:dyDescent="0.25">
      <c r="A32" s="26"/>
      <c r="B32" s="27" t="s">
        <v>30</v>
      </c>
      <c r="C32" s="28">
        <f>C17+C20+C28+C29+C30+C31</f>
        <v>4653885</v>
      </c>
      <c r="D32" s="28">
        <f t="shared" ref="D32:K32" si="13">D17+D20+D28+D29+D30+D31</f>
        <v>4852575</v>
      </c>
      <c r="E32" s="28">
        <f t="shared" si="13"/>
        <v>5241260</v>
      </c>
      <c r="F32" s="28">
        <f t="shared" si="13"/>
        <v>5436910</v>
      </c>
      <c r="G32" s="28">
        <f t="shared" si="13"/>
        <v>5753939</v>
      </c>
      <c r="H32" s="28">
        <f t="shared" si="13"/>
        <v>6037576</v>
      </c>
      <c r="I32" s="28">
        <f t="shared" si="13"/>
        <v>6048066</v>
      </c>
      <c r="J32" s="28">
        <f t="shared" si="13"/>
        <v>6294527</v>
      </c>
      <c r="K32" s="28">
        <f t="shared" si="13"/>
        <v>6943760</v>
      </c>
      <c r="L32" s="28">
        <f t="shared" ref="L32" si="14">L17+L20+L28+L29+L30+L31</f>
        <v>6451399</v>
      </c>
      <c r="M32" s="28">
        <f t="shared" ref="M32:N32" si="15">M17+M20+M28+M29+M30+M31</f>
        <v>6998371</v>
      </c>
      <c r="N32" s="28">
        <f t="shared" si="15"/>
        <v>7833701</v>
      </c>
      <c r="O32" s="28">
        <f t="shared" ref="O32" si="16">O17+O20+O28+O29+O30+O31</f>
        <v>8671893</v>
      </c>
      <c r="P32" s="28">
        <f t="shared" ref="P32" si="17">P17+P20+P28+P29+P30+P31</f>
        <v>9400732</v>
      </c>
      <c r="Q32" s="3"/>
      <c r="R32" s="4"/>
      <c r="S32" s="4"/>
      <c r="T32" s="3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0"/>
      <c r="GE32" s="10"/>
      <c r="GF32" s="10"/>
    </row>
    <row r="33" spans="1:189" s="10" customFormat="1" ht="15.75" x14ac:dyDescent="0.25">
      <c r="A33" s="17" t="s">
        <v>27</v>
      </c>
      <c r="B33" s="36" t="s">
        <v>51</v>
      </c>
      <c r="C33" s="19">
        <f t="shared" ref="C33" si="18">C6+C11+C13+C14+C15+C17+C20+C28+C29+C30+C31</f>
        <v>13262941.606278047</v>
      </c>
      <c r="D33" s="19">
        <f t="shared" ref="D33:K33" si="19">D6+D11+D13+D14+D15+D17+D20+D28+D29+D30+D31</f>
        <v>13835172.401207518</v>
      </c>
      <c r="E33" s="19">
        <f t="shared" si="19"/>
        <v>15346939</v>
      </c>
      <c r="F33" s="19">
        <f t="shared" si="19"/>
        <v>15477434</v>
      </c>
      <c r="G33" s="19">
        <f t="shared" si="19"/>
        <v>15844047</v>
      </c>
      <c r="H33" s="19">
        <f t="shared" si="19"/>
        <v>16849410</v>
      </c>
      <c r="I33" s="19">
        <f t="shared" si="19"/>
        <v>17404167</v>
      </c>
      <c r="J33" s="19">
        <f t="shared" si="19"/>
        <v>19587484</v>
      </c>
      <c r="K33" s="19">
        <f t="shared" si="19"/>
        <v>20622696</v>
      </c>
      <c r="L33" s="19">
        <f t="shared" ref="L33" si="20">L6+L11+L13+L14+L15+L17+L20+L28+L29+L30+L31</f>
        <v>20529240</v>
      </c>
      <c r="M33" s="19">
        <f t="shared" ref="M33:N33" si="21">M6+M11+M13+M14+M15+M17+M20+M28+M29+M30+M31</f>
        <v>21766164</v>
      </c>
      <c r="N33" s="19">
        <f t="shared" si="21"/>
        <v>23188097</v>
      </c>
      <c r="O33" s="19">
        <f t="shared" ref="O33" si="22">O6+O11+O13+O14+O15+O17+O20+O28+O29+O30+O31</f>
        <v>24622294</v>
      </c>
      <c r="P33" s="19">
        <f t="shared" ref="P33" si="23">P6+P11+P13+P14+P15+P17+P20+P28+P29+P30+P31</f>
        <v>26372852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9"/>
      <c r="FU33" s="9"/>
      <c r="FV33" s="9"/>
      <c r="FW33" s="9"/>
      <c r="FX33" s="9"/>
      <c r="FY33" s="9"/>
      <c r="FZ33" s="9"/>
      <c r="GA33" s="9"/>
      <c r="GB33" s="9"/>
      <c r="GC33" s="9"/>
      <c r="GG33" s="11"/>
    </row>
    <row r="34" spans="1:189" s="11" customFormat="1" ht="15.75" x14ac:dyDescent="0.25">
      <c r="A34" s="40" t="s">
        <v>43</v>
      </c>
      <c r="B34" s="41" t="s">
        <v>25</v>
      </c>
      <c r="C34" s="49">
        <f>GSVA_const!C34</f>
        <v>964400</v>
      </c>
      <c r="D34" s="49">
        <f>GSVA_const!D34</f>
        <v>1040858</v>
      </c>
      <c r="E34" s="49">
        <f>GSVA_const!E34</f>
        <v>1002493.6439428056</v>
      </c>
      <c r="F34" s="49">
        <f>GSVA_const!F34</f>
        <v>1057986.8305531167</v>
      </c>
      <c r="G34" s="49">
        <f>GSVA_const!G34</f>
        <v>1043841</v>
      </c>
      <c r="H34" s="49">
        <f>GSVA_const!H34</f>
        <v>1904642</v>
      </c>
      <c r="I34" s="49">
        <f>GSVA_const!I34</f>
        <v>2003155</v>
      </c>
      <c r="J34" s="49">
        <f>GSVA_const!J34</f>
        <v>2170335</v>
      </c>
      <c r="K34" s="49">
        <f>GSVA_const!K34</f>
        <v>1617140</v>
      </c>
      <c r="L34" s="49">
        <f>GSVA_const!L34</f>
        <v>1320696</v>
      </c>
      <c r="M34" s="49">
        <f>GSVA_const!M34</f>
        <v>1498411</v>
      </c>
      <c r="N34" s="49">
        <f>GSVA_const!N34</f>
        <v>1652212</v>
      </c>
      <c r="O34" s="49">
        <f>GSVA_const!O34</f>
        <v>2015074</v>
      </c>
      <c r="P34" s="49">
        <f>GSVA_const!P34</f>
        <v>2249850</v>
      </c>
      <c r="Q34" s="3"/>
      <c r="R34" s="4"/>
      <c r="S34" s="4"/>
      <c r="T34" s="3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  <c r="GB34" s="12"/>
    </row>
    <row r="35" spans="1:189" s="11" customFormat="1" ht="15.75" x14ac:dyDescent="0.25">
      <c r="A35" s="40" t="s">
        <v>44</v>
      </c>
      <c r="B35" s="41" t="s">
        <v>24</v>
      </c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3"/>
      <c r="R35" s="4"/>
      <c r="S35" s="4"/>
      <c r="T35" s="3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2"/>
      <c r="FT35" s="12"/>
      <c r="FU35" s="12"/>
      <c r="FV35" s="12"/>
      <c r="FW35" s="12"/>
      <c r="FX35" s="12"/>
      <c r="FY35" s="12"/>
      <c r="FZ35" s="12"/>
      <c r="GA35" s="12"/>
      <c r="GB35" s="12"/>
    </row>
    <row r="36" spans="1:189" s="11" customFormat="1" ht="15.75" x14ac:dyDescent="0.25">
      <c r="A36" s="40" t="s">
        <v>45</v>
      </c>
      <c r="B36" s="41" t="s">
        <v>63</v>
      </c>
      <c r="C36" s="28">
        <f>C33+C34-C35</f>
        <v>14227341.606278047</v>
      </c>
      <c r="D36" s="28">
        <f>D33+D34-D35</f>
        <v>14876030.401207518</v>
      </c>
      <c r="E36" s="28">
        <f>E33+E34-E35</f>
        <v>16349432.643942805</v>
      </c>
      <c r="F36" s="28">
        <f>F33+F34-F35</f>
        <v>16535420.830553116</v>
      </c>
      <c r="G36" s="28">
        <f t="shared" ref="G36:H36" si="24">G33+G34-G35</f>
        <v>16887888</v>
      </c>
      <c r="H36" s="28">
        <f t="shared" si="24"/>
        <v>18754052</v>
      </c>
      <c r="I36" s="28">
        <f t="shared" ref="I36:O36" si="25">I33+I34-I35</f>
        <v>19407322</v>
      </c>
      <c r="J36" s="28">
        <f t="shared" si="25"/>
        <v>21757819</v>
      </c>
      <c r="K36" s="28">
        <f t="shared" si="25"/>
        <v>22239836</v>
      </c>
      <c r="L36" s="28">
        <f t="shared" si="25"/>
        <v>21849936</v>
      </c>
      <c r="M36" s="28">
        <f t="shared" si="25"/>
        <v>23264575</v>
      </c>
      <c r="N36" s="28">
        <f t="shared" si="25"/>
        <v>24840309</v>
      </c>
      <c r="O36" s="28">
        <f t="shared" si="25"/>
        <v>26637368</v>
      </c>
      <c r="P36" s="28">
        <f t="shared" ref="P36" si="26">P33+P34-P35</f>
        <v>28622702</v>
      </c>
      <c r="Q36" s="3"/>
      <c r="R36" s="4"/>
      <c r="S36" s="4"/>
      <c r="T36" s="3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</row>
    <row r="37" spans="1:189" s="11" customFormat="1" ht="15.75" x14ac:dyDescent="0.25">
      <c r="A37" s="40" t="s">
        <v>46</v>
      </c>
      <c r="B37" s="41" t="s">
        <v>42</v>
      </c>
      <c r="C37" s="50">
        <f>GSVA_cur!C37</f>
        <v>257850</v>
      </c>
      <c r="D37" s="50">
        <f>GSVA_cur!D37</f>
        <v>262010</v>
      </c>
      <c r="E37" s="50">
        <f>GSVA_cur!E37</f>
        <v>266240</v>
      </c>
      <c r="F37" s="50">
        <f>GSVA_cur!F37</f>
        <v>270530</v>
      </c>
      <c r="G37" s="50">
        <f>GSVA_cur!G37</f>
        <v>274900</v>
      </c>
      <c r="H37" s="50">
        <f>GSVA_cur!H37</f>
        <v>279330</v>
      </c>
      <c r="I37" s="50">
        <f>GSVA_cur!I37</f>
        <v>283840</v>
      </c>
      <c r="J37" s="50">
        <f>GSVA_cur!J37</f>
        <v>288420</v>
      </c>
      <c r="K37" s="50">
        <f>GSVA_cur!K37</f>
        <v>289480</v>
      </c>
      <c r="L37" s="50">
        <f>GSVA_cur!L37</f>
        <v>293330</v>
      </c>
      <c r="M37" s="50">
        <f>GSVA_cur!M37</f>
        <v>296930</v>
      </c>
      <c r="N37" s="50">
        <f>GSVA_cur!N37</f>
        <v>300370</v>
      </c>
      <c r="O37" s="50">
        <f>GSVA_cur!O37</f>
        <v>303800</v>
      </c>
      <c r="P37" s="50">
        <f>GSVA_cur!P37</f>
        <v>307240</v>
      </c>
      <c r="Q37" s="1"/>
      <c r="R37" s="2"/>
      <c r="S37" s="2"/>
      <c r="T37" s="1"/>
      <c r="U37" s="1"/>
      <c r="V37" s="1"/>
      <c r="W37" s="1"/>
      <c r="X37" s="1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</row>
    <row r="38" spans="1:189" s="11" customFormat="1" ht="15.75" x14ac:dyDescent="0.25">
      <c r="A38" s="40" t="s">
        <v>47</v>
      </c>
      <c r="B38" s="41" t="s">
        <v>64</v>
      </c>
      <c r="C38" s="28">
        <f>C36/C37*1000</f>
        <v>55176.814451340106</v>
      </c>
      <c r="D38" s="28">
        <f>D36/D37*1000</f>
        <v>56776.57494449646</v>
      </c>
      <c r="E38" s="28">
        <f>E36/E37*1000</f>
        <v>61408.626216732286</v>
      </c>
      <c r="F38" s="28">
        <f>F36/F37*1000</f>
        <v>61122.318524944058</v>
      </c>
      <c r="G38" s="45">
        <f t="shared" ref="G38:H38" si="27">G36/G37*1000</f>
        <v>61432.841033102944</v>
      </c>
      <c r="H38" s="45">
        <f t="shared" si="27"/>
        <v>67139.412164822978</v>
      </c>
      <c r="I38" s="45">
        <f t="shared" ref="I38:O38" si="28">I36/I37*1000</f>
        <v>68374.161499436304</v>
      </c>
      <c r="J38" s="45">
        <f t="shared" si="28"/>
        <v>75437.968934193195</v>
      </c>
      <c r="K38" s="45">
        <f t="shared" si="28"/>
        <v>76826.848141495095</v>
      </c>
      <c r="L38" s="45">
        <f t="shared" si="28"/>
        <v>74489.264650734665</v>
      </c>
      <c r="M38" s="45">
        <f t="shared" si="28"/>
        <v>78350.368773785071</v>
      </c>
      <c r="N38" s="45">
        <f t="shared" si="28"/>
        <v>82699.03452408695</v>
      </c>
      <c r="O38" s="45">
        <f t="shared" si="28"/>
        <v>87680.605661619484</v>
      </c>
      <c r="P38" s="45">
        <f t="shared" ref="P38" si="29">P36/P37*1000</f>
        <v>93160.727769821635</v>
      </c>
      <c r="Q38" s="1"/>
      <c r="R38" s="2"/>
      <c r="S38" s="2"/>
      <c r="T38" s="3"/>
      <c r="U38" s="3"/>
      <c r="V38" s="3"/>
      <c r="W38" s="3"/>
      <c r="X38" s="3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Y38" s="12"/>
      <c r="BZ38" s="12"/>
      <c r="CA38" s="12"/>
      <c r="CB38" s="12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</row>
    <row r="39" spans="1:189" x14ac:dyDescent="0.25">
      <c r="A39" s="2" t="s">
        <v>75</v>
      </c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4" max="1048575" man="1"/>
    <brk id="36" max="1048575" man="1"/>
    <brk id="52" max="1048575" man="1"/>
    <brk id="116" max="95" man="1"/>
    <brk id="152" max="1048575" man="1"/>
    <brk id="176" max="1048575" man="1"/>
    <brk id="184" max="9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GSVA_cur</vt:lpstr>
      <vt:lpstr>GSVA_const</vt:lpstr>
      <vt:lpstr>NSVA_cur</vt:lpstr>
      <vt:lpstr>NSVA_const</vt:lpstr>
      <vt:lpstr>GSVA_const!Print_Titles</vt:lpstr>
      <vt:lpstr>GSVA_cur!Print_Titles</vt:lpstr>
      <vt:lpstr>NSVA_const!Print_Titles</vt:lpstr>
      <vt:lpstr>NSVA_cur!Print_Titles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2025-08-04T05:39:02Z</dcterms:modified>
</cp:coreProperties>
</file>