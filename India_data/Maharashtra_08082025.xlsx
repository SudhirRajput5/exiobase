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11019BE1-8EB1-4569-8B1A-2E2D7DF6A48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 l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6" i="12"/>
  <c r="P6" i="10"/>
  <c r="P12" i="1" l="1"/>
  <c r="P32" i="12"/>
  <c r="P32" i="11"/>
  <c r="P33" i="10"/>
  <c r="P32" i="1"/>
  <c r="P33" i="1"/>
  <c r="P32" i="10"/>
  <c r="P33" i="12"/>
  <c r="P33" i="11"/>
  <c r="P12" i="10"/>
  <c r="P12" i="12"/>
  <c r="P12" i="11"/>
  <c r="N34" i="12"/>
  <c r="O34" i="12"/>
  <c r="N35" i="12"/>
  <c r="O35" i="12"/>
  <c r="N34" i="11"/>
  <c r="O34" i="11"/>
  <c r="N35" i="11"/>
  <c r="O35" i="11"/>
  <c r="N37" i="11"/>
  <c r="O37" i="11"/>
  <c r="N37" i="12"/>
  <c r="O37" i="12"/>
  <c r="N37" i="1"/>
  <c r="O37" i="1"/>
  <c r="P36" i="1" l="1"/>
  <c r="P36" i="10"/>
  <c r="P36" i="11"/>
  <c r="P36" i="12"/>
  <c r="P38" i="10"/>
  <c r="P38" i="1" l="1"/>
  <c r="P38" i="12"/>
  <c r="P38" i="11"/>
  <c r="I2" i="1"/>
  <c r="I2" i="11"/>
  <c r="I2" i="12"/>
  <c r="I2" i="10"/>
  <c r="N20" i="1" l="1"/>
  <c r="O20" i="1"/>
  <c r="N20" i="11"/>
  <c r="O20" i="11"/>
  <c r="N20" i="12"/>
  <c r="O20" i="12"/>
  <c r="N20" i="10"/>
  <c r="O20" i="10"/>
  <c r="N16" i="1"/>
  <c r="O16" i="1"/>
  <c r="N17" i="1"/>
  <c r="N32" i="1" s="1"/>
  <c r="O17" i="1"/>
  <c r="N16" i="11"/>
  <c r="O16" i="11"/>
  <c r="N17" i="11"/>
  <c r="O17" i="11"/>
  <c r="O32" i="11" s="1"/>
  <c r="N16" i="12"/>
  <c r="O16" i="12"/>
  <c r="N17" i="12"/>
  <c r="O17" i="12"/>
  <c r="N16" i="10"/>
  <c r="O16" i="10"/>
  <c r="N17" i="10"/>
  <c r="O17" i="10"/>
  <c r="N6" i="1"/>
  <c r="N12" i="1" s="1"/>
  <c r="O6" i="1"/>
  <c r="N6" i="11"/>
  <c r="N12" i="11" s="1"/>
  <c r="O6" i="11"/>
  <c r="N6" i="12"/>
  <c r="O6" i="12"/>
  <c r="N6" i="10"/>
  <c r="O6" i="10"/>
  <c r="O12" i="12" l="1"/>
  <c r="N32" i="11"/>
  <c r="N12" i="12"/>
  <c r="O33" i="12"/>
  <c r="N33" i="12"/>
  <c r="O32" i="12"/>
  <c r="N32" i="12"/>
  <c r="O33" i="11"/>
  <c r="N33" i="11"/>
  <c r="O12" i="11"/>
  <c r="O32" i="1"/>
  <c r="O33" i="1"/>
  <c r="N33" i="1"/>
  <c r="O36" i="1"/>
  <c r="O12" i="1"/>
  <c r="N32" i="10"/>
  <c r="O32" i="10"/>
  <c r="N12" i="10"/>
  <c r="O33" i="10"/>
  <c r="N33" i="10"/>
  <c r="O12" i="10"/>
  <c r="N36" i="1" l="1"/>
  <c r="N38" i="1" s="1"/>
  <c r="O36" i="12"/>
  <c r="N36" i="12"/>
  <c r="N38" i="12" s="1"/>
  <c r="N36" i="11"/>
  <c r="O36" i="11"/>
  <c r="O38" i="1"/>
  <c r="N36" i="10"/>
  <c r="O36" i="10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D20" i="11"/>
  <c r="E20" i="11"/>
  <c r="F20" i="11"/>
  <c r="G20" i="11"/>
  <c r="H20" i="11"/>
  <c r="I20" i="11"/>
  <c r="J20" i="11"/>
  <c r="K20" i="11"/>
  <c r="L20" i="11"/>
  <c r="M20" i="11"/>
  <c r="D17" i="11"/>
  <c r="E17" i="11"/>
  <c r="F17" i="11"/>
  <c r="G17" i="11"/>
  <c r="H17" i="11"/>
  <c r="I17" i="11"/>
  <c r="J17" i="11"/>
  <c r="K17" i="11"/>
  <c r="L17" i="11"/>
  <c r="M17" i="11"/>
  <c r="D16" i="11"/>
  <c r="E16" i="11"/>
  <c r="F16" i="11"/>
  <c r="G16" i="11"/>
  <c r="H16" i="11"/>
  <c r="I16" i="11"/>
  <c r="J16" i="11"/>
  <c r="K16" i="11"/>
  <c r="L16" i="11"/>
  <c r="M16" i="11"/>
  <c r="D6" i="11"/>
  <c r="D12" i="11" s="1"/>
  <c r="E6" i="11"/>
  <c r="E12" i="11" s="1"/>
  <c r="F6" i="11"/>
  <c r="F12" i="11" s="1"/>
  <c r="G6" i="11"/>
  <c r="H6" i="11"/>
  <c r="H12" i="11" s="1"/>
  <c r="I6" i="11"/>
  <c r="I12" i="11" s="1"/>
  <c r="J6" i="11"/>
  <c r="J12" i="11" s="1"/>
  <c r="K6" i="11"/>
  <c r="L6" i="11"/>
  <c r="M6" i="11"/>
  <c r="M32" i="11" l="1"/>
  <c r="G32" i="11"/>
  <c r="H32" i="11"/>
  <c r="E32" i="11"/>
  <c r="L32" i="11"/>
  <c r="K32" i="11"/>
  <c r="J32" i="11"/>
  <c r="I32" i="11"/>
  <c r="F32" i="11"/>
  <c r="D32" i="11"/>
  <c r="O38" i="12"/>
  <c r="O38" i="11"/>
  <c r="N38" i="11"/>
  <c r="L12" i="11"/>
  <c r="M12" i="11"/>
  <c r="K12" i="11"/>
  <c r="N38" i="10"/>
  <c r="O38" i="10"/>
  <c r="G12" i="11"/>
  <c r="M33" i="11"/>
  <c r="L33" i="11"/>
  <c r="K33" i="11"/>
  <c r="J33" i="11"/>
  <c r="J36" i="11" s="1"/>
  <c r="J38" i="11" s="1"/>
  <c r="I33" i="11"/>
  <c r="I36" i="11" s="1"/>
  <c r="I38" i="11" s="1"/>
  <c r="H33" i="11"/>
  <c r="H36" i="11" s="1"/>
  <c r="H38" i="11" s="1"/>
  <c r="G33" i="11"/>
  <c r="F33" i="11"/>
  <c r="F36" i="11" s="1"/>
  <c r="F38" i="11" s="1"/>
  <c r="E33" i="11"/>
  <c r="E36" i="11" s="1"/>
  <c r="E38" i="11" s="1"/>
  <c r="D33" i="11"/>
  <c r="D36" i="11" s="1"/>
  <c r="D38" i="11" s="1"/>
  <c r="M6" i="1"/>
  <c r="M16" i="1"/>
  <c r="M17" i="1"/>
  <c r="M20" i="1"/>
  <c r="M37" i="1"/>
  <c r="M6" i="12"/>
  <c r="M16" i="12"/>
  <c r="M17" i="12"/>
  <c r="M20" i="12"/>
  <c r="M34" i="12"/>
  <c r="M35" i="12"/>
  <c r="M37" i="12"/>
  <c r="M6" i="10"/>
  <c r="M16" i="10"/>
  <c r="M17" i="10"/>
  <c r="M20" i="10"/>
  <c r="K36" i="11" l="1"/>
  <c r="K38" i="11" s="1"/>
  <c r="L36" i="11"/>
  <c r="L38" i="11" s="1"/>
  <c r="M36" i="11"/>
  <c r="M38" i="11" s="1"/>
  <c r="M12" i="1"/>
  <c r="M12" i="10"/>
  <c r="M32" i="12"/>
  <c r="G36" i="11"/>
  <c r="M12" i="12"/>
  <c r="M32" i="1"/>
  <c r="M33" i="1"/>
  <c r="M32" i="10"/>
  <c r="M33" i="10"/>
  <c r="M33" i="12"/>
  <c r="M36" i="1" l="1"/>
  <c r="M36" i="10"/>
  <c r="M38" i="10" s="1"/>
  <c r="G38" i="11"/>
  <c r="M36" i="12"/>
  <c r="L37" i="12"/>
  <c r="C16" i="11"/>
  <c r="L37" i="1"/>
  <c r="C16" i="1"/>
  <c r="D16" i="1"/>
  <c r="E16" i="1"/>
  <c r="F16" i="1"/>
  <c r="G16" i="1"/>
  <c r="H16" i="1"/>
  <c r="I16" i="1"/>
  <c r="J16" i="1"/>
  <c r="K16" i="1"/>
  <c r="L16" i="1"/>
  <c r="M38" i="1" l="1"/>
  <c r="M38" i="12"/>
  <c r="L20" i="1"/>
  <c r="L20" i="12"/>
  <c r="L20" i="10"/>
  <c r="L17" i="1"/>
  <c r="L16" i="12"/>
  <c r="L17" i="12"/>
  <c r="L16" i="10"/>
  <c r="L17" i="10"/>
  <c r="L6" i="1"/>
  <c r="L6" i="12"/>
  <c r="L6" i="10"/>
  <c r="L12" i="12" l="1"/>
  <c r="L12" i="1"/>
  <c r="L32" i="12"/>
  <c r="L33" i="1"/>
  <c r="L33" i="12"/>
  <c r="L32" i="1"/>
  <c r="L32" i="10"/>
  <c r="L12" i="10"/>
  <c r="L33" i="10"/>
  <c r="D34" i="12"/>
  <c r="E34" i="12"/>
  <c r="F34" i="12"/>
  <c r="G34" i="12"/>
  <c r="H34" i="12"/>
  <c r="I34" i="12"/>
  <c r="J34" i="12"/>
  <c r="K34" i="12"/>
  <c r="D35" i="12"/>
  <c r="E35" i="12"/>
  <c r="F35" i="12"/>
  <c r="G35" i="12"/>
  <c r="H35" i="12"/>
  <c r="I35" i="12"/>
  <c r="J35" i="12"/>
  <c r="K35" i="12"/>
  <c r="D37" i="12"/>
  <c r="E37" i="12"/>
  <c r="F37" i="12"/>
  <c r="G37" i="12"/>
  <c r="H37" i="12"/>
  <c r="I37" i="12"/>
  <c r="J37" i="12"/>
  <c r="K37" i="12"/>
  <c r="K20" i="12"/>
  <c r="K16" i="12"/>
  <c r="K17" i="12"/>
  <c r="K6" i="12"/>
  <c r="D37" i="1"/>
  <c r="E37" i="1"/>
  <c r="F37" i="1"/>
  <c r="G37" i="1"/>
  <c r="H37" i="1"/>
  <c r="I37" i="1"/>
  <c r="J37" i="1"/>
  <c r="K37" i="1"/>
  <c r="K20" i="1"/>
  <c r="K17" i="1"/>
  <c r="K6" i="1"/>
  <c r="K16" i="10"/>
  <c r="K20" i="10"/>
  <c r="D17" i="10"/>
  <c r="E17" i="10"/>
  <c r="F17" i="10"/>
  <c r="G17" i="10"/>
  <c r="H17" i="10"/>
  <c r="I17" i="10"/>
  <c r="J17" i="10"/>
  <c r="K17" i="10"/>
  <c r="K6" i="10"/>
  <c r="C37" i="12"/>
  <c r="C34" i="12"/>
  <c r="C35" i="12"/>
  <c r="L34" i="12"/>
  <c r="L35" i="12"/>
  <c r="J20" i="12"/>
  <c r="J16" i="12"/>
  <c r="J17" i="12"/>
  <c r="J6" i="12"/>
  <c r="C37" i="1"/>
  <c r="J20" i="1"/>
  <c r="J17" i="1"/>
  <c r="J6" i="1"/>
  <c r="J32" i="1" l="1"/>
  <c r="K12" i="1"/>
  <c r="L36" i="1"/>
  <c r="K32" i="10"/>
  <c r="K12" i="10"/>
  <c r="J32" i="12"/>
  <c r="K32" i="12"/>
  <c r="L38" i="1"/>
  <c r="J33" i="12"/>
  <c r="J36" i="12" s="1"/>
  <c r="K33" i="12"/>
  <c r="L36" i="12"/>
  <c r="K32" i="1"/>
  <c r="J33" i="1"/>
  <c r="J36" i="1" s="1"/>
  <c r="J38" i="1" s="1"/>
  <c r="K33" i="1"/>
  <c r="L36" i="10"/>
  <c r="K12" i="12"/>
  <c r="J12" i="1"/>
  <c r="K33" i="10"/>
  <c r="J12" i="12"/>
  <c r="J20" i="10"/>
  <c r="J32" i="10" s="1"/>
  <c r="D16" i="10"/>
  <c r="E16" i="10"/>
  <c r="F16" i="10"/>
  <c r="G16" i="10"/>
  <c r="H16" i="10"/>
  <c r="I16" i="10"/>
  <c r="J16" i="10"/>
  <c r="J6" i="10"/>
  <c r="J38" i="12" l="1"/>
  <c r="K36" i="12"/>
  <c r="K36" i="1"/>
  <c r="K36" i="10"/>
  <c r="L38" i="12"/>
  <c r="L38" i="10"/>
  <c r="J12" i="10"/>
  <c r="J33" i="10"/>
  <c r="J36" i="10" s="1"/>
  <c r="K38" i="10" l="1"/>
  <c r="K38" i="12"/>
  <c r="K38" i="1"/>
  <c r="J38" i="10"/>
  <c r="D20" i="12"/>
  <c r="E20" i="12"/>
  <c r="F20" i="12"/>
  <c r="G20" i="12"/>
  <c r="H20" i="12"/>
  <c r="I20" i="12"/>
  <c r="C35" i="11" l="1"/>
  <c r="C34" i="11"/>
  <c r="C20" i="12" l="1"/>
  <c r="I17" i="12"/>
  <c r="I32" i="12" s="1"/>
  <c r="H17" i="12"/>
  <c r="H32" i="12" s="1"/>
  <c r="G17" i="12"/>
  <c r="G32" i="12" s="1"/>
  <c r="F17" i="12"/>
  <c r="F32" i="12" s="1"/>
  <c r="E17" i="12"/>
  <c r="E32" i="12" s="1"/>
  <c r="D17" i="12"/>
  <c r="D32" i="12" s="1"/>
  <c r="C17" i="12"/>
  <c r="I16" i="12"/>
  <c r="H16" i="12"/>
  <c r="G16" i="12"/>
  <c r="F16" i="12"/>
  <c r="E16" i="12"/>
  <c r="D16" i="12"/>
  <c r="C16" i="12"/>
  <c r="I6" i="12"/>
  <c r="H6" i="12"/>
  <c r="G6" i="12"/>
  <c r="F6" i="12"/>
  <c r="E6" i="12"/>
  <c r="D6" i="12"/>
  <c r="C6" i="12"/>
  <c r="D33" i="12" l="1"/>
  <c r="D36" i="12" s="1"/>
  <c r="D38" i="12" s="1"/>
  <c r="E33" i="12"/>
  <c r="E36" i="12" s="1"/>
  <c r="E38" i="12" s="1"/>
  <c r="G33" i="12"/>
  <c r="G36" i="12" s="1"/>
  <c r="G38" i="12" s="1"/>
  <c r="I33" i="12"/>
  <c r="I36" i="12" s="1"/>
  <c r="I38" i="12" s="1"/>
  <c r="F33" i="12"/>
  <c r="F36" i="12" s="1"/>
  <c r="F38" i="12" s="1"/>
  <c r="H33" i="12"/>
  <c r="H36" i="12" s="1"/>
  <c r="H38" i="12" s="1"/>
  <c r="C32" i="12"/>
  <c r="C33" i="12"/>
  <c r="C36" i="12" s="1"/>
  <c r="C38" i="12" s="1"/>
  <c r="I12" i="12"/>
  <c r="C12" i="12"/>
  <c r="D12" i="12"/>
  <c r="E12" i="12"/>
  <c r="F12" i="12"/>
  <c r="G12" i="12"/>
  <c r="H12" i="12"/>
  <c r="I20" i="1" l="1"/>
  <c r="I20" i="10"/>
  <c r="I32" i="10" s="1"/>
  <c r="I17" i="1"/>
  <c r="I6" i="10"/>
  <c r="I32" i="1" l="1"/>
  <c r="I12" i="10"/>
  <c r="I33" i="10"/>
  <c r="I36" i="10" s="1"/>
  <c r="I6" i="1"/>
  <c r="I33" i="1" s="1"/>
  <c r="I36" i="1" s="1"/>
  <c r="I38" i="1" s="1"/>
  <c r="H6" i="10"/>
  <c r="H20" i="10"/>
  <c r="H32" i="10" s="1"/>
  <c r="H33" i="10" l="1"/>
  <c r="H36" i="10" s="1"/>
  <c r="I38" i="10"/>
  <c r="I12" i="1"/>
  <c r="H12" i="10"/>
  <c r="H38" i="10" l="1"/>
  <c r="C20" i="10"/>
  <c r="G20" i="1" l="1"/>
  <c r="H20" i="1"/>
  <c r="G20" i="10"/>
  <c r="G32" i="10" s="1"/>
  <c r="G17" i="1"/>
  <c r="H17" i="1"/>
  <c r="G6" i="1"/>
  <c r="H6" i="1"/>
  <c r="G6" i="10"/>
  <c r="H32" i="1" l="1"/>
  <c r="G32" i="1"/>
  <c r="G33" i="10"/>
  <c r="G36" i="10" s="1"/>
  <c r="H33" i="1"/>
  <c r="H36" i="1" s="1"/>
  <c r="H38" i="1" s="1"/>
  <c r="G33" i="1"/>
  <c r="G36" i="1" s="1"/>
  <c r="G38" i="1" s="1"/>
  <c r="G12" i="1"/>
  <c r="H12" i="1"/>
  <c r="G12" i="10"/>
  <c r="G38" i="10" l="1"/>
  <c r="C37" i="11" l="1"/>
  <c r="C20" i="11" l="1"/>
  <c r="C17" i="11"/>
  <c r="C32" i="11" s="1"/>
  <c r="C6" i="11"/>
  <c r="F20" i="1"/>
  <c r="E20" i="1"/>
  <c r="D20" i="1"/>
  <c r="C20" i="1"/>
  <c r="F17" i="1"/>
  <c r="E17" i="1"/>
  <c r="D17" i="1"/>
  <c r="D32" i="1" s="1"/>
  <c r="C17" i="1"/>
  <c r="F6" i="1"/>
  <c r="E6" i="1"/>
  <c r="D6" i="1"/>
  <c r="C6" i="1"/>
  <c r="F20" i="10"/>
  <c r="F32" i="10" s="1"/>
  <c r="F6" i="10"/>
  <c r="E20" i="10"/>
  <c r="E32" i="10" s="1"/>
  <c r="D20" i="10"/>
  <c r="D32" i="10" s="1"/>
  <c r="C17" i="10"/>
  <c r="C16" i="10"/>
  <c r="E6" i="10"/>
  <c r="D6" i="10"/>
  <c r="C6" i="10"/>
  <c r="E32" i="1" l="1"/>
  <c r="C33" i="11"/>
  <c r="C36" i="11" s="1"/>
  <c r="F32" i="1"/>
  <c r="E33" i="1"/>
  <c r="E36" i="1" s="1"/>
  <c r="E38" i="1" s="1"/>
  <c r="D33" i="1"/>
  <c r="D36" i="1" s="1"/>
  <c r="D38" i="1" s="1"/>
  <c r="F33" i="1"/>
  <c r="F36" i="1" s="1"/>
  <c r="F38" i="1" s="1"/>
  <c r="F33" i="10"/>
  <c r="F36" i="10" s="1"/>
  <c r="D33" i="10"/>
  <c r="D36" i="10" s="1"/>
  <c r="E33" i="10"/>
  <c r="E36" i="10" s="1"/>
  <c r="E38" i="10" s="1"/>
  <c r="F12" i="10"/>
  <c r="D12" i="10"/>
  <c r="E12" i="10"/>
  <c r="C32" i="1"/>
  <c r="C33" i="1"/>
  <c r="C12" i="10"/>
  <c r="C12" i="11"/>
  <c r="D12" i="1"/>
  <c r="C12" i="1"/>
  <c r="E12" i="1"/>
  <c r="F12" i="1"/>
  <c r="C33" i="10"/>
  <c r="C32" i="10"/>
  <c r="D38" i="10" l="1"/>
  <c r="F38" i="10"/>
  <c r="C36" i="1"/>
  <c r="C36" i="10"/>
  <c r="C38" i="1" l="1"/>
  <c r="C38" i="10"/>
  <c r="C38" i="11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<sst xmlns="http://schemas.openxmlformats.org/spreadsheetml/2006/main" count="284" uniqueCount="77">
  <si>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</si>
  <si>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</si>
  <si>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</si>
  <si>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</si>
  <si>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</si>
  <si>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</si>
  <si>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</si>
  <si>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</si>
  <si>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</si>
  <si>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</si>
  <si>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</si>
  <si>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</si>
  <si>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</si>
  <si>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</si>
  <si>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</si>
  <si>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</si>
  <si>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</si>
  <si>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</si>
  <si>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</si>
  <si>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</si>
  <si>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</si>
  <si>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</si>
  <si>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</si>
  <si>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</si>
  <si>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</si>
  <si>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</si>
  <si>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</si>
  <si>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</si>
  <si>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</si>
  <si>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</si>
  <si>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</si>
  <si>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</si>
  <si>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</si>
  <si>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</si>
  <si>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</si>
  <si>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</si>
  <si>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</si>
  <si>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</si>
  <si>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</si>
  <si>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</si>
  <si>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</si>
  <si>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</si>
  <si>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</si>
  <si>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</si>
  <si>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</si>
  <si>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</si>
  <si>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</si>
  <si>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</si>
  <si>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</si>
  <si>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</si>
  <si>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</si>
  <si>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</si>
  <si>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</si>
  <si>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</si>
  <si>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</si>
  <si>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</si>
  <si>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</si>
  <si>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</si>
  <si>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</si>
  <si>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</si>
  <si>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</si>
  <si>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</si>
  <si>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</si>
  <si>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</si>
  <si>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</si>
  <si>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</si>
  <si>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Maharashtra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</si>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</sst>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9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1" fontId="7" fillId="0" borderId="4" xfId="0" applyNumberFormat="1" applyFont="1" applyBorder="1"/>
    <xf numFmtId="0" fontId="7" fillId="0" borderId="3" xfId="0" applyFont="1" applyBorder="1"/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/>
    <xf numFmtId="1" fontId="7" fillId="3" borderId="0" xfId="0" applyNumberFormat="1" applyFont="1" applyFill="1"/>
    <xf numFmtId="0" fontId="7" fillId="3" borderId="0" xfId="0" applyFont="1" applyFill="1"/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 applyProtection="1"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L39"/>
  <sheetViews>
    <sheetView zoomScale="112" zoomScaleNormal="112" zoomScaleSheetLayoutView="100" workbookViewId="0">
      <pane xSplit="2" ySplit="5" topLeftCell="C24" activePane="bottomRight" state="frozen"/>
      <selection activeCell="P95" sqref="P95:P127"/>
      <selection pane="topRight" activeCell="P95" sqref="P95:P127"/>
      <selection pane="bottomLeft" activeCell="P95" sqref="P95:P127"/>
      <selection pane="bottomRight" activeCell="D40" sqref="D40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3" width="18.140625" style="2" bestFit="1" customWidth="1"/>
    <col min="4" max="5" width="11.42578125" style="2" bestFit="1" customWidth="1"/>
    <col min="6" max="6" width="12.5703125" style="2" bestFit="1" customWidth="1"/>
    <col min="7" max="7" width="11.42578125" style="2" bestFit="1" customWidth="1"/>
    <col min="8" max="8" width="11.42578125" style="6" bestFit="1" customWidth="1"/>
    <col min="9" max="9" width="13.28515625" style="6" customWidth="1"/>
    <col min="10" max="12" width="11.85546875" style="6" bestFit="1" customWidth="1"/>
    <col min="13" max="13" width="14.140625" style="6" bestFit="1" customWidth="1"/>
    <col min="14" max="15" width="11.85546875" style="6" bestFit="1" customWidth="1"/>
    <col min="16" max="16" width="11.85546875" style="6" customWidth="1"/>
    <col min="17" max="17" width="11.5703125" style="6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6" customWidth="1"/>
    <col min="23" max="23" width="9.140625" style="2" customWidth="1"/>
    <col min="24" max="24" width="10.85546875" style="2" customWidth="1"/>
    <col min="25" max="25" width="10.85546875" style="6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6" customWidth="1"/>
    <col min="116" max="120" width="9.140625" style="6" hidden="1" customWidth="1"/>
    <col min="121" max="121" width="9.140625" style="6" customWidth="1"/>
    <col min="122" max="126" width="9.140625" style="6" hidden="1" customWidth="1"/>
    <col min="127" max="127" width="9.140625" style="6" customWidth="1"/>
    <col min="128" max="132" width="9.140625" style="6" hidden="1" customWidth="1"/>
    <col min="133" max="133" width="9.140625" style="6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21" t="s">
        <v>66</v>
      </c>
      <c r="X1" s="7"/>
    </row>
    <row r="2" spans="1:194" ht="15.75" x14ac:dyDescent="0.25">
      <c r="A2" s="11" t="s">
        <v>48</v>
      </c>
      <c r="I2" s="6" t="str">
        <f>[1]GSVA_cur!$I$3</f>
        <v>01.08.2025</v>
      </c>
    </row>
    <row r="3" spans="1:194" ht="15.75" x14ac:dyDescent="0.25">
      <c r="A3" s="11"/>
    </row>
    <row r="4" spans="1:194" ht="15.75" x14ac:dyDescent="0.25">
      <c r="A4" s="11"/>
      <c r="E4" s="10"/>
      <c r="F4" s="10" t="s">
        <v>57</v>
      </c>
      <c r="G4" s="10"/>
    </row>
    <row r="5" spans="1:194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3" t="s">
        <v>72</v>
      </c>
      <c r="N5" s="23" t="s">
        <v>73</v>
      </c>
      <c r="O5" s="23" t="s">
        <v>74</v>
      </c>
      <c r="P5" s="23" t="s">
        <v>76</v>
      </c>
    </row>
    <row r="6" spans="1:194" s="29" customFormat="1" ht="15.75" x14ac:dyDescent="0.25">
      <c r="A6" s="25" t="s">
        <v>26</v>
      </c>
      <c r="B6" s="26" t="s">
        <v>2</v>
      </c>
      <c r="C6" s="27">
        <f>SUM(C7:C10)</f>
        <v>15002672.559351498</v>
      </c>
      <c r="D6" s="27">
        <f t="shared" ref="D6:E6" si="0">SUM(D7:D10)</f>
        <v>16291679.627710406</v>
      </c>
      <c r="E6" s="27">
        <f t="shared" si="0"/>
        <v>19231757.443798628</v>
      </c>
      <c r="F6" s="27">
        <f t="shared" ref="F6:L6" si="1">SUM(F7:F10)</f>
        <v>17727490.87741613</v>
      </c>
      <c r="G6" s="27">
        <f t="shared" si="1"/>
        <v>18085314.768265795</v>
      </c>
      <c r="H6" s="27">
        <f t="shared" si="1"/>
        <v>23575992.390457112</v>
      </c>
      <c r="I6" s="27">
        <f t="shared" si="1"/>
        <v>23351792.92581759</v>
      </c>
      <c r="J6" s="27">
        <f t="shared" si="1"/>
        <v>23003954.377081331</v>
      </c>
      <c r="K6" s="27">
        <f t="shared" si="1"/>
        <v>27550188.747938409</v>
      </c>
      <c r="L6" s="27">
        <f t="shared" si="1"/>
        <v>30572828.219235472</v>
      </c>
      <c r="M6" s="27">
        <f t="shared" ref="M6:P6" si="2">SUM(M7:M10)</f>
        <v>36348984.240100831</v>
      </c>
      <c r="N6" s="27">
        <f t="shared" si="2"/>
        <v>37660555.572678633</v>
      </c>
      <c r="O6" s="27">
        <f t="shared" si="2"/>
        <v>39857084.297581077</v>
      </c>
      <c r="P6" s="27">
        <f t="shared" si="2"/>
        <v>45380966.584561586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L6" s="24"/>
    </row>
    <row r="7" spans="1:194" ht="15.75" x14ac:dyDescent="0.25">
      <c r="A7" s="16">
        <v>1.1000000000000001</v>
      </c>
      <c r="B7" s="17" t="s">
        <v>59</v>
      </c>
      <c r="C7" s="4">
        <v>10192974.85148599</v>
      </c>
      <c r="D7" s="4">
        <v>10829457.587922325</v>
      </c>
      <c r="E7" s="4">
        <v>13677579.63607434</v>
      </c>
      <c r="F7" s="4">
        <v>11514122.190194927</v>
      </c>
      <c r="G7" s="4">
        <v>11480343.701135132</v>
      </c>
      <c r="H7" s="1">
        <v>15382358.341536693</v>
      </c>
      <c r="I7" s="1">
        <v>14123135.22860253</v>
      </c>
      <c r="J7" s="1">
        <v>13091131.664627744</v>
      </c>
      <c r="K7" s="1">
        <v>16402758.222148292</v>
      </c>
      <c r="L7" s="1">
        <v>18175144.936117891</v>
      </c>
      <c r="M7" s="1">
        <v>22577140.152171548</v>
      </c>
      <c r="N7" s="1">
        <v>22365262.71572477</v>
      </c>
      <c r="O7" s="1">
        <v>23875916.82377819</v>
      </c>
      <c r="P7" s="1">
        <v>27804160.529834397</v>
      </c>
      <c r="Q7" s="7"/>
      <c r="R7" s="8"/>
      <c r="S7" s="8"/>
      <c r="T7" s="8"/>
      <c r="U7" s="8"/>
      <c r="V7" s="7"/>
      <c r="W7" s="8"/>
      <c r="X7" s="8"/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6"/>
      <c r="GJ7" s="6"/>
      <c r="GK7" s="6"/>
    </row>
    <row r="8" spans="1:194" ht="15.75" x14ac:dyDescent="0.25">
      <c r="A8" s="16">
        <v>1.2</v>
      </c>
      <c r="B8" s="17" t="s">
        <v>60</v>
      </c>
      <c r="C8" s="4">
        <v>2855741.2889553881</v>
      </c>
      <c r="D8" s="4">
        <v>3282569.2563454984</v>
      </c>
      <c r="E8" s="4">
        <v>3517140.2242953498</v>
      </c>
      <c r="F8" s="4">
        <v>3991653.5046282648</v>
      </c>
      <c r="G8" s="4">
        <v>4412019.4782700902</v>
      </c>
      <c r="H8" s="1">
        <v>5138305.5717450958</v>
      </c>
      <c r="I8" s="1">
        <v>5774414.1813954981</v>
      </c>
      <c r="J8" s="1">
        <v>6025140.9943948127</v>
      </c>
      <c r="K8" s="1">
        <v>6545813.1430265103</v>
      </c>
      <c r="L8" s="1">
        <v>7697973.1753503541</v>
      </c>
      <c r="M8" s="1">
        <v>8276498.3577180421</v>
      </c>
      <c r="N8" s="1">
        <v>8949818.1379932575</v>
      </c>
      <c r="O8" s="1">
        <v>10002653.696503907</v>
      </c>
      <c r="P8" s="1">
        <v>10993148.099506376</v>
      </c>
      <c r="Q8" s="7"/>
      <c r="R8" s="8"/>
      <c r="S8" s="8"/>
      <c r="T8" s="8"/>
      <c r="U8" s="8"/>
      <c r="V8" s="7"/>
      <c r="W8" s="8"/>
      <c r="X8" s="8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6"/>
      <c r="GJ8" s="6"/>
      <c r="GK8" s="6"/>
    </row>
    <row r="9" spans="1:194" ht="15.75" x14ac:dyDescent="0.25">
      <c r="A9" s="16">
        <v>1.3</v>
      </c>
      <c r="B9" s="17" t="s">
        <v>61</v>
      </c>
      <c r="C9" s="4">
        <v>1660081.262715406</v>
      </c>
      <c r="D9" s="4">
        <v>1828019.2133667227</v>
      </c>
      <c r="E9" s="4">
        <v>1651838.9978996273</v>
      </c>
      <c r="F9" s="4">
        <v>1746573.9014696956</v>
      </c>
      <c r="G9" s="4">
        <v>1720059.7303655327</v>
      </c>
      <c r="H9" s="1">
        <v>2427882.8156497632</v>
      </c>
      <c r="I9" s="1">
        <v>2826410.8110591616</v>
      </c>
      <c r="J9" s="1">
        <v>3344819.830175377</v>
      </c>
      <c r="K9" s="1">
        <v>4005211.1792701073</v>
      </c>
      <c r="L9" s="1">
        <v>4069673.3926821412</v>
      </c>
      <c r="M9" s="1">
        <v>4797936.491840058</v>
      </c>
      <c r="N9" s="1">
        <v>5562618.528844649</v>
      </c>
      <c r="O9" s="1">
        <v>5107506.3425580952</v>
      </c>
      <c r="P9" s="1">
        <v>5608266.3891430255</v>
      </c>
      <c r="Q9" s="7"/>
      <c r="R9" s="8"/>
      <c r="S9" s="8"/>
      <c r="T9" s="8"/>
      <c r="U9" s="8"/>
      <c r="V9" s="7"/>
      <c r="W9" s="8"/>
      <c r="X9" s="8"/>
      <c r="Y9" s="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6"/>
      <c r="GJ9" s="6"/>
      <c r="GK9" s="6"/>
    </row>
    <row r="10" spans="1:194" ht="15.75" x14ac:dyDescent="0.25">
      <c r="A10" s="16">
        <v>1.4</v>
      </c>
      <c r="B10" s="17" t="s">
        <v>62</v>
      </c>
      <c r="C10" s="4">
        <v>293875.15619471355</v>
      </c>
      <c r="D10" s="4">
        <v>351633.57007585943</v>
      </c>
      <c r="E10" s="4">
        <v>385198.58552930877</v>
      </c>
      <c r="F10" s="4">
        <v>475141.28112324397</v>
      </c>
      <c r="G10" s="4">
        <v>472891.85849503626</v>
      </c>
      <c r="H10" s="1">
        <v>627445.66152555752</v>
      </c>
      <c r="I10" s="1">
        <v>627832.70476039988</v>
      </c>
      <c r="J10" s="1">
        <v>542861.88788340008</v>
      </c>
      <c r="K10" s="1">
        <v>596406.20349350013</v>
      </c>
      <c r="L10" s="1">
        <v>630036.71508508711</v>
      </c>
      <c r="M10" s="1">
        <v>697409.2383711806</v>
      </c>
      <c r="N10" s="1">
        <v>782856.19011596043</v>
      </c>
      <c r="O10" s="1">
        <v>871007.43474088761</v>
      </c>
      <c r="P10" s="1">
        <v>975391.56607778382</v>
      </c>
      <c r="Q10" s="7"/>
      <c r="R10" s="8"/>
      <c r="S10" s="8"/>
      <c r="T10" s="8"/>
      <c r="U10" s="8"/>
      <c r="V10" s="7"/>
      <c r="W10" s="8"/>
      <c r="X10" s="8"/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6"/>
      <c r="GJ10" s="6"/>
      <c r="GK10" s="6"/>
    </row>
    <row r="11" spans="1:194" ht="15.75" x14ac:dyDescent="0.25">
      <c r="A11" s="18" t="s">
        <v>31</v>
      </c>
      <c r="B11" s="17" t="s">
        <v>3</v>
      </c>
      <c r="C11" s="4">
        <v>5649313.0559997596</v>
      </c>
      <c r="D11" s="4">
        <v>5892114.2411457971</v>
      </c>
      <c r="E11" s="4">
        <v>4823151.4808852198</v>
      </c>
      <c r="F11" s="4">
        <v>5349650.2543297149</v>
      </c>
      <c r="G11" s="4">
        <v>5961477.0794210285</v>
      </c>
      <c r="H11" s="1">
        <v>6024692.3058976801</v>
      </c>
      <c r="I11" s="1">
        <v>6176311.5097296285</v>
      </c>
      <c r="J11" s="1">
        <v>6534388</v>
      </c>
      <c r="K11" s="1">
        <v>6244351.588700261</v>
      </c>
      <c r="L11" s="1">
        <v>5852007.7369583696</v>
      </c>
      <c r="M11" s="1">
        <v>6278822.5173384892</v>
      </c>
      <c r="N11" s="1">
        <v>5835616.2687209388</v>
      </c>
      <c r="O11" s="1">
        <v>6265990.6918809619</v>
      </c>
      <c r="P11" s="1">
        <v>6570535.0108003961</v>
      </c>
      <c r="Q11" s="7"/>
      <c r="R11" s="8"/>
      <c r="S11" s="8"/>
      <c r="T11" s="8"/>
      <c r="U11" s="8"/>
      <c r="V11" s="7"/>
      <c r="W11" s="8"/>
      <c r="X11" s="8"/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6"/>
      <c r="GJ11" s="6"/>
      <c r="GK11" s="6"/>
    </row>
    <row r="12" spans="1:194" s="24" customFormat="1" ht="15.75" x14ac:dyDescent="0.25">
      <c r="A12" s="30"/>
      <c r="B12" s="31" t="s">
        <v>28</v>
      </c>
      <c r="C12" s="32">
        <f>C6+C11</f>
        <v>20651985.61535126</v>
      </c>
      <c r="D12" s="32">
        <f t="shared" ref="D12:L12" si="3">D6+D11</f>
        <v>22183793.868856203</v>
      </c>
      <c r="E12" s="32">
        <f t="shared" si="3"/>
        <v>24054908.924683847</v>
      </c>
      <c r="F12" s="32">
        <f t="shared" si="3"/>
        <v>23077141.131745845</v>
      </c>
      <c r="G12" s="32">
        <f t="shared" si="3"/>
        <v>24046791.847686823</v>
      </c>
      <c r="H12" s="32">
        <f t="shared" si="3"/>
        <v>29600684.696354792</v>
      </c>
      <c r="I12" s="32">
        <f t="shared" si="3"/>
        <v>29528104.435547218</v>
      </c>
      <c r="J12" s="32">
        <f t="shared" si="3"/>
        <v>29538342.377081331</v>
      </c>
      <c r="K12" s="32">
        <f t="shared" si="3"/>
        <v>33794540.336638674</v>
      </c>
      <c r="L12" s="32">
        <f t="shared" si="3"/>
        <v>36424835.956193842</v>
      </c>
      <c r="M12" s="32">
        <f t="shared" ref="M12:P12" si="4">M6+M11</f>
        <v>42627806.757439323</v>
      </c>
      <c r="N12" s="32">
        <f t="shared" si="4"/>
        <v>43496171.841399573</v>
      </c>
      <c r="O12" s="32">
        <f t="shared" si="4"/>
        <v>46123074.98946204</v>
      </c>
      <c r="P12" s="32">
        <f t="shared" si="4"/>
        <v>51951501.595361985</v>
      </c>
      <c r="Q12" s="7"/>
      <c r="R12" s="8"/>
      <c r="S12" s="8"/>
      <c r="T12" s="8"/>
      <c r="U12" s="8"/>
      <c r="V12" s="7"/>
      <c r="W12" s="8"/>
      <c r="X12" s="8"/>
      <c r="Y12" s="7"/>
      <c r="Z12" s="8"/>
      <c r="AA12" s="8"/>
      <c r="AB12" s="8"/>
      <c r="AC12" s="8"/>
      <c r="AD12" s="8"/>
      <c r="AE12" s="8"/>
      <c r="AF12" s="8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29"/>
      <c r="GJ12" s="29"/>
      <c r="GK12" s="29"/>
    </row>
    <row r="13" spans="1:194" s="6" customFormat="1" ht="15.75" x14ac:dyDescent="0.25">
      <c r="A13" s="14" t="s">
        <v>32</v>
      </c>
      <c r="B13" s="15" t="s">
        <v>4</v>
      </c>
      <c r="C13" s="1">
        <v>24603174.513398968</v>
      </c>
      <c r="D13" s="1">
        <v>28203190.593233723</v>
      </c>
      <c r="E13" s="1">
        <v>32423665.316513471</v>
      </c>
      <c r="F13" s="1">
        <v>34197980.102513649</v>
      </c>
      <c r="G13" s="1">
        <v>37291722.43080233</v>
      </c>
      <c r="H13" s="1">
        <v>37706859.538804494</v>
      </c>
      <c r="I13" s="1">
        <v>40372415.696199134</v>
      </c>
      <c r="J13" s="1">
        <v>40068639.112679869</v>
      </c>
      <c r="K13" s="1">
        <v>35202180.168290094</v>
      </c>
      <c r="L13" s="1">
        <v>37984714.844268546</v>
      </c>
      <c r="M13" s="1">
        <v>47057124.947064124</v>
      </c>
      <c r="N13" s="1">
        <v>49292557.889186889</v>
      </c>
      <c r="O13" s="1">
        <v>51339318.482800916</v>
      </c>
      <c r="P13" s="1">
        <v>54161382.775017947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L13" s="2"/>
    </row>
    <row r="14" spans="1:194" ht="30" x14ac:dyDescent="0.25">
      <c r="A14" s="18" t="s">
        <v>33</v>
      </c>
      <c r="B14" s="17" t="s">
        <v>5</v>
      </c>
      <c r="C14" s="4">
        <v>2680539.3046742915</v>
      </c>
      <c r="D14" s="4">
        <v>2924844.7895240122</v>
      </c>
      <c r="E14" s="4">
        <v>4032345.7735236641</v>
      </c>
      <c r="F14" s="4">
        <v>3912160.817974282</v>
      </c>
      <c r="G14" s="4">
        <v>4135970.3769496046</v>
      </c>
      <c r="H14" s="1">
        <v>3963678.9160716827</v>
      </c>
      <c r="I14" s="1">
        <v>5320340.2756512742</v>
      </c>
      <c r="J14" s="1">
        <v>5608985.5640601423</v>
      </c>
      <c r="K14" s="1">
        <v>5497447.883279114</v>
      </c>
      <c r="L14" s="1">
        <v>5468945.4196578031</v>
      </c>
      <c r="M14" s="1">
        <v>6039593.2574650841</v>
      </c>
      <c r="N14" s="1">
        <v>5090249.8936033435</v>
      </c>
      <c r="O14" s="1">
        <v>5935415.2639767192</v>
      </c>
      <c r="P14" s="1">
        <v>6403454.7971480135</v>
      </c>
      <c r="Q14" s="7"/>
      <c r="R14" s="8"/>
      <c r="S14" s="8"/>
      <c r="T14" s="8"/>
      <c r="U14" s="8"/>
      <c r="V14" s="7"/>
      <c r="W14" s="8"/>
      <c r="X14" s="8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7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7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7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6"/>
      <c r="GJ14" s="6"/>
      <c r="GK14" s="6"/>
    </row>
    <row r="15" spans="1:194" ht="15.75" x14ac:dyDescent="0.25">
      <c r="A15" s="18" t="s">
        <v>34</v>
      </c>
      <c r="B15" s="17" t="s">
        <v>6</v>
      </c>
      <c r="C15" s="4">
        <v>8055213.0121231396</v>
      </c>
      <c r="D15" s="4">
        <v>8396156.8680512048</v>
      </c>
      <c r="E15" s="4">
        <v>9253570.0432218295</v>
      </c>
      <c r="F15" s="4">
        <v>10115142.002332602</v>
      </c>
      <c r="G15" s="4">
        <v>10041008.235906985</v>
      </c>
      <c r="H15" s="1">
        <v>10898223.693937315</v>
      </c>
      <c r="I15" s="1">
        <v>11809850.884002747</v>
      </c>
      <c r="J15" s="1">
        <v>13467924.725004414</v>
      </c>
      <c r="K15" s="1">
        <v>13736896.166736417</v>
      </c>
      <c r="L15" s="1">
        <v>13736085.013734482</v>
      </c>
      <c r="M15" s="1">
        <v>18932759.373568833</v>
      </c>
      <c r="N15" s="1">
        <v>22699994.454607479</v>
      </c>
      <c r="O15" s="1">
        <v>25121052.172001969</v>
      </c>
      <c r="P15" s="1">
        <v>27921550.664407469</v>
      </c>
      <c r="Q15" s="7"/>
      <c r="R15" s="8"/>
      <c r="S15" s="8"/>
      <c r="T15" s="8"/>
      <c r="U15" s="8"/>
      <c r="V15" s="7"/>
      <c r="W15" s="8"/>
      <c r="X15" s="8"/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7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7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6"/>
      <c r="GJ15" s="6"/>
      <c r="GK15" s="6"/>
    </row>
    <row r="16" spans="1:194" s="24" customFormat="1" ht="15.75" x14ac:dyDescent="0.25">
      <c r="A16" s="30"/>
      <c r="B16" s="31" t="s">
        <v>29</v>
      </c>
      <c r="C16" s="32">
        <f>+C13+C14+C15</f>
        <v>35338926.830196396</v>
      </c>
      <c r="D16" s="32">
        <f t="shared" ref="D16:K16" si="5">+D13+D14+D15</f>
        <v>39524192.250808939</v>
      </c>
      <c r="E16" s="32">
        <f t="shared" si="5"/>
        <v>45709581.133258969</v>
      </c>
      <c r="F16" s="32">
        <f t="shared" si="5"/>
        <v>48225282.922820538</v>
      </c>
      <c r="G16" s="32">
        <f t="shared" si="5"/>
        <v>51468701.043658927</v>
      </c>
      <c r="H16" s="32">
        <f t="shared" si="5"/>
        <v>52568762.148813494</v>
      </c>
      <c r="I16" s="32">
        <f t="shared" si="5"/>
        <v>57502606.855853155</v>
      </c>
      <c r="J16" s="32">
        <f t="shared" si="5"/>
        <v>59145549.401744425</v>
      </c>
      <c r="K16" s="32">
        <f t="shared" si="5"/>
        <v>54436524.218305625</v>
      </c>
      <c r="L16" s="32">
        <f t="shared" ref="L16" si="6">+L13+L14+L15</f>
        <v>57189745.277660832</v>
      </c>
      <c r="M16" s="32">
        <f t="shared" ref="M16:O16" si="7">+M13+M14+M15</f>
        <v>72029477.578098044</v>
      </c>
      <c r="N16" s="32">
        <f t="shared" si="7"/>
        <v>77082802.237397701</v>
      </c>
      <c r="O16" s="32">
        <f t="shared" si="7"/>
        <v>82395785.918779612</v>
      </c>
      <c r="P16" s="32">
        <f t="shared" ref="P16" si="8">+P13+P14+P15</f>
        <v>88486388.236573428</v>
      </c>
      <c r="Q16" s="7"/>
      <c r="R16" s="8"/>
      <c r="S16" s="8"/>
      <c r="T16" s="8"/>
      <c r="U16" s="8"/>
      <c r="V16" s="7"/>
      <c r="W16" s="8"/>
      <c r="X16" s="8"/>
      <c r="Y16" s="7"/>
      <c r="Z16" s="8"/>
      <c r="AA16" s="8"/>
      <c r="AB16" s="8"/>
      <c r="AC16" s="8"/>
      <c r="AD16" s="8"/>
      <c r="AE16" s="8"/>
      <c r="AF16" s="8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8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28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28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29"/>
      <c r="GJ16" s="29"/>
      <c r="GK16" s="29"/>
    </row>
    <row r="17" spans="1:194" s="29" customFormat="1" ht="15.75" x14ac:dyDescent="0.25">
      <c r="A17" s="25" t="s">
        <v>35</v>
      </c>
      <c r="B17" s="26" t="s">
        <v>7</v>
      </c>
      <c r="C17" s="27">
        <f>C18+C19</f>
        <v>10560912.413861036</v>
      </c>
      <c r="D17" s="27">
        <f t="shared" ref="D17:K17" si="9">D18+D19</f>
        <v>12779221.195872977</v>
      </c>
      <c r="E17" s="27">
        <f t="shared" si="9"/>
        <v>13633267.511586156</v>
      </c>
      <c r="F17" s="27">
        <f t="shared" si="9"/>
        <v>14872268.917428309</v>
      </c>
      <c r="G17" s="27">
        <f t="shared" si="9"/>
        <v>15619311.000000002</v>
      </c>
      <c r="H17" s="27">
        <f t="shared" si="9"/>
        <v>18327479.916057069</v>
      </c>
      <c r="I17" s="27">
        <f t="shared" si="9"/>
        <v>20608298</v>
      </c>
      <c r="J17" s="27">
        <f t="shared" si="9"/>
        <v>24010674</v>
      </c>
      <c r="K17" s="27">
        <f t="shared" si="9"/>
        <v>25865153</v>
      </c>
      <c r="L17" s="27">
        <f t="shared" ref="L17" si="10">L18+L19</f>
        <v>20427684</v>
      </c>
      <c r="M17" s="27">
        <f t="shared" ref="M17:O17" si="11">M18+M19</f>
        <v>25250274.287320357</v>
      </c>
      <c r="N17" s="27">
        <f t="shared" si="11"/>
        <v>30883905.627626225</v>
      </c>
      <c r="O17" s="27">
        <f t="shared" si="11"/>
        <v>34132038.609035723</v>
      </c>
      <c r="P17" s="27">
        <f t="shared" ref="P17" si="12">P18+P19</f>
        <v>37517412.493014976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L17" s="24"/>
    </row>
    <row r="18" spans="1:194" ht="15.75" x14ac:dyDescent="0.25">
      <c r="A18" s="16">
        <v>6.1</v>
      </c>
      <c r="B18" s="17" t="s">
        <v>8</v>
      </c>
      <c r="C18" s="4">
        <v>9422900</v>
      </c>
      <c r="D18" s="4">
        <v>11507640</v>
      </c>
      <c r="E18" s="4">
        <v>12246684</v>
      </c>
      <c r="F18" s="4">
        <v>13415947</v>
      </c>
      <c r="G18" s="4">
        <v>14020720.000000002</v>
      </c>
      <c r="H18" s="1">
        <v>16558304</v>
      </c>
      <c r="I18" s="1">
        <v>18660698</v>
      </c>
      <c r="J18" s="1">
        <v>21789105</v>
      </c>
      <c r="K18" s="1">
        <v>23425325</v>
      </c>
      <c r="L18" s="1">
        <v>19296496</v>
      </c>
      <c r="M18" s="1">
        <v>23526790.175035883</v>
      </c>
      <c r="N18" s="1">
        <v>27905774.510768905</v>
      </c>
      <c r="O18" s="1">
        <v>30815431.385100435</v>
      </c>
      <c r="P18" s="1">
        <v>33825623.821921647</v>
      </c>
      <c r="Q18" s="7"/>
      <c r="R18" s="8"/>
      <c r="S18" s="8"/>
      <c r="T18" s="8"/>
      <c r="U18" s="8"/>
      <c r="V18" s="7"/>
      <c r="W18" s="8"/>
      <c r="X18" s="8"/>
      <c r="Y18" s="7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6"/>
      <c r="GJ18" s="6"/>
      <c r="GK18" s="6"/>
    </row>
    <row r="19" spans="1:194" ht="15.75" x14ac:dyDescent="0.25">
      <c r="A19" s="16">
        <v>6.2</v>
      </c>
      <c r="B19" s="17" t="s">
        <v>9</v>
      </c>
      <c r="C19" s="4">
        <v>1138012.4138610365</v>
      </c>
      <c r="D19" s="4">
        <v>1271581.1958729771</v>
      </c>
      <c r="E19" s="4">
        <v>1386583.5115861567</v>
      </c>
      <c r="F19" s="4">
        <v>1456321.9174283091</v>
      </c>
      <c r="G19" s="4">
        <v>1598591</v>
      </c>
      <c r="H19" s="1">
        <v>1769175.9160570677</v>
      </c>
      <c r="I19" s="1">
        <v>1947600</v>
      </c>
      <c r="J19" s="1">
        <v>2221569</v>
      </c>
      <c r="K19" s="1">
        <v>2439828</v>
      </c>
      <c r="L19" s="1">
        <v>1131188</v>
      </c>
      <c r="M19" s="1">
        <v>1723484.1122844736</v>
      </c>
      <c r="N19" s="1">
        <v>2978131.1168573187</v>
      </c>
      <c r="O19" s="1">
        <v>3316607.2239352898</v>
      </c>
      <c r="P19" s="1">
        <v>3691788.6710933316</v>
      </c>
      <c r="Q19" s="7"/>
      <c r="R19" s="8"/>
      <c r="S19" s="8"/>
      <c r="T19" s="8"/>
      <c r="U19" s="8"/>
      <c r="V19" s="7"/>
      <c r="W19" s="8"/>
      <c r="X19" s="8"/>
      <c r="Y19" s="7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6"/>
      <c r="GJ19" s="6"/>
      <c r="GK19" s="6"/>
    </row>
    <row r="20" spans="1:194" s="29" customFormat="1" ht="30" x14ac:dyDescent="0.25">
      <c r="A20" s="34" t="s">
        <v>36</v>
      </c>
      <c r="B20" s="35" t="s">
        <v>10</v>
      </c>
      <c r="C20" s="27">
        <f>SUM(C21:C27)</f>
        <v>6449971.6109334035</v>
      </c>
      <c r="D20" s="27">
        <f t="shared" ref="D20:E20" si="13">SUM(D21:D27)</f>
        <v>7485249.2683180375</v>
      </c>
      <c r="E20" s="27">
        <f t="shared" si="13"/>
        <v>8062613.5360000003</v>
      </c>
      <c r="F20" s="27">
        <f t="shared" ref="F20:L20" si="14">SUM(F21:F27)</f>
        <v>9053407.9420999996</v>
      </c>
      <c r="G20" s="27">
        <f t="shared" si="14"/>
        <v>10099667.167716019</v>
      </c>
      <c r="H20" s="27">
        <f t="shared" si="14"/>
        <v>10722928.516122475</v>
      </c>
      <c r="I20" s="27">
        <f t="shared" si="14"/>
        <v>11488409.687808327</v>
      </c>
      <c r="J20" s="27">
        <f t="shared" si="14"/>
        <v>12265208.530229736</v>
      </c>
      <c r="K20" s="27">
        <f t="shared" si="14"/>
        <v>12603832.282382814</v>
      </c>
      <c r="L20" s="27">
        <f t="shared" si="14"/>
        <v>11284073.140778411</v>
      </c>
      <c r="M20" s="27">
        <f t="shared" ref="M20:P20" si="15">SUM(M21:M27)</f>
        <v>14348777.117696434</v>
      </c>
      <c r="N20" s="27">
        <f t="shared" si="15"/>
        <v>15766969.988785142</v>
      </c>
      <c r="O20" s="27">
        <f t="shared" si="15"/>
        <v>17250845.79727542</v>
      </c>
      <c r="P20" s="27">
        <f t="shared" si="15"/>
        <v>18758911.687536545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L20" s="24"/>
    </row>
    <row r="21" spans="1:194" ht="15.75" x14ac:dyDescent="0.25">
      <c r="A21" s="16">
        <v>7.1</v>
      </c>
      <c r="B21" s="17" t="s">
        <v>11</v>
      </c>
      <c r="C21" s="4">
        <v>598734</v>
      </c>
      <c r="D21" s="4">
        <v>649048</v>
      </c>
      <c r="E21" s="4">
        <v>685526</v>
      </c>
      <c r="F21" s="4">
        <v>830428.00000000012</v>
      </c>
      <c r="G21" s="4">
        <v>915696.99999999988</v>
      </c>
      <c r="H21" s="1">
        <v>1151170</v>
      </c>
      <c r="I21" s="1">
        <v>1345640</v>
      </c>
      <c r="J21" s="1">
        <v>1351568</v>
      </c>
      <c r="K21" s="1">
        <v>1318212</v>
      </c>
      <c r="L21" s="1">
        <v>1380039.6233652644</v>
      </c>
      <c r="M21" s="1">
        <v>1434653.698477183</v>
      </c>
      <c r="N21" s="1">
        <v>1578560.389717665</v>
      </c>
      <c r="O21" s="1">
        <v>1730816.2190367596</v>
      </c>
      <c r="P21" s="1">
        <v>1891733.8138605962</v>
      </c>
      <c r="Q21" s="7"/>
      <c r="R21" s="8"/>
      <c r="S21" s="8"/>
      <c r="T21" s="8"/>
      <c r="U21" s="8"/>
      <c r="V21" s="7"/>
      <c r="W21" s="8"/>
      <c r="X21" s="8"/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6"/>
      <c r="GJ21" s="6"/>
      <c r="GK21" s="6"/>
    </row>
    <row r="22" spans="1:194" ht="15.75" x14ac:dyDescent="0.25">
      <c r="A22" s="16">
        <v>7.2</v>
      </c>
      <c r="B22" s="17" t="s">
        <v>12</v>
      </c>
      <c r="C22" s="4">
        <v>3122426.3079728484</v>
      </c>
      <c r="D22" s="4">
        <v>3589076.4240900711</v>
      </c>
      <c r="E22" s="4">
        <v>3864594.7648</v>
      </c>
      <c r="F22" s="4">
        <v>4153558.0514999996</v>
      </c>
      <c r="G22" s="4">
        <v>4390053.2819999997</v>
      </c>
      <c r="H22" s="1">
        <v>4817109.2319</v>
      </c>
      <c r="I22" s="1">
        <v>5376772.9236222971</v>
      </c>
      <c r="J22" s="1">
        <v>5918087.9950622711</v>
      </c>
      <c r="K22" s="1">
        <v>5767465.1762946313</v>
      </c>
      <c r="L22" s="1">
        <v>4395238.7264774796</v>
      </c>
      <c r="M22" s="1">
        <v>6292044.4785073586</v>
      </c>
      <c r="N22" s="1">
        <v>6286967.7919737855</v>
      </c>
      <c r="O22" s="1">
        <v>6863695.564212013</v>
      </c>
      <c r="P22" s="1">
        <v>7300039.4008330256</v>
      </c>
      <c r="Q22" s="7"/>
      <c r="R22" s="8"/>
      <c r="S22" s="8"/>
      <c r="T22" s="8"/>
      <c r="U22" s="8"/>
      <c r="V22" s="7"/>
      <c r="W22" s="8"/>
      <c r="X22" s="8"/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6"/>
      <c r="GJ22" s="6"/>
      <c r="GK22" s="6"/>
    </row>
    <row r="23" spans="1:194" ht="15.75" x14ac:dyDescent="0.25">
      <c r="A23" s="16">
        <v>7.3</v>
      </c>
      <c r="B23" s="17" t="s">
        <v>13</v>
      </c>
      <c r="C23" s="4">
        <v>122650.18102946432</v>
      </c>
      <c r="D23" s="4">
        <v>187219.51522587755</v>
      </c>
      <c r="E23" s="4">
        <v>160246.73280000003</v>
      </c>
      <c r="F23" s="4">
        <v>213850.45110000001</v>
      </c>
      <c r="G23" s="4">
        <v>218619.88019999999</v>
      </c>
      <c r="H23" s="1">
        <v>207447.36690000005</v>
      </c>
      <c r="I23" s="1">
        <v>222625.30874982118</v>
      </c>
      <c r="J23" s="1">
        <v>260099.52900580669</v>
      </c>
      <c r="K23" s="1">
        <v>286213.68770377955</v>
      </c>
      <c r="L23" s="1">
        <v>305466.87791239028</v>
      </c>
      <c r="M23" s="1">
        <v>413213.59988236311</v>
      </c>
      <c r="N23" s="1">
        <v>536933.18096837727</v>
      </c>
      <c r="O23" s="1">
        <v>637316.29371421749</v>
      </c>
      <c r="P23" s="1">
        <v>764030.82625067153</v>
      </c>
      <c r="Q23" s="7"/>
      <c r="R23" s="8"/>
      <c r="S23" s="8"/>
      <c r="T23" s="8"/>
      <c r="U23" s="8"/>
      <c r="V23" s="7"/>
      <c r="W23" s="8"/>
      <c r="X23" s="8"/>
      <c r="Y23" s="7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6"/>
      <c r="GJ23" s="6"/>
      <c r="GK23" s="6"/>
    </row>
    <row r="24" spans="1:194" ht="15.75" x14ac:dyDescent="0.25">
      <c r="A24" s="16">
        <v>7.4</v>
      </c>
      <c r="B24" s="17" t="s">
        <v>14</v>
      </c>
      <c r="C24" s="4">
        <v>99047.14173797339</v>
      </c>
      <c r="D24" s="4">
        <v>183100.89546454634</v>
      </c>
      <c r="E24" s="4">
        <v>149203.08479999998</v>
      </c>
      <c r="F24" s="4">
        <v>256504.50539999997</v>
      </c>
      <c r="G24" s="4">
        <v>446654.15039999998</v>
      </c>
      <c r="H24" s="1">
        <v>455794.83049999998</v>
      </c>
      <c r="I24" s="1">
        <v>435280.33419170667</v>
      </c>
      <c r="J24" s="1">
        <v>227511.31047999364</v>
      </c>
      <c r="K24" s="1">
        <v>385956.32789559948</v>
      </c>
      <c r="L24" s="1">
        <v>136722.59501024769</v>
      </c>
      <c r="M24" s="1">
        <v>163462.3548692363</v>
      </c>
      <c r="N24" s="1">
        <v>285413.70696839207</v>
      </c>
      <c r="O24" s="1">
        <v>268625.59565281897</v>
      </c>
      <c r="P24" s="1">
        <v>282760.48430762737</v>
      </c>
      <c r="Q24" s="7"/>
      <c r="R24" s="8"/>
      <c r="S24" s="8"/>
      <c r="T24" s="8"/>
      <c r="U24" s="8"/>
      <c r="V24" s="7"/>
      <c r="W24" s="8"/>
      <c r="X24" s="8"/>
      <c r="Y24" s="7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6"/>
      <c r="GJ24" s="6"/>
      <c r="GK24" s="6"/>
    </row>
    <row r="25" spans="1:194" ht="15.75" x14ac:dyDescent="0.25">
      <c r="A25" s="16">
        <v>7.5</v>
      </c>
      <c r="B25" s="17" t="s">
        <v>15</v>
      </c>
      <c r="C25" s="4">
        <v>825432.89543147862</v>
      </c>
      <c r="D25" s="4">
        <v>973656.18242450652</v>
      </c>
      <c r="E25" s="4">
        <v>915036.95360000001</v>
      </c>
      <c r="F25" s="4">
        <v>1003693.9341</v>
      </c>
      <c r="G25" s="4">
        <v>1093721.4408</v>
      </c>
      <c r="H25" s="1">
        <v>1061833.3432000002</v>
      </c>
      <c r="I25" s="1">
        <v>1118055.5064639125</v>
      </c>
      <c r="J25" s="1">
        <v>1082524.4457392367</v>
      </c>
      <c r="K25" s="1">
        <v>1058037.7376277836</v>
      </c>
      <c r="L25" s="1">
        <v>1016430.4459565287</v>
      </c>
      <c r="M25" s="1">
        <v>1358794.5573574193</v>
      </c>
      <c r="N25" s="1">
        <v>1625242.0520767558</v>
      </c>
      <c r="O25" s="1">
        <v>1693974.251510717</v>
      </c>
      <c r="P25" s="1">
        <v>1775123.2896334953</v>
      </c>
      <c r="Q25" s="7"/>
      <c r="R25" s="8"/>
      <c r="S25" s="8"/>
      <c r="T25" s="8"/>
      <c r="U25" s="8"/>
      <c r="V25" s="7"/>
      <c r="W25" s="8"/>
      <c r="X25" s="8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6"/>
      <c r="GJ25" s="6"/>
      <c r="GK25" s="6"/>
    </row>
    <row r="26" spans="1:194" ht="15.75" x14ac:dyDescent="0.25">
      <c r="A26" s="16">
        <v>7.6</v>
      </c>
      <c r="B26" s="17" t="s">
        <v>16</v>
      </c>
      <c r="C26" s="4">
        <v>92479.084761638806</v>
      </c>
      <c r="D26" s="4">
        <v>101918.2511130364</v>
      </c>
      <c r="E26" s="4">
        <v>114786.99999999999</v>
      </c>
      <c r="F26" s="4">
        <v>125819</v>
      </c>
      <c r="G26" s="4">
        <v>130820</v>
      </c>
      <c r="H26" s="1">
        <v>136407</v>
      </c>
      <c r="I26" s="1">
        <v>151384</v>
      </c>
      <c r="J26" s="1">
        <v>425017.88063240662</v>
      </c>
      <c r="K26" s="1">
        <v>441264.33125579718</v>
      </c>
      <c r="L26" s="1">
        <v>457847.19770234468</v>
      </c>
      <c r="M26" s="1">
        <v>495429.08394925378</v>
      </c>
      <c r="N26" s="1">
        <v>565768.622272996</v>
      </c>
      <c r="O26" s="1">
        <v>637409.28442357387</v>
      </c>
      <c r="P26" s="1">
        <v>720391.18821446982</v>
      </c>
      <c r="Q26" s="7"/>
      <c r="R26" s="8"/>
      <c r="S26" s="8"/>
      <c r="T26" s="8"/>
      <c r="U26" s="8"/>
      <c r="V26" s="7"/>
      <c r="W26" s="8"/>
      <c r="X26" s="8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6"/>
      <c r="GJ26" s="6"/>
      <c r="GK26" s="6"/>
    </row>
    <row r="27" spans="1:194" ht="30" x14ac:dyDescent="0.25">
      <c r="A27" s="16">
        <v>7.7</v>
      </c>
      <c r="B27" s="17" t="s">
        <v>17</v>
      </c>
      <c r="C27" s="4">
        <v>1589202</v>
      </c>
      <c r="D27" s="4">
        <v>1801230</v>
      </c>
      <c r="E27" s="4">
        <v>2173219</v>
      </c>
      <c r="F27" s="4">
        <v>2469554</v>
      </c>
      <c r="G27" s="4">
        <v>2904101.4143160209</v>
      </c>
      <c r="H27" s="1">
        <v>2893166.7436224753</v>
      </c>
      <c r="I27" s="1">
        <v>2838651.6147805899</v>
      </c>
      <c r="J27" s="1">
        <v>3000399.3693100223</v>
      </c>
      <c r="K27" s="1">
        <v>3346683.021605223</v>
      </c>
      <c r="L27" s="1">
        <v>3592327.6743541565</v>
      </c>
      <c r="M27" s="1">
        <v>4191179.3446536218</v>
      </c>
      <c r="N27" s="1">
        <v>4888084.2448071707</v>
      </c>
      <c r="O27" s="1">
        <v>5419008.588725321</v>
      </c>
      <c r="P27" s="1">
        <v>6024832.6844366584</v>
      </c>
      <c r="Q27" s="7"/>
      <c r="R27" s="8"/>
      <c r="S27" s="8"/>
      <c r="T27" s="8"/>
      <c r="U27" s="8"/>
      <c r="V27" s="7"/>
      <c r="W27" s="8"/>
      <c r="X27" s="8"/>
      <c r="Y27" s="7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6"/>
      <c r="GJ27" s="6"/>
      <c r="GK27" s="6"/>
    </row>
    <row r="28" spans="1:194" ht="15.75" x14ac:dyDescent="0.25">
      <c r="A28" s="18" t="s">
        <v>37</v>
      </c>
      <c r="B28" s="17" t="s">
        <v>18</v>
      </c>
      <c r="C28" s="4">
        <v>11783628</v>
      </c>
      <c r="D28" s="4">
        <v>12909085</v>
      </c>
      <c r="E28" s="4">
        <v>14972993</v>
      </c>
      <c r="F28" s="4">
        <v>16407915</v>
      </c>
      <c r="G28" s="4">
        <v>17823902.981274333</v>
      </c>
      <c r="H28" s="1">
        <v>18778197.718618121</v>
      </c>
      <c r="I28" s="1">
        <v>19772110.243653804</v>
      </c>
      <c r="J28" s="1">
        <v>22709494</v>
      </c>
      <c r="K28" s="1">
        <v>24762025.580206923</v>
      </c>
      <c r="L28" s="1">
        <v>25565147.394324884</v>
      </c>
      <c r="M28" s="1">
        <v>28568306.200219493</v>
      </c>
      <c r="N28" s="1">
        <v>37102053.543662578</v>
      </c>
      <c r="O28" s="1">
        <v>40682334.310083203</v>
      </c>
      <c r="P28" s="1">
        <v>45413752.603872366</v>
      </c>
      <c r="Q28" s="7"/>
      <c r="R28" s="8"/>
      <c r="S28" s="8"/>
      <c r="T28" s="8"/>
      <c r="U28" s="8"/>
      <c r="V28" s="7"/>
      <c r="W28" s="8"/>
      <c r="X28" s="8"/>
      <c r="Y28" s="7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6"/>
      <c r="GJ28" s="6"/>
      <c r="GK28" s="6"/>
    </row>
    <row r="29" spans="1:194" ht="30" x14ac:dyDescent="0.25">
      <c r="A29" s="18" t="s">
        <v>38</v>
      </c>
      <c r="B29" s="17" t="s">
        <v>19</v>
      </c>
      <c r="C29" s="4">
        <v>19086971.317200001</v>
      </c>
      <c r="D29" s="4">
        <v>22453750.172042001</v>
      </c>
      <c r="E29" s="4">
        <v>26581174</v>
      </c>
      <c r="F29" s="4">
        <v>31240755.053271107</v>
      </c>
      <c r="G29" s="4">
        <v>35161063</v>
      </c>
      <c r="H29" s="1">
        <v>40404145</v>
      </c>
      <c r="I29" s="1">
        <v>44531292.312985241</v>
      </c>
      <c r="J29" s="1">
        <v>48863603.02132982</v>
      </c>
      <c r="K29" s="1">
        <v>53859644.157531366</v>
      </c>
      <c r="L29" s="1">
        <v>54707708.014555626</v>
      </c>
      <c r="M29" s="1">
        <v>64886297.787760638</v>
      </c>
      <c r="N29" s="1">
        <v>77007055.799791276</v>
      </c>
      <c r="O29" s="1">
        <v>88816474.350874454</v>
      </c>
      <c r="P29" s="1">
        <v>100132379.37085575</v>
      </c>
      <c r="Q29" s="7"/>
      <c r="R29" s="8"/>
      <c r="S29" s="8"/>
      <c r="T29" s="8"/>
      <c r="U29" s="8"/>
      <c r="V29" s="7"/>
      <c r="W29" s="8"/>
      <c r="X29" s="8"/>
      <c r="Y29" s="7"/>
      <c r="Z29" s="9"/>
      <c r="AA29" s="9"/>
      <c r="AB29" s="9"/>
      <c r="AC29" s="9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6"/>
      <c r="GJ29" s="6"/>
      <c r="GK29" s="6"/>
    </row>
    <row r="30" spans="1:194" ht="15.75" x14ac:dyDescent="0.25">
      <c r="A30" s="18" t="s">
        <v>39</v>
      </c>
      <c r="B30" s="17" t="s">
        <v>54</v>
      </c>
      <c r="C30" s="4">
        <v>3906953</v>
      </c>
      <c r="D30" s="4">
        <v>4337090</v>
      </c>
      <c r="E30" s="4">
        <v>4794001</v>
      </c>
      <c r="F30" s="4">
        <v>5180187</v>
      </c>
      <c r="G30" s="4">
        <v>5678948.9190994259</v>
      </c>
      <c r="H30" s="1">
        <v>6358493.3966884417</v>
      </c>
      <c r="I30" s="1">
        <v>7047304.8817362748</v>
      </c>
      <c r="J30" s="1">
        <v>7665547.5821491815</v>
      </c>
      <c r="K30" s="1">
        <v>9368138.1666474771</v>
      </c>
      <c r="L30" s="1">
        <v>9666750.5253036469</v>
      </c>
      <c r="M30" s="1">
        <v>10479870.768621979</v>
      </c>
      <c r="N30" s="1">
        <v>13319578.248895695</v>
      </c>
      <c r="O30" s="1">
        <v>15691688.879040333</v>
      </c>
      <c r="P30" s="1">
        <v>18123210.590185169</v>
      </c>
      <c r="Q30" s="7"/>
      <c r="R30" s="8"/>
      <c r="S30" s="8"/>
      <c r="T30" s="8"/>
      <c r="U30" s="8"/>
      <c r="V30" s="7"/>
      <c r="W30" s="8"/>
      <c r="X30" s="8"/>
      <c r="Y30" s="7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6"/>
      <c r="GJ30" s="6"/>
      <c r="GK30" s="6"/>
    </row>
    <row r="31" spans="1:194" ht="15.75" x14ac:dyDescent="0.25">
      <c r="A31" s="18" t="s">
        <v>40</v>
      </c>
      <c r="B31" s="17" t="s">
        <v>20</v>
      </c>
      <c r="C31" s="4">
        <v>6662495</v>
      </c>
      <c r="D31" s="4">
        <v>7831781</v>
      </c>
      <c r="E31" s="4">
        <v>9088224</v>
      </c>
      <c r="F31" s="4">
        <v>10636750</v>
      </c>
      <c r="G31" s="4">
        <v>12150382</v>
      </c>
      <c r="H31" s="1">
        <v>14087779</v>
      </c>
      <c r="I31" s="1">
        <v>15965059.747545578</v>
      </c>
      <c r="J31" s="1">
        <v>17478409.001651652</v>
      </c>
      <c r="K31" s="1">
        <v>20367217.47901566</v>
      </c>
      <c r="L31" s="1">
        <v>17949245.022245608</v>
      </c>
      <c r="M31" s="1">
        <v>21035805.012435891</v>
      </c>
      <c r="N31" s="1">
        <v>25532585.237557128</v>
      </c>
      <c r="O31" s="1">
        <v>29205475.953973304</v>
      </c>
      <c r="P31" s="1">
        <v>32723250.30990757</v>
      </c>
      <c r="Q31" s="7"/>
      <c r="R31" s="8"/>
      <c r="S31" s="8"/>
      <c r="T31" s="8"/>
      <c r="U31" s="8"/>
      <c r="V31" s="7"/>
      <c r="W31" s="8"/>
      <c r="X31" s="8"/>
      <c r="Y31" s="7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6"/>
      <c r="GJ31" s="6"/>
      <c r="GK31" s="6"/>
    </row>
    <row r="32" spans="1:194" s="24" customFormat="1" ht="15.75" x14ac:dyDescent="0.25">
      <c r="A32" s="30"/>
      <c r="B32" s="31" t="s">
        <v>30</v>
      </c>
      <c r="C32" s="32">
        <f>C17+C20+C28+C29+C30+C31</f>
        <v>58450931.341994442</v>
      </c>
      <c r="D32" s="32">
        <f t="shared" ref="D32:K32" si="16">D17+D20+D28+D29+D30+D31</f>
        <v>67796176.636233017</v>
      </c>
      <c r="E32" s="32">
        <f t="shared" si="16"/>
        <v>77132273.047586158</v>
      </c>
      <c r="F32" s="32">
        <f t="shared" si="16"/>
        <v>87391283.912799418</v>
      </c>
      <c r="G32" s="32">
        <f t="shared" si="16"/>
        <v>96533275.068089768</v>
      </c>
      <c r="H32" s="32">
        <f t="shared" si="16"/>
        <v>108679023.54748611</v>
      </c>
      <c r="I32" s="32">
        <f t="shared" si="16"/>
        <v>119412474.87372923</v>
      </c>
      <c r="J32" s="32">
        <f t="shared" si="16"/>
        <v>132992936.13536039</v>
      </c>
      <c r="K32" s="32">
        <f t="shared" si="16"/>
        <v>146826010.66578424</v>
      </c>
      <c r="L32" s="32">
        <f t="shared" ref="L32" si="17">L17+L20+L28+L29+L30+L31</f>
        <v>139600608.09720817</v>
      </c>
      <c r="M32" s="32">
        <f t="shared" ref="M32:O32" si="18">M17+M20+M28+M29+M30+M31</f>
        <v>164569331.1740548</v>
      </c>
      <c r="N32" s="32">
        <f t="shared" si="18"/>
        <v>199612148.44631803</v>
      </c>
      <c r="O32" s="32">
        <f t="shared" si="18"/>
        <v>225778857.90028241</v>
      </c>
      <c r="P32" s="32">
        <f t="shared" ref="P32" si="19">P17+P20+P28+P29+P30+P31</f>
        <v>252668917.05537236</v>
      </c>
      <c r="Q32" s="7"/>
      <c r="R32" s="8"/>
      <c r="S32" s="8"/>
      <c r="T32" s="8"/>
      <c r="U32" s="8"/>
      <c r="V32" s="7"/>
      <c r="W32" s="8"/>
      <c r="X32" s="8"/>
      <c r="Y32" s="7"/>
      <c r="Z32" s="8"/>
      <c r="AA32" s="8"/>
      <c r="AB32" s="8"/>
      <c r="AC32" s="8"/>
      <c r="AD32" s="8"/>
      <c r="AE32" s="8"/>
      <c r="AF32" s="8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29"/>
      <c r="GJ32" s="29"/>
      <c r="GK32" s="29"/>
    </row>
    <row r="33" spans="1:194" s="29" customFormat="1" ht="15.75" x14ac:dyDescent="0.25">
      <c r="A33" s="25" t="s">
        <v>27</v>
      </c>
      <c r="B33" s="36" t="s">
        <v>41</v>
      </c>
      <c r="C33" s="27">
        <f>C6+C11+C13+C14+C15+C17+C20+C28+C29+C30+C31</f>
        <v>114441843.7875421</v>
      </c>
      <c r="D33" s="27">
        <f t="shared" ref="D33:K33" si="20">D6+D11+D13+D14+D15+D17+D20+D28+D29+D30+D31</f>
        <v>129504162.75589816</v>
      </c>
      <c r="E33" s="27">
        <f t="shared" si="20"/>
        <v>146896763.10552895</v>
      </c>
      <c r="F33" s="27">
        <f t="shared" si="20"/>
        <v>158693707.9673658</v>
      </c>
      <c r="G33" s="27">
        <f t="shared" si="20"/>
        <v>172048767.95943552</v>
      </c>
      <c r="H33" s="27">
        <f t="shared" si="20"/>
        <v>190848470.39265439</v>
      </c>
      <c r="I33" s="27">
        <f t="shared" si="20"/>
        <v>206443186.1651296</v>
      </c>
      <c r="J33" s="27">
        <f t="shared" si="20"/>
        <v>221676827.91418615</v>
      </c>
      <c r="K33" s="27">
        <f t="shared" si="20"/>
        <v>235057075.22072855</v>
      </c>
      <c r="L33" s="27">
        <f t="shared" ref="L33" si="21">L6+L11+L13+L14+L15+L17+L20+L28+L29+L30+L31</f>
        <v>233215189.33106288</v>
      </c>
      <c r="M33" s="27">
        <f t="shared" ref="M33:O33" si="22">M6+M11+M13+M14+M15+M17+M20+M28+M29+M30+M31</f>
        <v>279226615.50959218</v>
      </c>
      <c r="N33" s="27">
        <f t="shared" si="22"/>
        <v>320191122.52511537</v>
      </c>
      <c r="O33" s="27">
        <f t="shared" si="22"/>
        <v>354297718.80852413</v>
      </c>
      <c r="P33" s="27">
        <f t="shared" ref="P33" si="23">P6+P11+P13+P14+P15+P17+P20+P28+P29+P30+P31</f>
        <v>393106806.88730776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L33" s="24"/>
    </row>
    <row r="34" spans="1:194" ht="15.75" x14ac:dyDescent="0.25">
      <c r="A34" s="19" t="s">
        <v>43</v>
      </c>
      <c r="B34" s="5" t="s">
        <v>25</v>
      </c>
      <c r="C34" s="4">
        <v>16208500</v>
      </c>
      <c r="D34" s="4">
        <v>19830400</v>
      </c>
      <c r="E34" s="4">
        <v>21632200</v>
      </c>
      <c r="F34" s="4">
        <v>22880797</v>
      </c>
      <c r="G34" s="4">
        <v>27668009.000000004</v>
      </c>
      <c r="H34" s="1">
        <v>31767545.000000007</v>
      </c>
      <c r="I34" s="1">
        <v>31520040.000000004</v>
      </c>
      <c r="J34" s="1">
        <v>34164248</v>
      </c>
      <c r="K34" s="1">
        <v>33868682.114041395</v>
      </c>
      <c r="L34" s="1">
        <v>32208986.262019049</v>
      </c>
      <c r="M34" s="1">
        <v>40977959.179671474</v>
      </c>
      <c r="N34" s="1">
        <v>51087262.224490561</v>
      </c>
      <c r="O34" s="1">
        <v>59178389.577391654</v>
      </c>
      <c r="P34" s="1">
        <v>68786351.026220933</v>
      </c>
      <c r="Q34" s="7"/>
      <c r="R34" s="8"/>
      <c r="S34" s="8"/>
      <c r="T34" s="8"/>
      <c r="U34" s="8"/>
      <c r="V34" s="7"/>
      <c r="W34" s="8"/>
      <c r="X34" s="8"/>
      <c r="Y34" s="7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</row>
    <row r="35" spans="1:194" ht="15.75" x14ac:dyDescent="0.25">
      <c r="A35" s="19" t="s">
        <v>44</v>
      </c>
      <c r="B35" s="5" t="s">
        <v>24</v>
      </c>
      <c r="C35" s="4">
        <v>2613400</v>
      </c>
      <c r="D35" s="4">
        <v>3371700</v>
      </c>
      <c r="E35" s="4">
        <v>3564300</v>
      </c>
      <c r="F35" s="4">
        <v>3660712.0000000005</v>
      </c>
      <c r="G35" s="4">
        <v>3094319</v>
      </c>
      <c r="H35" s="1">
        <v>2797500</v>
      </c>
      <c r="I35" s="1">
        <v>2685076</v>
      </c>
      <c r="J35" s="1">
        <v>2955646</v>
      </c>
      <c r="K35" s="1">
        <v>3245110</v>
      </c>
      <c r="L35" s="1">
        <v>4359066</v>
      </c>
      <c r="M35" s="1">
        <v>5822433</v>
      </c>
      <c r="N35" s="1">
        <v>7124095.0000000009</v>
      </c>
      <c r="O35" s="1">
        <v>7891385.6932910522</v>
      </c>
      <c r="P35" s="1">
        <v>8741316.3581168819</v>
      </c>
      <c r="Q35" s="7"/>
      <c r="R35" s="8"/>
      <c r="S35" s="8"/>
      <c r="T35" s="8"/>
      <c r="U35" s="8"/>
      <c r="V35" s="7"/>
      <c r="W35" s="8"/>
      <c r="X35" s="8"/>
      <c r="Y35" s="7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</row>
    <row r="36" spans="1:194" s="24" customFormat="1" ht="15.75" x14ac:dyDescent="0.25">
      <c r="A36" s="37" t="s">
        <v>45</v>
      </c>
      <c r="B36" s="38" t="s">
        <v>55</v>
      </c>
      <c r="C36" s="32">
        <f>C33+C34-C35</f>
        <v>128036943.7875421</v>
      </c>
      <c r="D36" s="32">
        <f t="shared" ref="D36:L36" si="24">D33+D34-D35</f>
        <v>145962862.75589818</v>
      </c>
      <c r="E36" s="32">
        <f t="shared" si="24"/>
        <v>164964663.10552895</v>
      </c>
      <c r="F36" s="32">
        <f t="shared" si="24"/>
        <v>177913792.9673658</v>
      </c>
      <c r="G36" s="32">
        <f t="shared" si="24"/>
        <v>196622457.95943552</v>
      </c>
      <c r="H36" s="32">
        <f t="shared" si="24"/>
        <v>219818515.39265439</v>
      </c>
      <c r="I36" s="32">
        <f t="shared" si="24"/>
        <v>235278150.1651296</v>
      </c>
      <c r="J36" s="32">
        <f t="shared" si="24"/>
        <v>252885429.91418615</v>
      </c>
      <c r="K36" s="32">
        <f t="shared" si="24"/>
        <v>265680647.33476996</v>
      </c>
      <c r="L36" s="32">
        <f t="shared" si="24"/>
        <v>261065109.59308192</v>
      </c>
      <c r="M36" s="32">
        <f t="shared" ref="M36:P36" si="25">M33+M34-M35</f>
        <v>314382141.68926364</v>
      </c>
      <c r="N36" s="32">
        <f t="shared" si="25"/>
        <v>364154289.74960595</v>
      </c>
      <c r="O36" s="32">
        <f t="shared" si="25"/>
        <v>405584722.69262469</v>
      </c>
      <c r="P36" s="32">
        <f t="shared" si="25"/>
        <v>453151841.55541182</v>
      </c>
      <c r="Q36" s="7"/>
      <c r="R36" s="8"/>
      <c r="S36" s="8"/>
      <c r="T36" s="8"/>
      <c r="U36" s="8"/>
      <c r="V36" s="7"/>
      <c r="W36" s="8"/>
      <c r="X36" s="8"/>
      <c r="Y36" s="7"/>
      <c r="Z36" s="8"/>
      <c r="AA36" s="8"/>
      <c r="AB36" s="8"/>
      <c r="AC36" s="8"/>
      <c r="AD36" s="8"/>
      <c r="AE36" s="8"/>
      <c r="AF36" s="8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</row>
    <row r="37" spans="1:194" ht="15.75" x14ac:dyDescent="0.25">
      <c r="A37" s="19" t="s">
        <v>46</v>
      </c>
      <c r="B37" s="5" t="s">
        <v>42</v>
      </c>
      <c r="C37" s="4">
        <v>1131150</v>
      </c>
      <c r="D37" s="4">
        <v>1143860</v>
      </c>
      <c r="E37" s="4">
        <v>1156560</v>
      </c>
      <c r="F37" s="4">
        <v>1169270</v>
      </c>
      <c r="G37" s="4">
        <v>1181970</v>
      </c>
      <c r="H37" s="1">
        <v>1193930</v>
      </c>
      <c r="I37" s="1">
        <v>1205350</v>
      </c>
      <c r="J37" s="1">
        <v>1216770</v>
      </c>
      <c r="K37" s="1">
        <v>1228190</v>
      </c>
      <c r="L37" s="1">
        <v>1239610</v>
      </c>
      <c r="M37" s="1">
        <v>1250050</v>
      </c>
      <c r="N37" s="1">
        <v>1259790</v>
      </c>
      <c r="O37" s="1">
        <v>1269540</v>
      </c>
      <c r="P37" s="1">
        <v>1279280</v>
      </c>
      <c r="Z37" s="6"/>
      <c r="AA37" s="6"/>
      <c r="AB37" s="6"/>
      <c r="AC37" s="6"/>
    </row>
    <row r="38" spans="1:194" s="24" customFormat="1" ht="15.75" x14ac:dyDescent="0.25">
      <c r="A38" s="37" t="s">
        <v>47</v>
      </c>
      <c r="B38" s="38" t="s">
        <v>58</v>
      </c>
      <c r="C38" s="32">
        <f>C36/C37*1000</f>
        <v>113191.83467050533</v>
      </c>
      <c r="D38" s="32">
        <f t="shared" ref="D38:L38" si="26">D36/D37*1000</f>
        <v>127605.5310579076</v>
      </c>
      <c r="E38" s="32">
        <f t="shared" si="26"/>
        <v>142633.89975922473</v>
      </c>
      <c r="F38" s="32">
        <f t="shared" si="26"/>
        <v>152158.00710474554</v>
      </c>
      <c r="G38" s="32">
        <f t="shared" si="26"/>
        <v>166351.47927564621</v>
      </c>
      <c r="H38" s="32">
        <f t="shared" si="26"/>
        <v>184113.40312468435</v>
      </c>
      <c r="I38" s="32">
        <f t="shared" si="26"/>
        <v>195194.88129184849</v>
      </c>
      <c r="J38" s="32">
        <f t="shared" si="26"/>
        <v>207833.38668292787</v>
      </c>
      <c r="K38" s="32">
        <f t="shared" si="26"/>
        <v>216318.84914774584</v>
      </c>
      <c r="L38" s="32">
        <f t="shared" si="26"/>
        <v>210602.61662384291</v>
      </c>
      <c r="M38" s="32">
        <f t="shared" ref="M38:O38" si="27">M36/M37*1000</f>
        <v>251495.65352526991</v>
      </c>
      <c r="N38" s="32">
        <f t="shared" si="27"/>
        <v>289059.51765739208</v>
      </c>
      <c r="O38" s="32">
        <f t="shared" si="27"/>
        <v>319473.76427101524</v>
      </c>
      <c r="P38" s="32">
        <f t="shared" ref="P38" si="28">P36/P37*1000</f>
        <v>354224.12728676427</v>
      </c>
      <c r="Q38" s="7"/>
      <c r="R38" s="2"/>
      <c r="S38" s="2"/>
      <c r="T38" s="2"/>
      <c r="U38" s="2"/>
      <c r="V38" s="6"/>
      <c r="W38" s="2"/>
      <c r="X38" s="2"/>
      <c r="Y38" s="7"/>
      <c r="Z38" s="7"/>
      <c r="AA38" s="7"/>
      <c r="AB38" s="7"/>
      <c r="AC38" s="7"/>
      <c r="AD38" s="2"/>
      <c r="AE38" s="2"/>
      <c r="AF38" s="2"/>
      <c r="CD38" s="33"/>
      <c r="CE38" s="33"/>
      <c r="CF38" s="33"/>
      <c r="CG38" s="33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</row>
    <row r="39" spans="1:194" x14ac:dyDescent="0.25">
      <c r="A39" s="2" t="s">
        <v>75</v>
      </c>
      <c r="C39" s="8"/>
      <c r="D39" s="8"/>
      <c r="E39" s="8"/>
      <c r="F39" s="8"/>
      <c r="G39" s="8"/>
      <c r="H39" s="7"/>
      <c r="I39" s="7"/>
      <c r="J39" s="7"/>
      <c r="K39" s="7"/>
      <c r="L39" s="7"/>
      <c r="M39" s="7"/>
      <c r="N39" s="7"/>
      <c r="O39" s="7"/>
      <c r="P39" s="7"/>
    </row>
  </sheetData>
  <sheetProtection formatColumns="0" formatRows="0"/>
  <phoneticPr fontId="17" type="noConversion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H39"/>
  <sheetViews>
    <sheetView zoomScaleNormal="100" zoomScaleSheetLayoutView="100" workbookViewId="0">
      <pane xSplit="2" ySplit="5" topLeftCell="C15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3" width="12" style="2" customWidth="1"/>
    <col min="4" max="4" width="11" style="2" bestFit="1" customWidth="1"/>
    <col min="5" max="5" width="11.42578125" style="2" bestFit="1" customWidth="1"/>
    <col min="6" max="7" width="14.140625" style="2" bestFit="1" customWidth="1"/>
    <col min="8" max="8" width="14.140625" style="6" bestFit="1" customWidth="1"/>
    <col min="9" max="9" width="13.28515625" style="6" customWidth="1"/>
    <col min="10" max="13" width="14.140625" style="6" bestFit="1" customWidth="1"/>
    <col min="14" max="14" width="11" style="6" bestFit="1" customWidth="1"/>
    <col min="15" max="15" width="11.42578125" style="6" bestFit="1" customWidth="1"/>
    <col min="16" max="16" width="11.42578125" style="6" customWidth="1"/>
    <col min="17" max="17" width="11.28515625" style="2" customWidth="1"/>
    <col min="18" max="18" width="11.7109375" style="6" customWidth="1"/>
    <col min="19" max="19" width="9.140625" style="2" customWidth="1"/>
    <col min="20" max="20" width="10.85546875" style="2" customWidth="1"/>
    <col min="21" max="21" width="10.85546875" style="6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6" customWidth="1"/>
    <col min="112" max="116" width="9.140625" style="6" hidden="1" customWidth="1"/>
    <col min="117" max="117" width="9.140625" style="6" customWidth="1"/>
    <col min="118" max="122" width="9.140625" style="6" hidden="1" customWidth="1"/>
    <col min="123" max="123" width="9.140625" style="6" customWidth="1"/>
    <col min="124" max="128" width="9.140625" style="6" hidden="1" customWidth="1"/>
    <col min="129" max="129" width="9.140625" style="6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21" t="s">
        <v>66</v>
      </c>
      <c r="T1" s="7"/>
    </row>
    <row r="2" spans="1:190" ht="15.75" x14ac:dyDescent="0.25">
      <c r="A2" s="11" t="s">
        <v>49</v>
      </c>
      <c r="I2" s="6" t="str">
        <f>[1]GSVA_cur!$I$3</f>
        <v>01.08.2025</v>
      </c>
    </row>
    <row r="3" spans="1:190" ht="15.75" x14ac:dyDescent="0.25">
      <c r="A3" s="11"/>
    </row>
    <row r="4" spans="1:190" ht="15.75" x14ac:dyDescent="0.25">
      <c r="A4" s="11"/>
      <c r="E4" s="10"/>
      <c r="F4" s="10" t="s">
        <v>57</v>
      </c>
      <c r="G4" s="10"/>
    </row>
    <row r="5" spans="1:190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3" t="s">
        <v>72</v>
      </c>
      <c r="N5" s="23" t="s">
        <v>73</v>
      </c>
      <c r="O5" s="23" t="s">
        <v>74</v>
      </c>
      <c r="P5" s="23" t="s">
        <v>76</v>
      </c>
    </row>
    <row r="6" spans="1:190" s="29" customFormat="1" ht="15.75" x14ac:dyDescent="0.25">
      <c r="A6" s="25" t="s">
        <v>26</v>
      </c>
      <c r="B6" s="26" t="s">
        <v>2</v>
      </c>
      <c r="C6" s="27">
        <f>SUM(C7:C10)</f>
        <v>15002672.559351498</v>
      </c>
      <c r="D6" s="27">
        <f t="shared" ref="D6:L6" si="0">SUM(D7:D10)</f>
        <v>14939156.825677402</v>
      </c>
      <c r="E6" s="27">
        <f t="shared" si="0"/>
        <v>16780587.532016538</v>
      </c>
      <c r="F6" s="27">
        <f t="shared" si="0"/>
        <v>14983466.094922535</v>
      </c>
      <c r="G6" s="27">
        <f t="shared" si="0"/>
        <v>14435584.838996068</v>
      </c>
      <c r="H6" s="27">
        <f t="shared" si="0"/>
        <v>17473451.234949872</v>
      </c>
      <c r="I6" s="27">
        <f t="shared" si="0"/>
        <v>17348086.562346764</v>
      </c>
      <c r="J6" s="27">
        <f t="shared" si="0"/>
        <v>16985907.614683934</v>
      </c>
      <c r="K6" s="27">
        <f t="shared" si="0"/>
        <v>18355334.206307929</v>
      </c>
      <c r="L6" s="27">
        <f t="shared" si="0"/>
        <v>20475783.365200598</v>
      </c>
      <c r="M6" s="27">
        <f t="shared" ref="M6:P6" si="1">SUM(M7:M10)</f>
        <v>21290823.07462712</v>
      </c>
      <c r="N6" s="27">
        <f t="shared" si="1"/>
        <v>21915115.964546073</v>
      </c>
      <c r="O6" s="27">
        <f t="shared" si="1"/>
        <v>22636883.896666262</v>
      </c>
      <c r="P6" s="27">
        <f t="shared" si="1"/>
        <v>24601413.318740476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H6" s="24"/>
    </row>
    <row r="7" spans="1:190" ht="15.75" x14ac:dyDescent="0.25">
      <c r="A7" s="16">
        <v>1.1000000000000001</v>
      </c>
      <c r="B7" s="17" t="s">
        <v>59</v>
      </c>
      <c r="C7" s="4">
        <v>10192974.85148599</v>
      </c>
      <c r="D7" s="4">
        <v>10005667.949743902</v>
      </c>
      <c r="E7" s="4">
        <v>11865366.085753422</v>
      </c>
      <c r="F7" s="4">
        <v>9883332.3338560816</v>
      </c>
      <c r="G7" s="4">
        <v>9142618.0431405362</v>
      </c>
      <c r="H7" s="1">
        <v>11431357.721734785</v>
      </c>
      <c r="I7" s="1">
        <v>10850707.553544546</v>
      </c>
      <c r="J7" s="1">
        <v>10024697.535984352</v>
      </c>
      <c r="K7" s="1">
        <v>10787146.640072577</v>
      </c>
      <c r="L7" s="1">
        <v>12429036.496790383</v>
      </c>
      <c r="M7" s="1">
        <v>12862596.027999217</v>
      </c>
      <c r="N7" s="1">
        <v>13109245.48340732</v>
      </c>
      <c r="O7" s="1">
        <v>13149893.627766069</v>
      </c>
      <c r="P7" s="1">
        <v>14561947.695465956</v>
      </c>
      <c r="Q7" s="8"/>
      <c r="R7" s="7"/>
      <c r="S7" s="8"/>
      <c r="T7" s="8"/>
      <c r="U7" s="7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6"/>
      <c r="GF7" s="6"/>
      <c r="GG7" s="6"/>
    </row>
    <row r="8" spans="1:190" ht="15.75" x14ac:dyDescent="0.25">
      <c r="A8" s="16">
        <v>1.2</v>
      </c>
      <c r="B8" s="17" t="s">
        <v>60</v>
      </c>
      <c r="C8" s="4">
        <v>2855741.2889553881</v>
      </c>
      <c r="D8" s="4">
        <v>2963821.1875811941</v>
      </c>
      <c r="E8" s="4">
        <v>2995495.0666288454</v>
      </c>
      <c r="F8" s="4">
        <v>3114007.5434868853</v>
      </c>
      <c r="G8" s="4">
        <v>3264192.7192330677</v>
      </c>
      <c r="H8" s="1">
        <v>3638757.3631977485</v>
      </c>
      <c r="I8" s="1">
        <v>3947827.1927499771</v>
      </c>
      <c r="J8" s="1">
        <v>4256684.9488919526</v>
      </c>
      <c r="K8" s="1">
        <v>4446018.329768192</v>
      </c>
      <c r="L8" s="1">
        <v>4913006.9053274868</v>
      </c>
      <c r="M8" s="1">
        <v>5115411.4949447569</v>
      </c>
      <c r="N8" s="1">
        <v>5351202.7080711033</v>
      </c>
      <c r="O8" s="1">
        <v>5726323.4167327974</v>
      </c>
      <c r="P8" s="1">
        <v>6059336.751867068</v>
      </c>
      <c r="Q8" s="8"/>
      <c r="R8" s="7"/>
      <c r="S8" s="8"/>
      <c r="T8" s="8"/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6"/>
      <c r="GF8" s="6"/>
      <c r="GG8" s="6"/>
    </row>
    <row r="9" spans="1:190" ht="15.75" x14ac:dyDescent="0.25">
      <c r="A9" s="16">
        <v>1.3</v>
      </c>
      <c r="B9" s="17" t="s">
        <v>61</v>
      </c>
      <c r="C9" s="4">
        <v>1660081.262715406</v>
      </c>
      <c r="D9" s="4">
        <v>1673124.4894233195</v>
      </c>
      <c r="E9" s="4">
        <v>1617176.8170584303</v>
      </c>
      <c r="F9" s="4">
        <v>1662277.6449627229</v>
      </c>
      <c r="G9" s="4">
        <v>1718472.4872176149</v>
      </c>
      <c r="H9" s="1">
        <v>2027170.0049234831</v>
      </c>
      <c r="I9" s="1">
        <v>2216514.3134432989</v>
      </c>
      <c r="J9" s="1">
        <v>2406677.1538308277</v>
      </c>
      <c r="K9" s="1">
        <v>2801220.7967551816</v>
      </c>
      <c r="L9" s="1">
        <v>2833331.6037248233</v>
      </c>
      <c r="M9" s="1">
        <v>2972702.2737122886</v>
      </c>
      <c r="N9" s="1">
        <v>3101461.6623656992</v>
      </c>
      <c r="O9" s="1">
        <v>3336705.72809608</v>
      </c>
      <c r="P9" s="1">
        <v>3532271.0605195267</v>
      </c>
      <c r="Q9" s="8"/>
      <c r="R9" s="7"/>
      <c r="S9" s="8"/>
      <c r="T9" s="8"/>
      <c r="U9" s="7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6"/>
      <c r="GF9" s="6"/>
      <c r="GG9" s="6"/>
    </row>
    <row r="10" spans="1:190" ht="15.75" x14ac:dyDescent="0.25">
      <c r="A10" s="16">
        <v>1.4</v>
      </c>
      <c r="B10" s="17" t="s">
        <v>62</v>
      </c>
      <c r="C10" s="4">
        <v>293875.15619471355</v>
      </c>
      <c r="D10" s="4">
        <v>296543.1989289851</v>
      </c>
      <c r="E10" s="4">
        <v>302549.56257583841</v>
      </c>
      <c r="F10" s="4">
        <v>323848.57261684502</v>
      </c>
      <c r="G10" s="4">
        <v>310301.58940484957</v>
      </c>
      <c r="H10" s="1">
        <v>376166.1450938569</v>
      </c>
      <c r="I10" s="1">
        <v>333037.50260894292</v>
      </c>
      <c r="J10" s="1">
        <v>297847.97597680142</v>
      </c>
      <c r="K10" s="1">
        <v>320948.43971197587</v>
      </c>
      <c r="L10" s="1">
        <v>300408.35935790563</v>
      </c>
      <c r="M10" s="1">
        <v>340113.27797085926</v>
      </c>
      <c r="N10" s="1">
        <v>353206.11070195353</v>
      </c>
      <c r="O10" s="1">
        <v>423961.12407131377</v>
      </c>
      <c r="P10" s="1">
        <v>447857.81088792445</v>
      </c>
      <c r="Q10" s="8"/>
      <c r="R10" s="7"/>
      <c r="S10" s="8"/>
      <c r="T10" s="8"/>
      <c r="U10" s="7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6"/>
      <c r="GF10" s="6"/>
      <c r="GG10" s="6"/>
    </row>
    <row r="11" spans="1:190" ht="15.75" x14ac:dyDescent="0.25">
      <c r="A11" s="18" t="s">
        <v>31</v>
      </c>
      <c r="B11" s="17" t="s">
        <v>3</v>
      </c>
      <c r="C11" s="4">
        <v>5649313.0559997596</v>
      </c>
      <c r="D11" s="4">
        <v>5889302.5204406595</v>
      </c>
      <c r="E11" s="4">
        <v>4394672.7774949037</v>
      </c>
      <c r="F11" s="4">
        <v>5433407.7707566619</v>
      </c>
      <c r="G11" s="4">
        <v>6020333.8978025019</v>
      </c>
      <c r="H11" s="1">
        <v>6205309.5900445133</v>
      </c>
      <c r="I11" s="1">
        <v>6644601.9946776945</v>
      </c>
      <c r="J11" s="1">
        <v>6894976.2249422073</v>
      </c>
      <c r="K11" s="1">
        <v>6689912.7358690193</v>
      </c>
      <c r="L11" s="1">
        <v>6735111.2776226029</v>
      </c>
      <c r="M11" s="1">
        <v>6874784.3996436484</v>
      </c>
      <c r="N11" s="1">
        <v>7275242.5268427422</v>
      </c>
      <c r="O11" s="1">
        <v>7484304.8779896246</v>
      </c>
      <c r="P11" s="1">
        <v>7753099.0449630469</v>
      </c>
      <c r="Q11" s="8"/>
      <c r="R11" s="7"/>
      <c r="S11" s="8"/>
      <c r="T11" s="8"/>
      <c r="U11" s="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6"/>
      <c r="GF11" s="6"/>
      <c r="GG11" s="6"/>
    </row>
    <row r="12" spans="1:190" s="24" customFormat="1" ht="15.75" x14ac:dyDescent="0.25">
      <c r="A12" s="30"/>
      <c r="B12" s="31" t="s">
        <v>28</v>
      </c>
      <c r="C12" s="32">
        <f>C6+C11</f>
        <v>20651985.61535126</v>
      </c>
      <c r="D12" s="32">
        <f t="shared" ref="D12:L12" si="2">D6+D11</f>
        <v>20828459.346118063</v>
      </c>
      <c r="E12" s="32">
        <f t="shared" si="2"/>
        <v>21175260.309511442</v>
      </c>
      <c r="F12" s="32">
        <f t="shared" si="2"/>
        <v>20416873.865679197</v>
      </c>
      <c r="G12" s="32">
        <f t="shared" si="2"/>
        <v>20455918.73679857</v>
      </c>
      <c r="H12" s="32">
        <f t="shared" si="2"/>
        <v>23678760.824994385</v>
      </c>
      <c r="I12" s="32">
        <f t="shared" si="2"/>
        <v>23992688.557024457</v>
      </c>
      <c r="J12" s="32">
        <f t="shared" si="2"/>
        <v>23880883.839626141</v>
      </c>
      <c r="K12" s="32">
        <f t="shared" si="2"/>
        <v>25045246.942176949</v>
      </c>
      <c r="L12" s="32">
        <f t="shared" si="2"/>
        <v>27210894.642823201</v>
      </c>
      <c r="M12" s="32">
        <f t="shared" ref="M12:P12" si="3">M6+M11</f>
        <v>28165607.474270768</v>
      </c>
      <c r="N12" s="32">
        <f t="shared" si="3"/>
        <v>29190358.491388816</v>
      </c>
      <c r="O12" s="32">
        <f t="shared" si="3"/>
        <v>30121188.774655886</v>
      </c>
      <c r="P12" s="32">
        <f t="shared" si="3"/>
        <v>32354512.363703523</v>
      </c>
      <c r="Q12" s="8"/>
      <c r="R12" s="7"/>
      <c r="S12" s="8"/>
      <c r="T12" s="8"/>
      <c r="U12" s="7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29"/>
      <c r="GF12" s="29"/>
      <c r="GG12" s="29"/>
    </row>
    <row r="13" spans="1:190" s="6" customFormat="1" ht="15.75" x14ac:dyDescent="0.25">
      <c r="A13" s="14" t="s">
        <v>32</v>
      </c>
      <c r="B13" s="15" t="s">
        <v>4</v>
      </c>
      <c r="C13" s="1">
        <v>24603174.51339896</v>
      </c>
      <c r="D13" s="1">
        <v>26616569.44342763</v>
      </c>
      <c r="E13" s="1">
        <v>29276153.128499474</v>
      </c>
      <c r="F13" s="1">
        <v>30765117.12083092</v>
      </c>
      <c r="G13" s="1">
        <v>34088244.539731167</v>
      </c>
      <c r="H13" s="1">
        <v>36416353.823639281</v>
      </c>
      <c r="I13" s="1">
        <v>37360204.84243501</v>
      </c>
      <c r="J13" s="1">
        <v>37538282.402525716</v>
      </c>
      <c r="K13" s="1">
        <v>34719569.22245314</v>
      </c>
      <c r="L13" s="1">
        <v>32450485.321791127</v>
      </c>
      <c r="M13" s="1">
        <v>36030727.510553867</v>
      </c>
      <c r="N13" s="1">
        <v>35494650.971617855</v>
      </c>
      <c r="O13" s="1">
        <v>37924511.023708753</v>
      </c>
      <c r="P13" s="1">
        <v>39520980.549878515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H13" s="2"/>
    </row>
    <row r="14" spans="1:190" ht="30" x14ac:dyDescent="0.25">
      <c r="A14" s="18" t="s">
        <v>33</v>
      </c>
      <c r="B14" s="17" t="s">
        <v>5</v>
      </c>
      <c r="C14" s="4">
        <v>2680539.3046742915</v>
      </c>
      <c r="D14" s="4">
        <v>2816956.1052313382</v>
      </c>
      <c r="E14" s="4">
        <v>2693729.4285701774</v>
      </c>
      <c r="F14" s="4">
        <v>3089331.1842370015</v>
      </c>
      <c r="G14" s="4">
        <v>3236218.2279127026</v>
      </c>
      <c r="H14" s="1">
        <v>3337242.1111202152</v>
      </c>
      <c r="I14" s="1">
        <v>3693058.0369843612</v>
      </c>
      <c r="J14" s="1">
        <v>3731874.1169846216</v>
      </c>
      <c r="K14" s="1">
        <v>3652141.323623925</v>
      </c>
      <c r="L14" s="1">
        <v>3511814.7555727754</v>
      </c>
      <c r="M14" s="1">
        <v>3918376.745577109</v>
      </c>
      <c r="N14" s="1">
        <v>4447528.7335747005</v>
      </c>
      <c r="O14" s="1">
        <v>4805697.0879636891</v>
      </c>
      <c r="P14" s="1">
        <v>5117177.3809241978</v>
      </c>
      <c r="Q14" s="8"/>
      <c r="R14" s="7"/>
      <c r="S14" s="8"/>
      <c r="T14" s="8"/>
      <c r="U14" s="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7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7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7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6"/>
      <c r="GF14" s="6"/>
      <c r="GG14" s="6"/>
    </row>
    <row r="15" spans="1:190" ht="15.75" x14ac:dyDescent="0.25">
      <c r="A15" s="18" t="s">
        <v>34</v>
      </c>
      <c r="B15" s="17" t="s">
        <v>6</v>
      </c>
      <c r="C15" s="4">
        <v>8055213.0121231396</v>
      </c>
      <c r="D15" s="4">
        <v>7751739.9999564728</v>
      </c>
      <c r="E15" s="4">
        <v>8046687.9394345665</v>
      </c>
      <c r="F15" s="4">
        <v>8680703.3486244753</v>
      </c>
      <c r="G15" s="4">
        <v>8847319.2829244249</v>
      </c>
      <c r="H15" s="1">
        <v>9326104.796038717</v>
      </c>
      <c r="I15" s="1">
        <v>9513159.3493274618</v>
      </c>
      <c r="J15" s="1">
        <v>9873084.5147813931</v>
      </c>
      <c r="K15" s="1">
        <v>9915945.8214986715</v>
      </c>
      <c r="L15" s="1">
        <v>9433121.3768378906</v>
      </c>
      <c r="M15" s="1">
        <v>12376531.180081204</v>
      </c>
      <c r="N15" s="1">
        <v>13661574.586545087</v>
      </c>
      <c r="O15" s="1">
        <v>14443675.013439395</v>
      </c>
      <c r="P15" s="1">
        <v>15423154.6504723</v>
      </c>
      <c r="Q15" s="8"/>
      <c r="R15" s="7"/>
      <c r="S15" s="8"/>
      <c r="T15" s="8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7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7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7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6"/>
      <c r="GF15" s="6"/>
      <c r="GG15" s="6"/>
    </row>
    <row r="16" spans="1:190" s="24" customFormat="1" ht="15.75" x14ac:dyDescent="0.25">
      <c r="A16" s="30"/>
      <c r="B16" s="31" t="s">
        <v>29</v>
      </c>
      <c r="C16" s="32">
        <f>+C13+C14+C15</f>
        <v>35338926.830196388</v>
      </c>
      <c r="D16" s="32">
        <f t="shared" ref="D16:H16" si="4">+D13+D14+D15</f>
        <v>37185265.548615441</v>
      </c>
      <c r="E16" s="32">
        <f t="shared" si="4"/>
        <v>40016570.496504217</v>
      </c>
      <c r="F16" s="32">
        <f t="shared" si="4"/>
        <v>42535151.653692394</v>
      </c>
      <c r="G16" s="32">
        <f t="shared" si="4"/>
        <v>46171782.050568298</v>
      </c>
      <c r="H16" s="32">
        <f t="shared" si="4"/>
        <v>49079700.730798215</v>
      </c>
      <c r="I16" s="32">
        <f t="shared" ref="I16:K16" si="5">+I13+I14+I15</f>
        <v>50566422.228746831</v>
      </c>
      <c r="J16" s="32">
        <f t="shared" si="5"/>
        <v>51143241.034291729</v>
      </c>
      <c r="K16" s="32">
        <f t="shared" si="5"/>
        <v>48287656.367575735</v>
      </c>
      <c r="L16" s="32">
        <f t="shared" ref="L16" si="6">+L13+L14+L15</f>
        <v>45395421.454201788</v>
      </c>
      <c r="M16" s="32">
        <f t="shared" ref="M16:O16" si="7">+M13+M14+M15</f>
        <v>52325635.436212182</v>
      </c>
      <c r="N16" s="32">
        <f t="shared" si="7"/>
        <v>53603754.291737646</v>
      </c>
      <c r="O16" s="32">
        <f t="shared" si="7"/>
        <v>57173883.125111841</v>
      </c>
      <c r="P16" s="32">
        <f t="shared" ref="P16" si="8">+P13+P14+P15</f>
        <v>60061312.581275009</v>
      </c>
      <c r="Q16" s="8"/>
      <c r="R16" s="7"/>
      <c r="S16" s="8"/>
      <c r="T16" s="8"/>
      <c r="U16" s="7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28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28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28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29"/>
      <c r="GF16" s="29"/>
      <c r="GG16" s="29"/>
    </row>
    <row r="17" spans="1:190" s="29" customFormat="1" ht="15.75" x14ac:dyDescent="0.25">
      <c r="A17" s="25" t="s">
        <v>35</v>
      </c>
      <c r="B17" s="26" t="s">
        <v>7</v>
      </c>
      <c r="C17" s="27">
        <f>C18+C19</f>
        <v>10560912.413861036</v>
      </c>
      <c r="D17" s="27">
        <f t="shared" ref="D17:H17" si="9">D18+D19</f>
        <v>11681538.933889072</v>
      </c>
      <c r="E17" s="27">
        <f t="shared" si="9"/>
        <v>11513192.41030558</v>
      </c>
      <c r="F17" s="27">
        <f t="shared" si="9"/>
        <v>11887258.426090142</v>
      </c>
      <c r="G17" s="27">
        <f t="shared" si="9"/>
        <v>11940631.392670158</v>
      </c>
      <c r="H17" s="27">
        <f t="shared" si="9"/>
        <v>13409917.378223112</v>
      </c>
      <c r="I17" s="27">
        <f t="shared" ref="I17:K17" si="10">I18+I19</f>
        <v>14504738.590643274</v>
      </c>
      <c r="J17" s="27">
        <f t="shared" si="10"/>
        <v>16410747.667601509</v>
      </c>
      <c r="K17" s="27">
        <f t="shared" si="10"/>
        <v>16931707.334131099</v>
      </c>
      <c r="L17" s="27">
        <f t="shared" ref="L17" si="11">L18+L19</f>
        <v>12519903.149360277</v>
      </c>
      <c r="M17" s="27">
        <f t="shared" ref="M17:O17" si="12">M18+M19</f>
        <v>14665376.108949048</v>
      </c>
      <c r="N17" s="27">
        <f t="shared" si="12"/>
        <v>16744694.408131713</v>
      </c>
      <c r="O17" s="27">
        <f t="shared" si="12"/>
        <v>17628320.704196434</v>
      </c>
      <c r="P17" s="27">
        <f t="shared" ref="P17" si="13">P18+P19</f>
        <v>18550728.94625264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H17" s="24"/>
    </row>
    <row r="18" spans="1:190" ht="15.75" x14ac:dyDescent="0.25">
      <c r="A18" s="16">
        <v>6.1</v>
      </c>
      <c r="B18" s="17" t="s">
        <v>8</v>
      </c>
      <c r="C18" s="4">
        <v>9422900</v>
      </c>
      <c r="D18" s="4">
        <v>10519036.615032081</v>
      </c>
      <c r="E18" s="4">
        <v>10344368.373324282</v>
      </c>
      <c r="F18" s="4">
        <v>10726165.061831631</v>
      </c>
      <c r="G18" s="4">
        <v>10721983.044656606</v>
      </c>
      <c r="H18" s="1">
        <v>12120650.077220077</v>
      </c>
      <c r="I18" s="1">
        <v>13138409.394453876</v>
      </c>
      <c r="J18" s="1">
        <v>14896125.63016705</v>
      </c>
      <c r="K18" s="1">
        <v>15338367.435584607</v>
      </c>
      <c r="L18" s="1">
        <v>11831724.102355719</v>
      </c>
      <c r="M18" s="1">
        <v>13669386.36441947</v>
      </c>
      <c r="N18" s="1">
        <v>15131610.950859278</v>
      </c>
      <c r="O18" s="1">
        <v>15919050.374042146</v>
      </c>
      <c r="P18" s="1">
        <v>16729761.771544412</v>
      </c>
      <c r="Q18" s="8"/>
      <c r="R18" s="7"/>
      <c r="S18" s="8"/>
      <c r="T18" s="8"/>
      <c r="U18" s="7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6"/>
      <c r="GF18" s="6"/>
      <c r="GG18" s="6"/>
    </row>
    <row r="19" spans="1:190" ht="15.75" x14ac:dyDescent="0.25">
      <c r="A19" s="16">
        <v>6.2</v>
      </c>
      <c r="B19" s="17" t="s">
        <v>9</v>
      </c>
      <c r="C19" s="4">
        <v>1138012.4138610365</v>
      </c>
      <c r="D19" s="4">
        <v>1162502.3188569911</v>
      </c>
      <c r="E19" s="4">
        <v>1168824.036981297</v>
      </c>
      <c r="F19" s="4">
        <v>1161093.3642585103</v>
      </c>
      <c r="G19" s="4">
        <v>1218648.348013551</v>
      </c>
      <c r="H19" s="1">
        <v>1289267.3010030352</v>
      </c>
      <c r="I19" s="1">
        <v>1366329.1961893984</v>
      </c>
      <c r="J19" s="1">
        <v>1514622.037434459</v>
      </c>
      <c r="K19" s="1">
        <v>1593339.8985464943</v>
      </c>
      <c r="L19" s="1">
        <v>688179.04700455768</v>
      </c>
      <c r="M19" s="1">
        <v>995989.7445295786</v>
      </c>
      <c r="N19" s="1">
        <v>1613083.4572724348</v>
      </c>
      <c r="O19" s="1">
        <v>1709270.3301542883</v>
      </c>
      <c r="P19" s="1">
        <v>1820967.1747082276</v>
      </c>
      <c r="Q19" s="8"/>
      <c r="R19" s="7"/>
      <c r="S19" s="8"/>
      <c r="T19" s="8"/>
      <c r="U19" s="7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6"/>
      <c r="GF19" s="6"/>
      <c r="GG19" s="6"/>
    </row>
    <row r="20" spans="1:190" s="29" customFormat="1" ht="30" x14ac:dyDescent="0.25">
      <c r="A20" s="34" t="s">
        <v>36</v>
      </c>
      <c r="B20" s="35" t="s">
        <v>10</v>
      </c>
      <c r="C20" s="27">
        <f t="shared" ref="C20:L20" si="14">SUM(C21:C27)</f>
        <v>6449971.6109334035</v>
      </c>
      <c r="D20" s="27">
        <f t="shared" si="14"/>
        <v>6968216.2631450072</v>
      </c>
      <c r="E20" s="27">
        <f t="shared" si="14"/>
        <v>7378336.5562584298</v>
      </c>
      <c r="F20" s="27">
        <f t="shared" si="14"/>
        <v>8150076.8955881996</v>
      </c>
      <c r="G20" s="27">
        <f t="shared" si="14"/>
        <v>9202308.2025776226</v>
      </c>
      <c r="H20" s="27">
        <f t="shared" si="14"/>
        <v>9739863.096512353</v>
      </c>
      <c r="I20" s="27">
        <f t="shared" si="14"/>
        <v>10290567.57623454</v>
      </c>
      <c r="J20" s="27">
        <f t="shared" si="14"/>
        <v>11000486.508411946</v>
      </c>
      <c r="K20" s="27">
        <f t="shared" si="14"/>
        <v>12168543.43791279</v>
      </c>
      <c r="L20" s="27">
        <f t="shared" si="14"/>
        <v>9076097.9084416516</v>
      </c>
      <c r="M20" s="27">
        <f t="shared" ref="M20:P20" si="15">SUM(M21:M27)</f>
        <v>11362586.428753491</v>
      </c>
      <c r="N20" s="27">
        <f t="shared" si="15"/>
        <v>12241530.300935436</v>
      </c>
      <c r="O20" s="27">
        <f t="shared" si="15"/>
        <v>12968432.767550964</v>
      </c>
      <c r="P20" s="27">
        <f t="shared" si="15"/>
        <v>13716122.961645475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H20" s="24"/>
    </row>
    <row r="21" spans="1:190" ht="15.75" x14ac:dyDescent="0.25">
      <c r="A21" s="16">
        <v>7.1</v>
      </c>
      <c r="B21" s="17" t="s">
        <v>11</v>
      </c>
      <c r="C21" s="4">
        <v>598734</v>
      </c>
      <c r="D21" s="4">
        <v>620912</v>
      </c>
      <c r="E21" s="4">
        <v>641646</v>
      </c>
      <c r="F21" s="4">
        <v>724996</v>
      </c>
      <c r="G21" s="4">
        <v>778965.46193102817</v>
      </c>
      <c r="H21" s="1">
        <v>885714.81894737331</v>
      </c>
      <c r="I21" s="1">
        <v>1014401.2252042866</v>
      </c>
      <c r="J21" s="1">
        <v>998938.43045193749</v>
      </c>
      <c r="K21" s="1">
        <v>801409.51222218643</v>
      </c>
      <c r="L21" s="1">
        <v>699590.04691085115</v>
      </c>
      <c r="M21" s="1">
        <v>787117.08207585267</v>
      </c>
      <c r="N21" s="1">
        <v>910312.98325509357</v>
      </c>
      <c r="O21" s="1">
        <v>951583.36456455255</v>
      </c>
      <c r="P21" s="1">
        <v>994724.79946190782</v>
      </c>
      <c r="Q21" s="8"/>
      <c r="R21" s="7"/>
      <c r="S21" s="8"/>
      <c r="T21" s="8"/>
      <c r="U21" s="7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6"/>
      <c r="GF21" s="6"/>
      <c r="GG21" s="6"/>
    </row>
    <row r="22" spans="1:190" ht="15.75" x14ac:dyDescent="0.25">
      <c r="A22" s="16">
        <v>7.2</v>
      </c>
      <c r="B22" s="17" t="s">
        <v>12</v>
      </c>
      <c r="C22" s="4">
        <v>3122426.3079728484</v>
      </c>
      <c r="D22" s="4">
        <v>3336917.5678943992</v>
      </c>
      <c r="E22" s="4">
        <v>3545909.5286001232</v>
      </c>
      <c r="F22" s="4">
        <v>3814217.0187323461</v>
      </c>
      <c r="G22" s="4">
        <v>4134037.9184692907</v>
      </c>
      <c r="H22" s="1">
        <v>4559606.8132454176</v>
      </c>
      <c r="I22" s="1">
        <v>5023253.1957205236</v>
      </c>
      <c r="J22" s="1">
        <v>5566434.2876758547</v>
      </c>
      <c r="K22" s="1">
        <v>6086497.3234304041</v>
      </c>
      <c r="L22" s="1">
        <v>4247632.359331442</v>
      </c>
      <c r="M22" s="1">
        <v>5808546.3769557811</v>
      </c>
      <c r="N22" s="1">
        <v>6074293.5458216975</v>
      </c>
      <c r="O22" s="1">
        <v>6341837.5953481486</v>
      </c>
      <c r="P22" s="1">
        <v>6607206.3026260966</v>
      </c>
      <c r="Q22" s="8"/>
      <c r="R22" s="7"/>
      <c r="S22" s="8"/>
      <c r="T22" s="8"/>
      <c r="U22" s="7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6"/>
      <c r="GF22" s="6"/>
      <c r="GG22" s="6"/>
    </row>
    <row r="23" spans="1:190" ht="15.75" x14ac:dyDescent="0.25">
      <c r="A23" s="16">
        <v>7.3</v>
      </c>
      <c r="B23" s="17" t="s">
        <v>13</v>
      </c>
      <c r="C23" s="4">
        <v>122650.18102946432</v>
      </c>
      <c r="D23" s="4">
        <v>172587.30187018763</v>
      </c>
      <c r="E23" s="4">
        <v>138332.08566325105</v>
      </c>
      <c r="F23" s="4">
        <v>178923.46229646256</v>
      </c>
      <c r="G23" s="4">
        <v>184909.37541497254</v>
      </c>
      <c r="H23" s="1">
        <v>170339.58406643494</v>
      </c>
      <c r="I23" s="1">
        <v>175584.81473871408</v>
      </c>
      <c r="J23" s="1">
        <v>198349.65286538095</v>
      </c>
      <c r="K23" s="1">
        <v>238046.19650259614</v>
      </c>
      <c r="L23" s="1">
        <v>205001.36781306131</v>
      </c>
      <c r="M23" s="1">
        <v>255155.28065861226</v>
      </c>
      <c r="N23" s="1">
        <v>311820.80681358668</v>
      </c>
      <c r="O23" s="1">
        <v>368380.65318130585</v>
      </c>
      <c r="P23" s="1">
        <v>430529.74262320547</v>
      </c>
      <c r="Q23" s="8"/>
      <c r="R23" s="7"/>
      <c r="S23" s="8"/>
      <c r="T23" s="8"/>
      <c r="U23" s="7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6"/>
      <c r="GF23" s="6"/>
      <c r="GG23" s="6"/>
    </row>
    <row r="24" spans="1:190" ht="15.75" x14ac:dyDescent="0.25">
      <c r="A24" s="16">
        <v>7.4</v>
      </c>
      <c r="B24" s="17" t="s">
        <v>14</v>
      </c>
      <c r="C24" s="4">
        <v>99047.14173797339</v>
      </c>
      <c r="D24" s="4">
        <v>168790.57442337315</v>
      </c>
      <c r="E24" s="4">
        <v>128798.71899500537</v>
      </c>
      <c r="F24" s="4">
        <v>214611.07032852861</v>
      </c>
      <c r="G24" s="4">
        <v>377781.47120661178</v>
      </c>
      <c r="H24" s="1">
        <v>374263.13482410955</v>
      </c>
      <c r="I24" s="1">
        <v>343306.0565649537</v>
      </c>
      <c r="J24" s="1">
        <v>173498.15906682095</v>
      </c>
      <c r="K24" s="1">
        <v>321002.94227278163</v>
      </c>
      <c r="L24" s="1">
        <v>91755.673085088783</v>
      </c>
      <c r="M24" s="1">
        <v>100936.37538951165</v>
      </c>
      <c r="N24" s="1">
        <v>165752.34225985029</v>
      </c>
      <c r="O24" s="1">
        <v>155270.58285469853</v>
      </c>
      <c r="P24" s="1">
        <v>159334.93041161011</v>
      </c>
      <c r="Q24" s="8"/>
      <c r="R24" s="7"/>
      <c r="S24" s="8"/>
      <c r="T24" s="8"/>
      <c r="U24" s="7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6"/>
      <c r="GF24" s="6"/>
      <c r="GG24" s="6"/>
    </row>
    <row r="25" spans="1:190" ht="15.75" x14ac:dyDescent="0.25">
      <c r="A25" s="16">
        <v>7.5</v>
      </c>
      <c r="B25" s="17" t="s">
        <v>15</v>
      </c>
      <c r="C25" s="4">
        <v>825432.89543147862</v>
      </c>
      <c r="D25" s="4">
        <v>907970.97599098156</v>
      </c>
      <c r="E25" s="4">
        <v>942823.38849292032</v>
      </c>
      <c r="F25" s="4">
        <v>1040370.9101908925</v>
      </c>
      <c r="G25" s="4">
        <v>1161399.856719424</v>
      </c>
      <c r="H25" s="1">
        <v>1263511.4954789549</v>
      </c>
      <c r="I25" s="1">
        <v>1372789.7775157006</v>
      </c>
      <c r="J25" s="1">
        <v>1472356.7886993305</v>
      </c>
      <c r="K25" s="1">
        <v>1646794.7626477859</v>
      </c>
      <c r="L25" s="1">
        <v>1124507.9548936586</v>
      </c>
      <c r="M25" s="1">
        <v>1525053.4408145738</v>
      </c>
      <c r="N25" s="1">
        <v>1618545.6742869604</v>
      </c>
      <c r="O25" s="1">
        <v>1696714.5915828387</v>
      </c>
      <c r="P25" s="1">
        <v>1779030.1186071432</v>
      </c>
      <c r="Q25" s="8"/>
      <c r="R25" s="7"/>
      <c r="S25" s="8"/>
      <c r="T25" s="8"/>
      <c r="U25" s="7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6"/>
      <c r="GF25" s="6"/>
      <c r="GG25" s="6"/>
    </row>
    <row r="26" spans="1:190" ht="15.75" x14ac:dyDescent="0.25">
      <c r="A26" s="16">
        <v>7.6</v>
      </c>
      <c r="B26" s="17" t="s">
        <v>16</v>
      </c>
      <c r="C26" s="4">
        <v>92479.084761638806</v>
      </c>
      <c r="D26" s="4">
        <v>93988.531014058317</v>
      </c>
      <c r="E26" s="4">
        <v>99860.616724738677</v>
      </c>
      <c r="F26" s="4">
        <v>104856.83806343906</v>
      </c>
      <c r="G26" s="4">
        <v>106085.26557297166</v>
      </c>
      <c r="H26" s="1">
        <v>106290.08834508502</v>
      </c>
      <c r="I26" s="1">
        <v>112569.51236725812</v>
      </c>
      <c r="J26" s="1">
        <v>300668.04598103091</v>
      </c>
      <c r="K26" s="1">
        <v>330021.48173309636</v>
      </c>
      <c r="L26" s="1">
        <v>289946.28358694096</v>
      </c>
      <c r="M26" s="1">
        <v>296925.86943343456</v>
      </c>
      <c r="N26" s="1">
        <v>319604.81556286721</v>
      </c>
      <c r="O26" s="1">
        <v>349569.82572894479</v>
      </c>
      <c r="P26" s="1">
        <v>382840.22129470325</v>
      </c>
      <c r="Q26" s="8"/>
      <c r="R26" s="7"/>
      <c r="S26" s="8"/>
      <c r="T26" s="8"/>
      <c r="U26" s="7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6"/>
      <c r="GF26" s="6"/>
      <c r="GG26" s="6"/>
    </row>
    <row r="27" spans="1:190" ht="30" x14ac:dyDescent="0.25">
      <c r="A27" s="16">
        <v>7.7</v>
      </c>
      <c r="B27" s="17" t="s">
        <v>17</v>
      </c>
      <c r="C27" s="4">
        <v>1589202</v>
      </c>
      <c r="D27" s="4">
        <v>1667049.3119520072</v>
      </c>
      <c r="E27" s="4">
        <v>1880966.2177823905</v>
      </c>
      <c r="F27" s="4">
        <v>2072101.5959765296</v>
      </c>
      <c r="G27" s="4">
        <v>2459128.8532633241</v>
      </c>
      <c r="H27" s="1">
        <v>2380137.1616049786</v>
      </c>
      <c r="I27" s="1">
        <v>2248662.9941231031</v>
      </c>
      <c r="J27" s="1">
        <v>2290241.1436715904</v>
      </c>
      <c r="K27" s="1">
        <v>2744771.2191039398</v>
      </c>
      <c r="L27" s="1">
        <v>2417664.2228206084</v>
      </c>
      <c r="M27" s="1">
        <v>2588852.0034257257</v>
      </c>
      <c r="N27" s="1">
        <v>2841200.1329353801</v>
      </c>
      <c r="O27" s="1">
        <v>3105076.1542904731</v>
      </c>
      <c r="P27" s="1">
        <v>3362456.8466208098</v>
      </c>
      <c r="Q27" s="8"/>
      <c r="R27" s="7"/>
      <c r="S27" s="8"/>
      <c r="T27" s="8"/>
      <c r="U27" s="7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6"/>
      <c r="GF27" s="6"/>
      <c r="GG27" s="6"/>
    </row>
    <row r="28" spans="1:190" ht="15.75" x14ac:dyDescent="0.25">
      <c r="A28" s="18" t="s">
        <v>37</v>
      </c>
      <c r="B28" s="17" t="s">
        <v>18</v>
      </c>
      <c r="C28" s="4">
        <v>11783628</v>
      </c>
      <c r="D28" s="4">
        <v>12740105</v>
      </c>
      <c r="E28" s="4">
        <v>14437695.000000002</v>
      </c>
      <c r="F28" s="4">
        <v>15560592.000000002</v>
      </c>
      <c r="G28" s="4">
        <v>16510999.852627745</v>
      </c>
      <c r="H28" s="1">
        <v>17421072.996166356</v>
      </c>
      <c r="I28" s="1">
        <v>17897893.491960652</v>
      </c>
      <c r="J28" s="1">
        <v>18282084.76895716</v>
      </c>
      <c r="K28" s="1">
        <v>18904256.441728551</v>
      </c>
      <c r="L28" s="1">
        <v>19397794.365389749</v>
      </c>
      <c r="M28" s="1">
        <v>20242231.021902852</v>
      </c>
      <c r="N28" s="1">
        <v>23010019.834313229</v>
      </c>
      <c r="O28" s="1">
        <v>24616622.543456994</v>
      </c>
      <c r="P28" s="1">
        <v>26263603.934218608</v>
      </c>
      <c r="Q28" s="8"/>
      <c r="R28" s="7"/>
      <c r="S28" s="8"/>
      <c r="T28" s="8"/>
      <c r="U28" s="7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6"/>
      <c r="GF28" s="6"/>
      <c r="GG28" s="6"/>
    </row>
    <row r="29" spans="1:190" ht="30" x14ac:dyDescent="0.25">
      <c r="A29" s="18" t="s">
        <v>38</v>
      </c>
      <c r="B29" s="17" t="s">
        <v>19</v>
      </c>
      <c r="C29" s="4">
        <v>19086971.317200001</v>
      </c>
      <c r="D29" s="4">
        <v>20694066.914319359</v>
      </c>
      <c r="E29" s="4">
        <v>23061162.972438633</v>
      </c>
      <c r="F29" s="4">
        <v>25988208.585581858</v>
      </c>
      <c r="G29" s="4">
        <v>28399979.832312692</v>
      </c>
      <c r="H29" s="1">
        <v>31062414.905435719</v>
      </c>
      <c r="I29" s="1">
        <v>32767284.973341554</v>
      </c>
      <c r="J29" s="1">
        <v>34241866.864147291</v>
      </c>
      <c r="K29" s="1">
        <v>39029088.3322047</v>
      </c>
      <c r="L29" s="1">
        <v>35387741.049170561</v>
      </c>
      <c r="M29" s="1">
        <v>39719541.07300552</v>
      </c>
      <c r="N29" s="1">
        <v>44278734.713110015</v>
      </c>
      <c r="O29" s="1">
        <v>48470611.791822962</v>
      </c>
      <c r="P29" s="1">
        <v>52822951.078934208</v>
      </c>
      <c r="Q29" s="8"/>
      <c r="R29" s="7"/>
      <c r="S29" s="8"/>
      <c r="T29" s="8"/>
      <c r="U29" s="7"/>
      <c r="V29" s="9"/>
      <c r="W29" s="9"/>
      <c r="X29" s="9"/>
      <c r="Y29" s="9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6"/>
      <c r="GF29" s="6"/>
      <c r="GG29" s="6"/>
    </row>
    <row r="30" spans="1:190" ht="15.75" x14ac:dyDescent="0.25">
      <c r="A30" s="18" t="s">
        <v>39</v>
      </c>
      <c r="B30" s="17" t="s">
        <v>54</v>
      </c>
      <c r="C30" s="4">
        <v>3906953</v>
      </c>
      <c r="D30" s="4">
        <v>3980815.8350137491</v>
      </c>
      <c r="E30" s="4">
        <v>4078392.3437977261</v>
      </c>
      <c r="F30" s="4">
        <v>4178985.5107340999</v>
      </c>
      <c r="G30" s="4">
        <v>4391844.7392981974</v>
      </c>
      <c r="H30" s="1">
        <v>4718703.4041775474</v>
      </c>
      <c r="I30" s="1">
        <v>5025834.5744273262</v>
      </c>
      <c r="J30" s="1">
        <v>5297561.4112594267</v>
      </c>
      <c r="K30" s="1">
        <v>6198282.7209751401</v>
      </c>
      <c r="L30" s="1">
        <v>6024504.5217868797</v>
      </c>
      <c r="M30" s="1">
        <v>6171430.2552596247</v>
      </c>
      <c r="N30" s="1">
        <v>7303809.2292544711</v>
      </c>
      <c r="O30" s="1">
        <v>8194029.9459793782</v>
      </c>
      <c r="P30" s="1">
        <v>9059903.7889256012</v>
      </c>
      <c r="Q30" s="8"/>
      <c r="R30" s="7"/>
      <c r="S30" s="8"/>
      <c r="T30" s="8"/>
      <c r="U30" s="7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6"/>
      <c r="GF30" s="6"/>
      <c r="GG30" s="6"/>
    </row>
    <row r="31" spans="1:190" ht="15.75" x14ac:dyDescent="0.25">
      <c r="A31" s="18" t="s">
        <v>40</v>
      </c>
      <c r="B31" s="17" t="s">
        <v>20</v>
      </c>
      <c r="C31" s="4">
        <v>6662495</v>
      </c>
      <c r="D31" s="4">
        <v>7259717.1370659973</v>
      </c>
      <c r="E31" s="4">
        <v>7982153.6998198079</v>
      </c>
      <c r="F31" s="4">
        <v>8920271.0974266361</v>
      </c>
      <c r="G31" s="4">
        <v>9775027.8262662832</v>
      </c>
      <c r="H31" s="1">
        <v>10871427.489147639</v>
      </c>
      <c r="I31" s="1">
        <v>11775076.800345369</v>
      </c>
      <c r="J31" s="1">
        <v>12244185.892878309</v>
      </c>
      <c r="K31" s="1">
        <v>14898492.661987985</v>
      </c>
      <c r="L31" s="1">
        <v>11269687.991717953</v>
      </c>
      <c r="M31" s="1">
        <v>12713701.453877812</v>
      </c>
      <c r="N31" s="1">
        <v>14889640.130570225</v>
      </c>
      <c r="O31" s="1">
        <v>16467928.435583862</v>
      </c>
      <c r="P31" s="1">
        <v>17930397.330673978</v>
      </c>
      <c r="Q31" s="8"/>
      <c r="R31" s="7"/>
      <c r="S31" s="8"/>
      <c r="T31" s="8"/>
      <c r="U31" s="7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6"/>
      <c r="GF31" s="6"/>
      <c r="GG31" s="6"/>
    </row>
    <row r="32" spans="1:190" s="24" customFormat="1" ht="15.75" x14ac:dyDescent="0.25">
      <c r="A32" s="30"/>
      <c r="B32" s="31" t="s">
        <v>30</v>
      </c>
      <c r="C32" s="32">
        <f t="shared" ref="C32:K32" si="16">C17+C20+C28+C29+C30+C31</f>
        <v>58450931.341994442</v>
      </c>
      <c r="D32" s="32">
        <f t="shared" si="16"/>
        <v>63324460.083433188</v>
      </c>
      <c r="E32" s="32">
        <f t="shared" si="16"/>
        <v>68450932.98262018</v>
      </c>
      <c r="F32" s="32">
        <f t="shared" si="16"/>
        <v>74685392.515420929</v>
      </c>
      <c r="G32" s="32">
        <f t="shared" si="16"/>
        <v>80220791.845752701</v>
      </c>
      <c r="H32" s="32">
        <f t="shared" si="16"/>
        <v>87223399.269662708</v>
      </c>
      <c r="I32" s="32">
        <f t="shared" si="16"/>
        <v>92261396.006952703</v>
      </c>
      <c r="J32" s="32">
        <f t="shared" si="16"/>
        <v>97476933.11325565</v>
      </c>
      <c r="K32" s="32">
        <f t="shared" si="16"/>
        <v>108130370.92894028</v>
      </c>
      <c r="L32" s="32">
        <f t="shared" ref="L32" si="17">L17+L20+L28+L29+L30+L31</f>
        <v>93675728.985867083</v>
      </c>
      <c r="M32" s="32">
        <f t="shared" ref="M32:O32" si="18">M17+M20+M28+M29+M30+M31</f>
        <v>104874866.34174834</v>
      </c>
      <c r="N32" s="32">
        <f t="shared" si="18"/>
        <v>118468428.6163151</v>
      </c>
      <c r="O32" s="32">
        <f t="shared" si="18"/>
        <v>128345946.18859059</v>
      </c>
      <c r="P32" s="32">
        <f t="shared" ref="P32" si="19">P17+P20+P28+P29+P30+P31</f>
        <v>138343708.04065052</v>
      </c>
      <c r="Q32" s="8"/>
      <c r="R32" s="7"/>
      <c r="S32" s="8"/>
      <c r="T32" s="8"/>
      <c r="U32" s="7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29"/>
      <c r="GF32" s="29"/>
      <c r="GG32" s="29"/>
    </row>
    <row r="33" spans="1:190" s="29" customFormat="1" ht="15.75" x14ac:dyDescent="0.25">
      <c r="A33" s="25" t="s">
        <v>27</v>
      </c>
      <c r="B33" s="36" t="s">
        <v>41</v>
      </c>
      <c r="C33" s="27">
        <f t="shared" ref="C33:K33" si="20">C6+C11+C13+C14+C15+C17+C20+C28+C29+C30+C31</f>
        <v>114441843.78754209</v>
      </c>
      <c r="D33" s="27">
        <f t="shared" si="20"/>
        <v>121338184.97816668</v>
      </c>
      <c r="E33" s="27">
        <f t="shared" si="20"/>
        <v>129642763.78863584</v>
      </c>
      <c r="F33" s="27">
        <f t="shared" si="20"/>
        <v>137637418.03479251</v>
      </c>
      <c r="G33" s="27">
        <f t="shared" si="20"/>
        <v>146848492.63311955</v>
      </c>
      <c r="H33" s="27">
        <f t="shared" si="20"/>
        <v>159981860.82545531</v>
      </c>
      <c r="I33" s="27">
        <f t="shared" si="20"/>
        <v>166820506.79272401</v>
      </c>
      <c r="J33" s="27">
        <f t="shared" si="20"/>
        <v>172501057.9871735</v>
      </c>
      <c r="K33" s="27">
        <f t="shared" si="20"/>
        <v>181463274.23869294</v>
      </c>
      <c r="L33" s="27">
        <f t="shared" ref="L33" si="21">L6+L11+L13+L14+L15+L17+L20+L28+L29+L30+L31</f>
        <v>166282045.08289206</v>
      </c>
      <c r="M33" s="27">
        <f t="shared" ref="M33:O33" si="22">M6+M11+M13+M14+M15+M17+M20+M28+M29+M30+M31</f>
        <v>185366109.2522313</v>
      </c>
      <c r="N33" s="27">
        <f t="shared" si="22"/>
        <v>201262541.3994416</v>
      </c>
      <c r="O33" s="27">
        <f t="shared" si="22"/>
        <v>215641018.08835834</v>
      </c>
      <c r="P33" s="27">
        <f t="shared" ref="P33" si="23">P6+P11+P13+P14+P15+P17+P20+P28+P29+P30+P31</f>
        <v>230759532.98562902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H33" s="24"/>
    </row>
    <row r="34" spans="1:190" ht="15.75" x14ac:dyDescent="0.25">
      <c r="A34" s="19" t="s">
        <v>43</v>
      </c>
      <c r="B34" s="5" t="s">
        <v>25</v>
      </c>
      <c r="C34" s="4">
        <v>16208500</v>
      </c>
      <c r="D34" s="4">
        <v>17715500</v>
      </c>
      <c r="E34" s="4">
        <v>18788900</v>
      </c>
      <c r="F34" s="4">
        <v>19854059.217256572</v>
      </c>
      <c r="G34" s="4">
        <v>21220957.640247531</v>
      </c>
      <c r="H34" s="1">
        <v>23067764.418124817</v>
      </c>
      <c r="I34" s="1">
        <v>24219840.989114854</v>
      </c>
      <c r="J34" s="1">
        <v>25536996.402828209</v>
      </c>
      <c r="K34" s="1">
        <v>25703304.65592429</v>
      </c>
      <c r="L34" s="1">
        <v>22039208.363950904</v>
      </c>
      <c r="M34" s="1">
        <v>24383650.576481625</v>
      </c>
      <c r="N34" s="1">
        <v>28786239.360052951</v>
      </c>
      <c r="O34" s="22">
        <v>32687943.383636646</v>
      </c>
      <c r="P34" s="22">
        <v>35598059.486201853</v>
      </c>
      <c r="Q34" s="8"/>
      <c r="R34" s="7"/>
      <c r="S34" s="8"/>
      <c r="T34" s="8"/>
      <c r="U34" s="7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</row>
    <row r="35" spans="1:190" ht="15.75" x14ac:dyDescent="0.25">
      <c r="A35" s="19" t="s">
        <v>44</v>
      </c>
      <c r="B35" s="5" t="s">
        <v>24</v>
      </c>
      <c r="C35" s="4">
        <v>2613400</v>
      </c>
      <c r="D35" s="4">
        <v>3259500</v>
      </c>
      <c r="E35" s="4">
        <v>3270200</v>
      </c>
      <c r="F35" s="4">
        <v>3174990.0757634947</v>
      </c>
      <c r="G35" s="4">
        <v>2641088.8358251611</v>
      </c>
      <c r="H35" s="1">
        <v>2345050.2609743639</v>
      </c>
      <c r="I35" s="1">
        <v>2169728.8669681614</v>
      </c>
      <c r="J35" s="1">
        <v>2299979.0453563514</v>
      </c>
      <c r="K35" s="1">
        <v>2505214.0424669902</v>
      </c>
      <c r="L35" s="1">
        <v>3108006.8665716378</v>
      </c>
      <c r="M35" s="1">
        <v>3865253.8553487118</v>
      </c>
      <c r="N35" s="1">
        <v>4477992.5714096269</v>
      </c>
      <c r="O35" s="22">
        <v>4803040.9390778858</v>
      </c>
      <c r="P35" s="22">
        <v>5131282.5088355951</v>
      </c>
      <c r="Q35" s="8"/>
      <c r="R35" s="7"/>
      <c r="S35" s="8"/>
      <c r="T35" s="8"/>
      <c r="U35" s="7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</row>
    <row r="36" spans="1:190" s="24" customFormat="1" ht="15.75" x14ac:dyDescent="0.25">
      <c r="A36" s="37" t="s">
        <v>45</v>
      </c>
      <c r="B36" s="38" t="s">
        <v>55</v>
      </c>
      <c r="C36" s="32">
        <f>C33+C34-C35</f>
        <v>128036943.78754209</v>
      </c>
      <c r="D36" s="32">
        <f t="shared" ref="D36:L36" si="24">D33+D34-D35</f>
        <v>135794184.9781667</v>
      </c>
      <c r="E36" s="32">
        <f t="shared" si="24"/>
        <v>145161463.78863585</v>
      </c>
      <c r="F36" s="32">
        <f t="shared" si="24"/>
        <v>154316487.17628559</v>
      </c>
      <c r="G36" s="32">
        <f t="shared" si="24"/>
        <v>165428361.4375419</v>
      </c>
      <c r="H36" s="32">
        <f t="shared" si="24"/>
        <v>180704574.98260576</v>
      </c>
      <c r="I36" s="32">
        <f t="shared" si="24"/>
        <v>188870618.91487071</v>
      </c>
      <c r="J36" s="32">
        <f t="shared" si="24"/>
        <v>195738075.34464535</v>
      </c>
      <c r="K36" s="32">
        <f t="shared" si="24"/>
        <v>204661364.85215023</v>
      </c>
      <c r="L36" s="32">
        <f t="shared" si="24"/>
        <v>185213246.58027133</v>
      </c>
      <c r="M36" s="32">
        <f t="shared" ref="M36:O36" si="25">M33+M34-M35</f>
        <v>205884505.97336423</v>
      </c>
      <c r="N36" s="32">
        <f t="shared" si="25"/>
        <v>225570788.18808493</v>
      </c>
      <c r="O36" s="32">
        <f t="shared" si="25"/>
        <v>243525920.53291711</v>
      </c>
      <c r="P36" s="32">
        <f t="shared" ref="P36" si="26">P33+P34-P35</f>
        <v>261226309.96299529</v>
      </c>
      <c r="Q36" s="8"/>
      <c r="R36" s="7"/>
      <c r="S36" s="8"/>
      <c r="T36" s="8"/>
      <c r="U36" s="7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</row>
    <row r="37" spans="1:190" s="24" customFormat="1" ht="15.75" x14ac:dyDescent="0.25">
      <c r="A37" s="37" t="s">
        <v>46</v>
      </c>
      <c r="B37" s="38" t="s">
        <v>42</v>
      </c>
      <c r="C37" s="32">
        <f>GSVA_cur!C37</f>
        <v>1131150</v>
      </c>
      <c r="D37" s="32">
        <f>GSVA_cur!D37</f>
        <v>1143860</v>
      </c>
      <c r="E37" s="32">
        <f>GSVA_cur!E37</f>
        <v>1156560</v>
      </c>
      <c r="F37" s="32">
        <f>GSVA_cur!F37</f>
        <v>1169270</v>
      </c>
      <c r="G37" s="32">
        <f>GSVA_cur!G37</f>
        <v>1181970</v>
      </c>
      <c r="H37" s="32">
        <f>GSVA_cur!H37</f>
        <v>1193930</v>
      </c>
      <c r="I37" s="32">
        <f>GSVA_cur!I37</f>
        <v>1205350</v>
      </c>
      <c r="J37" s="32">
        <f>GSVA_cur!J37</f>
        <v>1216770</v>
      </c>
      <c r="K37" s="32">
        <f>GSVA_cur!K37</f>
        <v>1228190</v>
      </c>
      <c r="L37" s="32">
        <f>GSVA_cur!L37</f>
        <v>1239610</v>
      </c>
      <c r="M37" s="32">
        <f>GSVA_cur!M37</f>
        <v>1250050</v>
      </c>
      <c r="N37" s="32">
        <f>GSVA_cur!N37</f>
        <v>1259790</v>
      </c>
      <c r="O37" s="32">
        <f>GSVA_cur!O37</f>
        <v>1269540</v>
      </c>
      <c r="P37" s="32">
        <f>GSVA_cur!P37</f>
        <v>1279280</v>
      </c>
      <c r="Q37" s="2"/>
      <c r="R37" s="6"/>
      <c r="S37" s="2"/>
      <c r="T37" s="2"/>
      <c r="U37" s="6"/>
      <c r="V37" s="6"/>
      <c r="W37" s="6"/>
      <c r="X37" s="6"/>
      <c r="Y37" s="6"/>
      <c r="Z37" s="2"/>
      <c r="AA37" s="2"/>
      <c r="AB37" s="2"/>
      <c r="AC37" s="2"/>
      <c r="AD37" s="2"/>
      <c r="AE37" s="2"/>
      <c r="AF37" s="2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</row>
    <row r="38" spans="1:190" s="24" customFormat="1" ht="15.75" x14ac:dyDescent="0.25">
      <c r="A38" s="37" t="s">
        <v>47</v>
      </c>
      <c r="B38" s="38" t="s">
        <v>58</v>
      </c>
      <c r="C38" s="32">
        <f>C36/C37*1000</f>
        <v>113191.83467050531</v>
      </c>
      <c r="D38" s="32">
        <f t="shared" ref="D38:L38" si="27">D36/D37*1000</f>
        <v>118715.73879510317</v>
      </c>
      <c r="E38" s="32">
        <f t="shared" si="27"/>
        <v>125511.39913937525</v>
      </c>
      <c r="F38" s="32">
        <f t="shared" si="27"/>
        <v>131976.7779694045</v>
      </c>
      <c r="G38" s="32">
        <f t="shared" si="27"/>
        <v>139959.86483374529</v>
      </c>
      <c r="H38" s="32">
        <f t="shared" si="27"/>
        <v>151352.73842068276</v>
      </c>
      <c r="I38" s="32">
        <f t="shared" si="27"/>
        <v>156693.59017287154</v>
      </c>
      <c r="J38" s="32">
        <f t="shared" si="27"/>
        <v>160866.94720008329</v>
      </c>
      <c r="K38" s="32">
        <f t="shared" si="27"/>
        <v>166636.56669745743</v>
      </c>
      <c r="L38" s="32">
        <f t="shared" si="27"/>
        <v>149412.51408126051</v>
      </c>
      <c r="M38" s="32">
        <f t="shared" ref="M38:O38" si="28">M36/M37*1000</f>
        <v>164701.01673802189</v>
      </c>
      <c r="N38" s="32">
        <f t="shared" si="28"/>
        <v>179054.27744948358</v>
      </c>
      <c r="O38" s="32">
        <f t="shared" si="28"/>
        <v>191822.17223003379</v>
      </c>
      <c r="P38" s="32">
        <f t="shared" ref="P38" si="29">P36/P37*1000</f>
        <v>204197.9159863324</v>
      </c>
      <c r="Q38" s="2"/>
      <c r="R38" s="6"/>
      <c r="S38" s="2"/>
      <c r="T38" s="2"/>
      <c r="U38" s="7"/>
      <c r="V38" s="7"/>
      <c r="W38" s="7"/>
      <c r="X38" s="7"/>
      <c r="Y38" s="7"/>
      <c r="Z38" s="2"/>
      <c r="AA38" s="2"/>
      <c r="AB38" s="2"/>
      <c r="AC38" s="2"/>
      <c r="AD38" s="2"/>
      <c r="AE38" s="2"/>
      <c r="AF38" s="2"/>
      <c r="BZ38" s="33"/>
      <c r="CA38" s="33"/>
      <c r="CB38" s="33"/>
      <c r="CC38" s="33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</row>
    <row r="39" spans="1:190" x14ac:dyDescent="0.25">
      <c r="A39" s="2" t="s">
        <v>75</v>
      </c>
      <c r="C39" s="8"/>
      <c r="D39" s="8"/>
      <c r="E39" s="8"/>
      <c r="F39" s="8"/>
      <c r="G39" s="8"/>
      <c r="H39" s="7"/>
      <c r="I39" s="7"/>
      <c r="J39" s="7"/>
      <c r="K39" s="7"/>
      <c r="L39" s="7"/>
      <c r="M39" s="7"/>
      <c r="N39" s="7"/>
      <c r="O39" s="7"/>
      <c r="P39" s="7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L39"/>
  <sheetViews>
    <sheetView zoomScale="112" zoomScaleNormal="112" zoomScaleSheetLayoutView="100" workbookViewId="0">
      <pane xSplit="2" ySplit="5" topLeftCell="C20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3" width="18.140625" style="2" bestFit="1" customWidth="1"/>
    <col min="4" max="4" width="11" style="2" bestFit="1" customWidth="1"/>
    <col min="5" max="5" width="11.42578125" style="2" bestFit="1" customWidth="1"/>
    <col min="6" max="6" width="12.5703125" style="2" bestFit="1" customWidth="1"/>
    <col min="7" max="7" width="11.42578125" style="2" bestFit="1" customWidth="1"/>
    <col min="8" max="8" width="11.42578125" style="6" bestFit="1" customWidth="1"/>
    <col min="9" max="9" width="13.28515625" style="6" customWidth="1"/>
    <col min="10" max="10" width="11.85546875" style="6" bestFit="1" customWidth="1"/>
    <col min="11" max="11" width="11.42578125" style="6" bestFit="1" customWidth="1"/>
    <col min="12" max="13" width="11.85546875" style="6" bestFit="1" customWidth="1"/>
    <col min="14" max="14" width="12.140625" style="6" bestFit="1" customWidth="1"/>
    <col min="15" max="15" width="11.42578125" style="6" bestFit="1" customWidth="1"/>
    <col min="16" max="16" width="11.42578125" style="6" customWidth="1"/>
    <col min="17" max="17" width="11.5703125" style="6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6" customWidth="1"/>
    <col min="23" max="23" width="9.140625" style="2" customWidth="1"/>
    <col min="24" max="24" width="10.85546875" style="2" customWidth="1"/>
    <col min="25" max="25" width="10.85546875" style="6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6" customWidth="1"/>
    <col min="116" max="120" width="9.140625" style="6" hidden="1" customWidth="1"/>
    <col min="121" max="121" width="9.140625" style="6" customWidth="1"/>
    <col min="122" max="126" width="9.140625" style="6" hidden="1" customWidth="1"/>
    <col min="127" max="127" width="9.140625" style="6" customWidth="1"/>
    <col min="128" max="132" width="9.140625" style="6" hidden="1" customWidth="1"/>
    <col min="133" max="133" width="9.140625" style="6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21" t="s">
        <v>66</v>
      </c>
      <c r="X1" s="7"/>
    </row>
    <row r="2" spans="1:194" ht="15.75" x14ac:dyDescent="0.25">
      <c r="A2" s="11" t="s">
        <v>50</v>
      </c>
      <c r="I2" s="6" t="str">
        <f>[1]GSVA_cur!$I$3</f>
        <v>01.08.2025</v>
      </c>
    </row>
    <row r="3" spans="1:194" ht="15.75" x14ac:dyDescent="0.25">
      <c r="A3" s="11"/>
    </row>
    <row r="4" spans="1:194" ht="15.75" x14ac:dyDescent="0.25">
      <c r="A4" s="11"/>
      <c r="E4" s="10"/>
      <c r="F4" s="10" t="s">
        <v>57</v>
      </c>
      <c r="G4" s="10"/>
    </row>
    <row r="5" spans="1:194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3" t="s">
        <v>72</v>
      </c>
      <c r="N5" s="23" t="s">
        <v>73</v>
      </c>
      <c r="O5" s="23" t="s">
        <v>74</v>
      </c>
      <c r="P5" s="23" t="s">
        <v>76</v>
      </c>
    </row>
    <row r="6" spans="1:194" s="29" customFormat="1" ht="15.75" x14ac:dyDescent="0.25">
      <c r="A6" s="25" t="s">
        <v>26</v>
      </c>
      <c r="B6" s="26" t="s">
        <v>2</v>
      </c>
      <c r="C6" s="27">
        <f>SUM(C7:C10)</f>
        <v>14333114.559351496</v>
      </c>
      <c r="D6" s="27">
        <f t="shared" ref="D6:P6" si="0">SUM(D7:D10)</f>
        <v>15529809.627710406</v>
      </c>
      <c r="E6" s="27">
        <f t="shared" si="0"/>
        <v>18349659.443798628</v>
      </c>
      <c r="F6" s="27">
        <f t="shared" si="0"/>
        <v>16757636.87741613</v>
      </c>
      <c r="G6" s="27">
        <f t="shared" si="0"/>
        <v>17055733.768265795</v>
      </c>
      <c r="H6" s="27">
        <f t="shared" si="0"/>
        <v>22452016.390457112</v>
      </c>
      <c r="I6" s="27">
        <f t="shared" si="0"/>
        <v>22155036.92581759</v>
      </c>
      <c r="J6" s="27">
        <f t="shared" si="0"/>
        <v>21727766.377081331</v>
      </c>
      <c r="K6" s="27">
        <f t="shared" si="0"/>
        <v>26164752.747938409</v>
      </c>
      <c r="L6" s="27">
        <f t="shared" si="0"/>
        <v>29039425.898692865</v>
      </c>
      <c r="M6" s="27">
        <f t="shared" si="0"/>
        <v>34615143.003466211</v>
      </c>
      <c r="N6" s="27">
        <f t="shared" si="0"/>
        <v>35769020.171282031</v>
      </c>
      <c r="O6" s="27">
        <f t="shared" si="0"/>
        <v>37838717.297581077</v>
      </c>
      <c r="P6" s="27">
        <f t="shared" si="0"/>
        <v>43044762.584561586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L6" s="24"/>
    </row>
    <row r="7" spans="1:194" ht="15.75" x14ac:dyDescent="0.25">
      <c r="A7" s="16">
        <v>1.1000000000000001</v>
      </c>
      <c r="B7" s="17" t="s">
        <v>59</v>
      </c>
      <c r="C7" s="4">
        <v>9615251.85148599</v>
      </c>
      <c r="D7" s="4">
        <v>10170613.587922325</v>
      </c>
      <c r="E7" s="4">
        <v>12905289.636074342</v>
      </c>
      <c r="F7" s="4">
        <v>10661650.190194927</v>
      </c>
      <c r="G7" s="4">
        <v>10561986.701135132</v>
      </c>
      <c r="H7" s="1">
        <v>14389596.341536695</v>
      </c>
      <c r="I7" s="1">
        <v>13061045.22860253</v>
      </c>
      <c r="J7" s="1">
        <v>11949837.664627744</v>
      </c>
      <c r="K7" s="1">
        <v>15162591.222148292</v>
      </c>
      <c r="L7" s="1">
        <v>16804734.853885185</v>
      </c>
      <c r="M7" s="1">
        <v>21037883.088465974</v>
      </c>
      <c r="N7" s="1">
        <v>20696813.971802164</v>
      </c>
      <c r="O7" s="1">
        <v>22094772.82377819</v>
      </c>
      <c r="P7" s="1">
        <v>25729969.529834397</v>
      </c>
      <c r="Q7" s="7"/>
      <c r="R7" s="8"/>
      <c r="S7" s="8"/>
      <c r="T7" s="8"/>
      <c r="U7" s="8"/>
      <c r="V7" s="7"/>
      <c r="W7" s="8"/>
      <c r="X7" s="8"/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6"/>
      <c r="GJ7" s="6"/>
      <c r="GK7" s="6"/>
    </row>
    <row r="8" spans="1:194" ht="15.75" x14ac:dyDescent="0.25">
      <c r="A8" s="16">
        <v>1.2</v>
      </c>
      <c r="B8" s="17" t="s">
        <v>60</v>
      </c>
      <c r="C8" s="4">
        <v>2815278.2889553881</v>
      </c>
      <c r="D8" s="4">
        <v>3235950.2563454984</v>
      </c>
      <c r="E8" s="4">
        <v>3466801.2242953498</v>
      </c>
      <c r="F8" s="4">
        <v>3937299.5046282643</v>
      </c>
      <c r="G8" s="4">
        <v>4359340.4782700902</v>
      </c>
      <c r="H8" s="1">
        <v>5081280.5717450958</v>
      </c>
      <c r="I8" s="1">
        <v>5712446.1813954981</v>
      </c>
      <c r="J8" s="1">
        <v>5959195.9943948127</v>
      </c>
      <c r="K8" s="1">
        <v>6478322.1430265103</v>
      </c>
      <c r="L8" s="1">
        <v>7621188.6620782111</v>
      </c>
      <c r="M8" s="1">
        <v>8185168.8965501115</v>
      </c>
      <c r="N8" s="1">
        <v>8844320.8814273626</v>
      </c>
      <c r="O8" s="1">
        <v>9884745.6965039074</v>
      </c>
      <c r="P8" s="1">
        <v>10863564.099506376</v>
      </c>
      <c r="Q8" s="7"/>
      <c r="R8" s="8"/>
      <c r="S8" s="8"/>
      <c r="T8" s="8"/>
      <c r="U8" s="8"/>
      <c r="V8" s="7"/>
      <c r="W8" s="8"/>
      <c r="X8" s="8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6"/>
      <c r="GJ8" s="6"/>
      <c r="GK8" s="6"/>
    </row>
    <row r="9" spans="1:194" ht="15.75" x14ac:dyDescent="0.25">
      <c r="A9" s="16">
        <v>1.3</v>
      </c>
      <c r="B9" s="17" t="s">
        <v>61</v>
      </c>
      <c r="C9" s="4">
        <v>1643455.2627154058</v>
      </c>
      <c r="D9" s="4">
        <v>1811450.2133667229</v>
      </c>
      <c r="E9" s="4">
        <v>1633294.9978996275</v>
      </c>
      <c r="F9" s="4">
        <v>1728309.9014696956</v>
      </c>
      <c r="G9" s="4">
        <v>1703885.7303655325</v>
      </c>
      <c r="H9" s="1">
        <v>2405397.8156497632</v>
      </c>
      <c r="I9" s="1">
        <v>2799572.8110591616</v>
      </c>
      <c r="J9" s="1">
        <v>3314362.830175377</v>
      </c>
      <c r="K9" s="1">
        <v>3969968.1792701073</v>
      </c>
      <c r="L9" s="1">
        <v>4031346.8538662689</v>
      </c>
      <c r="M9" s="1">
        <v>4746435.3170466078</v>
      </c>
      <c r="N9" s="1">
        <v>5503392.426500814</v>
      </c>
      <c r="O9" s="1">
        <v>5053126.3425580952</v>
      </c>
      <c r="P9" s="1">
        <v>5548554.3891430255</v>
      </c>
      <c r="Q9" s="7"/>
      <c r="R9" s="8"/>
      <c r="S9" s="8"/>
      <c r="T9" s="8"/>
      <c r="U9" s="8"/>
      <c r="V9" s="7"/>
      <c r="W9" s="8"/>
      <c r="X9" s="8"/>
      <c r="Y9" s="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6"/>
      <c r="GJ9" s="6"/>
      <c r="GK9" s="6"/>
    </row>
    <row r="10" spans="1:194" ht="15.75" x14ac:dyDescent="0.25">
      <c r="A10" s="16">
        <v>1.4</v>
      </c>
      <c r="B10" s="17" t="s">
        <v>62</v>
      </c>
      <c r="C10" s="4">
        <v>259129.15619471355</v>
      </c>
      <c r="D10" s="4">
        <v>311795.57007585943</v>
      </c>
      <c r="E10" s="4">
        <v>344273.58552930877</v>
      </c>
      <c r="F10" s="4">
        <v>430377.28112324391</v>
      </c>
      <c r="G10" s="4">
        <v>430520.85849503626</v>
      </c>
      <c r="H10" s="1">
        <v>575741.66152555752</v>
      </c>
      <c r="I10" s="1">
        <v>581972.70476039988</v>
      </c>
      <c r="J10" s="1">
        <v>504369.88788340002</v>
      </c>
      <c r="K10" s="1">
        <v>553871.20349350013</v>
      </c>
      <c r="L10" s="1">
        <v>582155.52886319882</v>
      </c>
      <c r="M10" s="1">
        <v>645655.701403521</v>
      </c>
      <c r="N10" s="1">
        <v>724492.89155169134</v>
      </c>
      <c r="O10" s="1">
        <v>806072.43474088761</v>
      </c>
      <c r="P10" s="1">
        <v>902674.56607778382</v>
      </c>
      <c r="Q10" s="7"/>
      <c r="R10" s="8"/>
      <c r="S10" s="8"/>
      <c r="T10" s="8"/>
      <c r="U10" s="8"/>
      <c r="V10" s="7"/>
      <c r="W10" s="8"/>
      <c r="X10" s="8"/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6"/>
      <c r="GJ10" s="6"/>
      <c r="GK10" s="6"/>
    </row>
    <row r="11" spans="1:194" ht="15.75" x14ac:dyDescent="0.25">
      <c r="A11" s="18" t="s">
        <v>31</v>
      </c>
      <c r="B11" s="17" t="s">
        <v>3</v>
      </c>
      <c r="C11" s="4">
        <v>4967405.0559997596</v>
      </c>
      <c r="D11" s="4">
        <v>5175833.2411457971</v>
      </c>
      <c r="E11" s="4">
        <v>4155198.4808852198</v>
      </c>
      <c r="F11" s="4">
        <v>4463810.2543297149</v>
      </c>
      <c r="G11" s="4">
        <v>5619735.0794210285</v>
      </c>
      <c r="H11" s="1">
        <v>5771853.3058976801</v>
      </c>
      <c r="I11" s="1">
        <v>5951299.5097296285</v>
      </c>
      <c r="J11" s="1">
        <v>6278768</v>
      </c>
      <c r="K11" s="1">
        <v>5959337.588700261</v>
      </c>
      <c r="L11" s="1">
        <v>5539382.5861170162</v>
      </c>
      <c r="M11" s="1">
        <v>5958770.055290224</v>
      </c>
      <c r="N11" s="1">
        <v>5520537.7963028923</v>
      </c>
      <c r="O11" s="1">
        <v>5927675.6918809619</v>
      </c>
      <c r="P11" s="1">
        <v>6215777.0108003952</v>
      </c>
      <c r="Q11" s="7"/>
      <c r="R11" s="8"/>
      <c r="S11" s="8"/>
      <c r="T11" s="8"/>
      <c r="U11" s="8"/>
      <c r="V11" s="7"/>
      <c r="W11" s="8"/>
      <c r="X11" s="8"/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6"/>
      <c r="GJ11" s="6"/>
      <c r="GK11" s="6"/>
    </row>
    <row r="12" spans="1:194" s="24" customFormat="1" ht="15.75" x14ac:dyDescent="0.25">
      <c r="A12" s="30"/>
      <c r="B12" s="31" t="s">
        <v>28</v>
      </c>
      <c r="C12" s="32">
        <f>C6+C11</f>
        <v>19300519.615351256</v>
      </c>
      <c r="D12" s="32">
        <f t="shared" ref="D12:P12" si="1">D6+D11</f>
        <v>20705642.868856203</v>
      </c>
      <c r="E12" s="32">
        <f t="shared" si="1"/>
        <v>22504857.924683847</v>
      </c>
      <c r="F12" s="32">
        <f t="shared" si="1"/>
        <v>21221447.131745845</v>
      </c>
      <c r="G12" s="32">
        <f t="shared" si="1"/>
        <v>22675468.847686823</v>
      </c>
      <c r="H12" s="32">
        <f t="shared" si="1"/>
        <v>28223869.696354792</v>
      </c>
      <c r="I12" s="32">
        <f t="shared" si="1"/>
        <v>28106336.435547218</v>
      </c>
      <c r="J12" s="32">
        <f t="shared" si="1"/>
        <v>28006534.377081331</v>
      </c>
      <c r="K12" s="32">
        <f t="shared" si="1"/>
        <v>32124090.33663867</v>
      </c>
      <c r="L12" s="32">
        <f t="shared" si="1"/>
        <v>34578808.484809883</v>
      </c>
      <c r="M12" s="32">
        <f t="shared" si="1"/>
        <v>40573913.058756433</v>
      </c>
      <c r="N12" s="32">
        <f t="shared" si="1"/>
        <v>41289557.967584923</v>
      </c>
      <c r="O12" s="32">
        <f t="shared" si="1"/>
        <v>43766392.98946204</v>
      </c>
      <c r="P12" s="32">
        <f t="shared" si="1"/>
        <v>49260539.595361978</v>
      </c>
      <c r="Q12" s="7"/>
      <c r="R12" s="8"/>
      <c r="S12" s="8"/>
      <c r="T12" s="8"/>
      <c r="U12" s="8"/>
      <c r="V12" s="7"/>
      <c r="W12" s="8"/>
      <c r="X12" s="8"/>
      <c r="Y12" s="7"/>
      <c r="Z12" s="8"/>
      <c r="AA12" s="8"/>
      <c r="AB12" s="8"/>
      <c r="AC12" s="8"/>
      <c r="AD12" s="8"/>
      <c r="AE12" s="8"/>
      <c r="AF12" s="8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29"/>
      <c r="GJ12" s="29"/>
      <c r="GK12" s="29"/>
    </row>
    <row r="13" spans="1:194" s="6" customFormat="1" ht="15.75" x14ac:dyDescent="0.25">
      <c r="A13" s="14" t="s">
        <v>32</v>
      </c>
      <c r="B13" s="15" t="s">
        <v>4</v>
      </c>
      <c r="C13" s="1">
        <v>20680408.513398968</v>
      </c>
      <c r="D13" s="1">
        <v>23615814.593233719</v>
      </c>
      <c r="E13" s="1">
        <v>27902218.316513468</v>
      </c>
      <c r="F13" s="1">
        <v>29307439.102513645</v>
      </c>
      <c r="G13" s="1">
        <v>32311065.430802327</v>
      </c>
      <c r="H13" s="1">
        <v>32994629.538804498</v>
      </c>
      <c r="I13" s="1">
        <v>35254071.696199134</v>
      </c>
      <c r="J13" s="1">
        <v>34249875.112679869</v>
      </c>
      <c r="K13" s="1">
        <v>29217624.168290094</v>
      </c>
      <c r="L13" s="1">
        <v>31756325.267135929</v>
      </c>
      <c r="M13" s="1">
        <v>39899186.071119934</v>
      </c>
      <c r="N13" s="1">
        <v>40528147.280953042</v>
      </c>
      <c r="O13" s="1">
        <v>42210985.482800916</v>
      </c>
      <c r="P13" s="1">
        <v>44531275.77501794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L13" s="2"/>
    </row>
    <row r="14" spans="1:194" ht="30" x14ac:dyDescent="0.25">
      <c r="A14" s="18" t="s">
        <v>33</v>
      </c>
      <c r="B14" s="17" t="s">
        <v>5</v>
      </c>
      <c r="C14" s="4">
        <v>1802120.3046742918</v>
      </c>
      <c r="D14" s="4">
        <v>1937550.789524012</v>
      </c>
      <c r="E14" s="4">
        <v>2686765.7735236646</v>
      </c>
      <c r="F14" s="4">
        <v>2588072.8179742824</v>
      </c>
      <c r="G14" s="4">
        <v>2784140.3769496046</v>
      </c>
      <c r="H14" s="1">
        <v>2641267.9160716836</v>
      </c>
      <c r="I14" s="1">
        <v>3694473.2756512747</v>
      </c>
      <c r="J14" s="1">
        <v>3813567.5640601418</v>
      </c>
      <c r="K14" s="1">
        <v>3816799.883279114</v>
      </c>
      <c r="L14" s="1">
        <v>3677181.0722036427</v>
      </c>
      <c r="M14" s="1">
        <v>4089411.0431860471</v>
      </c>
      <c r="N14" s="1">
        <v>3383422.6548024495</v>
      </c>
      <c r="O14" s="1">
        <v>3945193.2639767192</v>
      </c>
      <c r="P14" s="1">
        <v>4256292.7971480135</v>
      </c>
      <c r="Q14" s="7"/>
      <c r="R14" s="8"/>
      <c r="S14" s="8"/>
      <c r="T14" s="8"/>
      <c r="U14" s="8"/>
      <c r="V14" s="7"/>
      <c r="W14" s="8"/>
      <c r="X14" s="8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7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7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7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6"/>
      <c r="GJ14" s="6"/>
      <c r="GK14" s="6"/>
    </row>
    <row r="15" spans="1:194" ht="15.75" x14ac:dyDescent="0.25">
      <c r="A15" s="18" t="s">
        <v>34</v>
      </c>
      <c r="B15" s="17" t="s">
        <v>6</v>
      </c>
      <c r="C15" s="4">
        <v>7684092.0121231396</v>
      </c>
      <c r="D15" s="4">
        <v>7964150.8680512048</v>
      </c>
      <c r="E15" s="4">
        <v>8665011.0432218295</v>
      </c>
      <c r="F15" s="4">
        <v>9520553.0023326017</v>
      </c>
      <c r="G15" s="4">
        <v>9444571.2359069847</v>
      </c>
      <c r="H15" s="1">
        <v>10231692.693937315</v>
      </c>
      <c r="I15" s="1">
        <v>11059760.884002747</v>
      </c>
      <c r="J15" s="1">
        <v>12577119.725004412</v>
      </c>
      <c r="K15" s="1">
        <v>12701235.166736417</v>
      </c>
      <c r="L15" s="1">
        <v>12535342.252789784</v>
      </c>
      <c r="M15" s="1">
        <v>17513097.03009741</v>
      </c>
      <c r="N15" s="1">
        <v>20610419.628870532</v>
      </c>
      <c r="O15" s="1">
        <v>22808615.172001969</v>
      </c>
      <c r="P15" s="1">
        <v>25351322.664407469</v>
      </c>
      <c r="Q15" s="7"/>
      <c r="R15" s="8"/>
      <c r="S15" s="8"/>
      <c r="T15" s="8"/>
      <c r="U15" s="8"/>
      <c r="V15" s="7"/>
      <c r="W15" s="8"/>
      <c r="X15" s="8"/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7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7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6"/>
      <c r="GJ15" s="6"/>
      <c r="GK15" s="6"/>
    </row>
    <row r="16" spans="1:194" s="24" customFormat="1" ht="15.75" x14ac:dyDescent="0.25">
      <c r="A16" s="30"/>
      <c r="B16" s="31" t="s">
        <v>29</v>
      </c>
      <c r="C16" s="32">
        <f>+C13+C14+C15</f>
        <v>30166620.830196396</v>
      </c>
      <c r="D16" s="32">
        <f t="shared" ref="D16:M16" si="2">+D13+D14+D15</f>
        <v>33517516.250808936</v>
      </c>
      <c r="E16" s="32">
        <f t="shared" si="2"/>
        <v>39253995.133258961</v>
      </c>
      <c r="F16" s="32">
        <f t="shared" si="2"/>
        <v>41416064.922820523</v>
      </c>
      <c r="G16" s="32">
        <f t="shared" si="2"/>
        <v>44539777.043658912</v>
      </c>
      <c r="H16" s="32">
        <f t="shared" si="2"/>
        <v>45867590.148813501</v>
      </c>
      <c r="I16" s="32">
        <f t="shared" si="2"/>
        <v>50008305.855853155</v>
      </c>
      <c r="J16" s="32">
        <f t="shared" si="2"/>
        <v>50640562.401744425</v>
      </c>
      <c r="K16" s="32">
        <f t="shared" si="2"/>
        <v>45735659.218305625</v>
      </c>
      <c r="L16" s="32">
        <f t="shared" si="2"/>
        <v>47968848.59212935</v>
      </c>
      <c r="M16" s="32">
        <f t="shared" si="2"/>
        <v>61501694.144403391</v>
      </c>
      <c r="N16" s="32">
        <f t="shared" ref="N16:O16" si="3">+N13+N14+N15</f>
        <v>64521989.564626023</v>
      </c>
      <c r="O16" s="32">
        <f t="shared" si="3"/>
        <v>68964793.918779612</v>
      </c>
      <c r="P16" s="32">
        <f t="shared" ref="P16" si="4">+P13+P14+P15</f>
        <v>74138891.236573428</v>
      </c>
      <c r="Q16" s="7"/>
      <c r="R16" s="8"/>
      <c r="S16" s="8"/>
      <c r="T16" s="8"/>
      <c r="U16" s="8"/>
      <c r="V16" s="7"/>
      <c r="W16" s="8"/>
      <c r="X16" s="8"/>
      <c r="Y16" s="7"/>
      <c r="Z16" s="8"/>
      <c r="AA16" s="8"/>
      <c r="AB16" s="8"/>
      <c r="AC16" s="8"/>
      <c r="AD16" s="8"/>
      <c r="AE16" s="8"/>
      <c r="AF16" s="8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28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28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28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29"/>
      <c r="GJ16" s="29"/>
      <c r="GK16" s="29"/>
    </row>
    <row r="17" spans="1:194" s="29" customFormat="1" ht="15.75" x14ac:dyDescent="0.25">
      <c r="A17" s="25" t="s">
        <v>35</v>
      </c>
      <c r="B17" s="26" t="s">
        <v>7</v>
      </c>
      <c r="C17" s="27">
        <f>C18+C19</f>
        <v>9806128.4138610363</v>
      </c>
      <c r="D17" s="27">
        <f t="shared" ref="D17:M17" si="5">D18+D19</f>
        <v>11859783.195872977</v>
      </c>
      <c r="E17" s="27">
        <f t="shared" si="5"/>
        <v>12577569.511586156</v>
      </c>
      <c r="F17" s="27">
        <f t="shared" si="5"/>
        <v>13672706.917428309</v>
      </c>
      <c r="G17" s="27">
        <f t="shared" si="5"/>
        <v>14346169</v>
      </c>
      <c r="H17" s="27">
        <f t="shared" si="5"/>
        <v>16886616.916057065</v>
      </c>
      <c r="I17" s="27">
        <f t="shared" si="5"/>
        <v>18804591</v>
      </c>
      <c r="J17" s="27">
        <f t="shared" si="5"/>
        <v>22008080</v>
      </c>
      <c r="K17" s="27">
        <f t="shared" si="5"/>
        <v>23654382</v>
      </c>
      <c r="L17" s="27">
        <f t="shared" si="5"/>
        <v>18011028.104753695</v>
      </c>
      <c r="M17" s="27">
        <f t="shared" si="5"/>
        <v>22347326.000035442</v>
      </c>
      <c r="N17" s="27">
        <f t="shared" ref="N17:O17" si="6">N18+N19</f>
        <v>27385585.925030351</v>
      </c>
      <c r="O17" s="27">
        <f t="shared" si="6"/>
        <v>30264928.623345286</v>
      </c>
      <c r="P17" s="27">
        <f t="shared" ref="P17" si="7">P18+P19</f>
        <v>33265163.868683811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L17" s="24"/>
    </row>
    <row r="18" spans="1:194" ht="15.75" x14ac:dyDescent="0.25">
      <c r="A18" s="16">
        <v>6.1</v>
      </c>
      <c r="B18" s="17" t="s">
        <v>8</v>
      </c>
      <c r="C18" s="4">
        <v>8749449.2719866447</v>
      </c>
      <c r="D18" s="4">
        <v>10679689.583918544</v>
      </c>
      <c r="E18" s="4">
        <v>11298356.697360003</v>
      </c>
      <c r="F18" s="4">
        <v>12333848.477940945</v>
      </c>
      <c r="G18" s="4">
        <v>12877880.37652109</v>
      </c>
      <c r="H18" s="1">
        <v>15256529.414207147</v>
      </c>
      <c r="I18" s="1">
        <v>17000791</v>
      </c>
      <c r="J18" s="1">
        <v>19991732</v>
      </c>
      <c r="K18" s="1">
        <v>21449489</v>
      </c>
      <c r="L18" s="1">
        <v>17140801.891132575</v>
      </c>
      <c r="M18" s="1">
        <v>20954137.094443299</v>
      </c>
      <c r="N18" s="1">
        <v>24836818.63921674</v>
      </c>
      <c r="O18" s="1">
        <v>27426484.088646732</v>
      </c>
      <c r="P18" s="1">
        <v>30105628.636081494</v>
      </c>
      <c r="Q18" s="7"/>
      <c r="R18" s="8"/>
      <c r="S18" s="8"/>
      <c r="T18" s="8"/>
      <c r="U18" s="8"/>
      <c r="V18" s="7"/>
      <c r="W18" s="8"/>
      <c r="X18" s="8"/>
      <c r="Y18" s="7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6"/>
      <c r="GJ18" s="6"/>
      <c r="GK18" s="6"/>
    </row>
    <row r="19" spans="1:194" ht="15.75" x14ac:dyDescent="0.25">
      <c r="A19" s="16">
        <v>6.2</v>
      </c>
      <c r="B19" s="17" t="s">
        <v>9</v>
      </c>
      <c r="C19" s="4">
        <v>1056679.1418743921</v>
      </c>
      <c r="D19" s="4">
        <v>1180093.6119544336</v>
      </c>
      <c r="E19" s="4">
        <v>1279212.8142261533</v>
      </c>
      <c r="F19" s="4">
        <v>1338858.4394873644</v>
      </c>
      <c r="G19" s="4">
        <v>1468288.6234789102</v>
      </c>
      <c r="H19" s="1">
        <v>1630087.5018499196</v>
      </c>
      <c r="I19" s="1">
        <v>1803800</v>
      </c>
      <c r="J19" s="1">
        <v>2016348</v>
      </c>
      <c r="K19" s="1">
        <v>2204893</v>
      </c>
      <c r="L19" s="1">
        <v>870226.21362112113</v>
      </c>
      <c r="M19" s="1">
        <v>1393188.9055921431</v>
      </c>
      <c r="N19" s="1">
        <v>2548767.2858136096</v>
      </c>
      <c r="O19" s="1">
        <v>2838444.5346985552</v>
      </c>
      <c r="P19" s="1">
        <v>3159535.232602316</v>
      </c>
      <c r="Q19" s="7"/>
      <c r="R19" s="8"/>
      <c r="S19" s="8"/>
      <c r="T19" s="8"/>
      <c r="U19" s="8"/>
      <c r="V19" s="7"/>
      <c r="W19" s="8"/>
      <c r="X19" s="8"/>
      <c r="Y19" s="7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6"/>
      <c r="GJ19" s="6"/>
      <c r="GK19" s="6"/>
    </row>
    <row r="20" spans="1:194" s="29" customFormat="1" ht="30" x14ac:dyDescent="0.25">
      <c r="A20" s="34" t="s">
        <v>36</v>
      </c>
      <c r="B20" s="35" t="s">
        <v>10</v>
      </c>
      <c r="C20" s="27">
        <f>SUM(C21:C27)</f>
        <v>5460110.6109334026</v>
      </c>
      <c r="D20" s="27">
        <f t="shared" ref="D20:P20" si="8">SUM(D21:D27)</f>
        <v>6375913.2683180384</v>
      </c>
      <c r="E20" s="27">
        <f t="shared" si="8"/>
        <v>6602865.1741904216</v>
      </c>
      <c r="F20" s="27">
        <f t="shared" si="8"/>
        <v>7486014.4752849806</v>
      </c>
      <c r="G20" s="27">
        <f t="shared" si="8"/>
        <v>8447933.6330083683</v>
      </c>
      <c r="H20" s="27">
        <f t="shared" si="8"/>
        <v>8918595.1064417399</v>
      </c>
      <c r="I20" s="27">
        <f t="shared" si="8"/>
        <v>9309558.894628536</v>
      </c>
      <c r="J20" s="27">
        <f t="shared" si="8"/>
        <v>9770080.530229738</v>
      </c>
      <c r="K20" s="27">
        <f t="shared" si="8"/>
        <v>9737270.2823828142</v>
      </c>
      <c r="L20" s="27">
        <f t="shared" si="8"/>
        <v>8266263.7383180754</v>
      </c>
      <c r="M20" s="27">
        <f t="shared" si="8"/>
        <v>11030471.899577826</v>
      </c>
      <c r="N20" s="27">
        <f t="shared" si="8"/>
        <v>12020937.037179222</v>
      </c>
      <c r="O20" s="27">
        <f t="shared" si="8"/>
        <v>13144839.79727542</v>
      </c>
      <c r="P20" s="27">
        <f t="shared" si="8"/>
        <v>14279480.687536545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L20" s="24"/>
    </row>
    <row r="21" spans="1:194" ht="15.75" x14ac:dyDescent="0.25">
      <c r="A21" s="16">
        <v>7.1</v>
      </c>
      <c r="B21" s="17" t="s">
        <v>11</v>
      </c>
      <c r="C21" s="4">
        <v>512534</v>
      </c>
      <c r="D21" s="4">
        <v>555091</v>
      </c>
      <c r="E21" s="4">
        <v>575928</v>
      </c>
      <c r="F21" s="4">
        <v>695679</v>
      </c>
      <c r="G21" s="4">
        <v>760720</v>
      </c>
      <c r="H21" s="1">
        <v>977107</v>
      </c>
      <c r="I21" s="1">
        <v>1145460</v>
      </c>
      <c r="J21" s="1">
        <v>1118506</v>
      </c>
      <c r="K21" s="1">
        <v>1064091</v>
      </c>
      <c r="L21" s="1">
        <v>1100249.6509407905</v>
      </c>
      <c r="M21" s="1">
        <v>1113697.9806518182</v>
      </c>
      <c r="N21" s="1">
        <v>1214411.3539598803</v>
      </c>
      <c r="O21" s="1">
        <v>1331544.2190367593</v>
      </c>
      <c r="P21" s="1">
        <v>1455340.8138605964</v>
      </c>
      <c r="Q21" s="7"/>
      <c r="R21" s="8"/>
      <c r="S21" s="8"/>
      <c r="T21" s="8"/>
      <c r="U21" s="8"/>
      <c r="V21" s="7"/>
      <c r="W21" s="8"/>
      <c r="X21" s="8"/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6"/>
      <c r="GJ21" s="6"/>
      <c r="GK21" s="6"/>
    </row>
    <row r="22" spans="1:194" ht="15.75" x14ac:dyDescent="0.25">
      <c r="A22" s="16">
        <v>7.2</v>
      </c>
      <c r="B22" s="17" t="s">
        <v>12</v>
      </c>
      <c r="C22" s="4">
        <v>2742297.3079728484</v>
      </c>
      <c r="D22" s="4">
        <v>3162865.4240900706</v>
      </c>
      <c r="E22" s="4">
        <v>3339325.1420683665</v>
      </c>
      <c r="F22" s="4">
        <v>3609959.3930973513</v>
      </c>
      <c r="G22" s="4">
        <v>3871842.7477906393</v>
      </c>
      <c r="H22" s="1">
        <v>4204968.1933028996</v>
      </c>
      <c r="I22" s="1">
        <v>4581280.5718514323</v>
      </c>
      <c r="J22" s="1">
        <v>4996994.4649371132</v>
      </c>
      <c r="K22" s="1">
        <v>4691852.152809415</v>
      </c>
      <c r="L22" s="1">
        <v>3319117.6926942449</v>
      </c>
      <c r="M22" s="1">
        <v>5111998.2154346574</v>
      </c>
      <c r="N22" s="1">
        <v>5036483.5207525128</v>
      </c>
      <c r="O22" s="1">
        <v>5498499.5307705561</v>
      </c>
      <c r="P22" s="1">
        <v>5848054.1000789544</v>
      </c>
      <c r="Q22" s="7"/>
      <c r="R22" s="8"/>
      <c r="S22" s="8"/>
      <c r="T22" s="8"/>
      <c r="U22" s="8"/>
      <c r="V22" s="7"/>
      <c r="W22" s="8"/>
      <c r="X22" s="8"/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6"/>
      <c r="GJ22" s="6"/>
      <c r="GK22" s="6"/>
    </row>
    <row r="23" spans="1:194" ht="15.75" x14ac:dyDescent="0.25">
      <c r="A23" s="16">
        <v>7.3</v>
      </c>
      <c r="B23" s="17" t="s">
        <v>13</v>
      </c>
      <c r="C23" s="4">
        <v>79607.181029464322</v>
      </c>
      <c r="D23" s="4">
        <v>111835.51522587755</v>
      </c>
      <c r="E23" s="4">
        <v>89060.452373721462</v>
      </c>
      <c r="F23" s="4">
        <v>135394.31755821483</v>
      </c>
      <c r="G23" s="4">
        <v>132832.96047238074</v>
      </c>
      <c r="H23" s="1">
        <v>143819.44563277683</v>
      </c>
      <c r="I23" s="1">
        <v>157761.34088441968</v>
      </c>
      <c r="J23" s="1">
        <v>219617.53658600178</v>
      </c>
      <c r="K23" s="1">
        <v>232835.7893405162</v>
      </c>
      <c r="L23" s="1">
        <v>230677.00803220124</v>
      </c>
      <c r="M23" s="1">
        <v>335717.14128967444</v>
      </c>
      <c r="N23" s="1">
        <v>430136.62661749724</v>
      </c>
      <c r="O23" s="1">
        <v>510553.43424783216</v>
      </c>
      <c r="P23" s="1">
        <v>612064.31372577045</v>
      </c>
      <c r="Q23" s="7"/>
      <c r="R23" s="8"/>
      <c r="S23" s="8"/>
      <c r="T23" s="8"/>
      <c r="U23" s="8"/>
      <c r="V23" s="7"/>
      <c r="W23" s="8"/>
      <c r="X23" s="8"/>
      <c r="Y23" s="7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6"/>
      <c r="GJ23" s="6"/>
      <c r="GK23" s="6"/>
    </row>
    <row r="24" spans="1:194" ht="15.75" x14ac:dyDescent="0.25">
      <c r="A24" s="16">
        <v>7.4</v>
      </c>
      <c r="B24" s="17" t="s">
        <v>14</v>
      </c>
      <c r="C24" s="4">
        <v>26359.14173797339</v>
      </c>
      <c r="D24" s="4">
        <v>102998.89546454635</v>
      </c>
      <c r="E24" s="4">
        <v>72893.047618820216</v>
      </c>
      <c r="F24" s="4">
        <v>171329.59945347358</v>
      </c>
      <c r="G24" s="4">
        <v>368092.18381900521</v>
      </c>
      <c r="H24" s="1">
        <v>384050.63754630566</v>
      </c>
      <c r="I24" s="1">
        <v>365601.36534939095</v>
      </c>
      <c r="J24" s="1">
        <v>192101.36113685058</v>
      </c>
      <c r="K24" s="1">
        <v>313976.75973325677</v>
      </c>
      <c r="L24" s="1">
        <v>103247.7215300829</v>
      </c>
      <c r="M24" s="1">
        <v>132805.68330955502</v>
      </c>
      <c r="N24" s="1">
        <v>228644.63113336515</v>
      </c>
      <c r="O24" s="1">
        <v>215195.69127619924</v>
      </c>
      <c r="P24" s="1">
        <v>226519.13487026314</v>
      </c>
      <c r="Q24" s="7"/>
      <c r="R24" s="8"/>
      <c r="S24" s="8"/>
      <c r="T24" s="8"/>
      <c r="U24" s="8"/>
      <c r="V24" s="7"/>
      <c r="W24" s="8"/>
      <c r="X24" s="8"/>
      <c r="Y24" s="7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6"/>
      <c r="GJ24" s="6"/>
      <c r="GK24" s="6"/>
    </row>
    <row r="25" spans="1:194" ht="15.75" x14ac:dyDescent="0.25">
      <c r="A25" s="16">
        <v>7.5</v>
      </c>
      <c r="B25" s="17" t="s">
        <v>15</v>
      </c>
      <c r="C25" s="4">
        <v>731832.89543147862</v>
      </c>
      <c r="D25" s="4">
        <v>880333.18242450664</v>
      </c>
      <c r="E25" s="4">
        <v>791594.53212951298</v>
      </c>
      <c r="F25" s="4">
        <v>884793.16517594084</v>
      </c>
      <c r="G25" s="4">
        <v>957316.32661032141</v>
      </c>
      <c r="H25" s="1">
        <v>923011.08633728197</v>
      </c>
      <c r="I25" s="1">
        <v>963842.00176270411</v>
      </c>
      <c r="J25" s="1">
        <v>914039.91762734239</v>
      </c>
      <c r="K25" s="1">
        <v>860717.22763860621</v>
      </c>
      <c r="L25" s="1">
        <v>767569.74683629884</v>
      </c>
      <c r="M25" s="1">
        <v>1103958.3995441282</v>
      </c>
      <c r="N25" s="1">
        <v>1301979.7592996336</v>
      </c>
      <c r="O25" s="1">
        <v>1357041.0487951781</v>
      </c>
      <c r="P25" s="1">
        <v>1422049.4523498325</v>
      </c>
      <c r="Q25" s="7"/>
      <c r="R25" s="8"/>
      <c r="S25" s="8"/>
      <c r="T25" s="8"/>
      <c r="U25" s="8"/>
      <c r="V25" s="7"/>
      <c r="W25" s="8"/>
      <c r="X25" s="8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6"/>
      <c r="GJ25" s="6"/>
      <c r="GK25" s="6"/>
    </row>
    <row r="26" spans="1:194" ht="15.75" x14ac:dyDescent="0.25">
      <c r="A26" s="16">
        <v>7.6</v>
      </c>
      <c r="B26" s="17" t="s">
        <v>16</v>
      </c>
      <c r="C26" s="4">
        <v>79171.084761638806</v>
      </c>
      <c r="D26" s="4">
        <v>88245.2511130364</v>
      </c>
      <c r="E26" s="4">
        <v>97092</v>
      </c>
      <c r="F26" s="4">
        <v>106274</v>
      </c>
      <c r="G26" s="4">
        <v>109865.00000000001</v>
      </c>
      <c r="H26" s="1">
        <v>114589.00000000001</v>
      </c>
      <c r="I26" s="1">
        <v>127333</v>
      </c>
      <c r="J26" s="1">
        <v>387572.88063240662</v>
      </c>
      <c r="K26" s="1">
        <v>399960.33125579718</v>
      </c>
      <c r="L26" s="1">
        <v>410903.74769204966</v>
      </c>
      <c r="M26" s="1">
        <v>438325.01601412008</v>
      </c>
      <c r="N26" s="1">
        <v>498366.9542237625</v>
      </c>
      <c r="O26" s="1">
        <v>561473.28442357387</v>
      </c>
      <c r="P26" s="1">
        <v>634569.18821446982</v>
      </c>
      <c r="Q26" s="7"/>
      <c r="R26" s="8"/>
      <c r="S26" s="8"/>
      <c r="T26" s="8"/>
      <c r="U26" s="8"/>
      <c r="V26" s="7"/>
      <c r="W26" s="8"/>
      <c r="X26" s="8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6"/>
      <c r="GJ26" s="6"/>
      <c r="GK26" s="6"/>
    </row>
    <row r="27" spans="1:194" ht="30" x14ac:dyDescent="0.25">
      <c r="A27" s="16">
        <v>7.7</v>
      </c>
      <c r="B27" s="17" t="s">
        <v>17</v>
      </c>
      <c r="C27" s="4">
        <v>1288309</v>
      </c>
      <c r="D27" s="4">
        <v>1474544</v>
      </c>
      <c r="E27" s="4">
        <v>1636972</v>
      </c>
      <c r="F27" s="4">
        <v>1882584.9999999998</v>
      </c>
      <c r="G27" s="4">
        <v>2247264.4143160209</v>
      </c>
      <c r="H27" s="1">
        <v>2171049.7436224753</v>
      </c>
      <c r="I27" s="1">
        <v>1968280.6147805899</v>
      </c>
      <c r="J27" s="1">
        <v>1941248.3693100226</v>
      </c>
      <c r="K27" s="1">
        <v>2173837.021605223</v>
      </c>
      <c r="L27" s="1">
        <v>2334498.1705924077</v>
      </c>
      <c r="M27" s="1">
        <v>2793969.4633338721</v>
      </c>
      <c r="N27" s="1">
        <v>3310914.1911925711</v>
      </c>
      <c r="O27" s="1">
        <v>3670532.588725321</v>
      </c>
      <c r="P27" s="1">
        <v>4080883.6844366584</v>
      </c>
      <c r="Q27" s="7"/>
      <c r="R27" s="8"/>
      <c r="S27" s="8"/>
      <c r="T27" s="8"/>
      <c r="U27" s="8"/>
      <c r="V27" s="7"/>
      <c r="W27" s="8"/>
      <c r="X27" s="8"/>
      <c r="Y27" s="7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6"/>
      <c r="GJ27" s="6"/>
      <c r="GK27" s="6"/>
    </row>
    <row r="28" spans="1:194" ht="15.75" x14ac:dyDescent="0.25">
      <c r="A28" s="18" t="s">
        <v>37</v>
      </c>
      <c r="B28" s="17" t="s">
        <v>18</v>
      </c>
      <c r="C28" s="4">
        <v>11597555</v>
      </c>
      <c r="D28" s="4">
        <v>12680417</v>
      </c>
      <c r="E28" s="4">
        <v>14722526.999999998</v>
      </c>
      <c r="F28" s="4">
        <v>16105945.000000002</v>
      </c>
      <c r="G28" s="4">
        <v>17457397.981274333</v>
      </c>
      <c r="H28" s="1">
        <v>18373983.718618121</v>
      </c>
      <c r="I28" s="1">
        <v>19342403.243653804</v>
      </c>
      <c r="J28" s="1">
        <v>22193761</v>
      </c>
      <c r="K28" s="1">
        <v>24197855.580206923</v>
      </c>
      <c r="L28" s="1">
        <v>24900731.820381716</v>
      </c>
      <c r="M28" s="1">
        <v>27816064.798995953</v>
      </c>
      <c r="N28" s="1">
        <v>36224589.244923733</v>
      </c>
      <c r="O28" s="1">
        <v>39720196.310083203</v>
      </c>
      <c r="P28" s="1">
        <v>44339716.603872366</v>
      </c>
      <c r="Q28" s="7"/>
      <c r="R28" s="8"/>
      <c r="S28" s="8"/>
      <c r="T28" s="8"/>
      <c r="U28" s="8"/>
      <c r="V28" s="7"/>
      <c r="W28" s="8"/>
      <c r="X28" s="8"/>
      <c r="Y28" s="7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6"/>
      <c r="GJ28" s="6"/>
      <c r="GK28" s="6"/>
    </row>
    <row r="29" spans="1:194" ht="30" x14ac:dyDescent="0.25">
      <c r="A29" s="18" t="s">
        <v>38</v>
      </c>
      <c r="B29" s="17" t="s">
        <v>19</v>
      </c>
      <c r="C29" s="4">
        <v>14108745.317200001</v>
      </c>
      <c r="D29" s="4">
        <v>16546071.172042001</v>
      </c>
      <c r="E29" s="4">
        <v>19542890</v>
      </c>
      <c r="F29" s="4">
        <v>22817203.053271111</v>
      </c>
      <c r="G29" s="4">
        <v>26148575</v>
      </c>
      <c r="H29" s="1">
        <v>30494323</v>
      </c>
      <c r="I29" s="1">
        <v>33709434.312985241</v>
      </c>
      <c r="J29" s="1">
        <v>36724264.02132982</v>
      </c>
      <c r="K29" s="1">
        <v>41024490.157531366</v>
      </c>
      <c r="L29" s="1">
        <v>40935893.116541065</v>
      </c>
      <c r="M29" s="1">
        <v>49142052.915116549</v>
      </c>
      <c r="N29" s="1">
        <v>58951958.054329842</v>
      </c>
      <c r="O29" s="1">
        <v>67992536.350874454</v>
      </c>
      <c r="P29" s="1">
        <v>76655310.370855749</v>
      </c>
      <c r="Q29" s="7"/>
      <c r="R29" s="8"/>
      <c r="S29" s="8"/>
      <c r="T29" s="8"/>
      <c r="U29" s="8"/>
      <c r="V29" s="7"/>
      <c r="W29" s="8"/>
      <c r="X29" s="8"/>
      <c r="Y29" s="7"/>
      <c r="Z29" s="9"/>
      <c r="AA29" s="9"/>
      <c r="AB29" s="9"/>
      <c r="AC29" s="9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6"/>
      <c r="GJ29" s="6"/>
      <c r="GK29" s="6"/>
    </row>
    <row r="30" spans="1:194" ht="15.75" x14ac:dyDescent="0.25">
      <c r="A30" s="18" t="s">
        <v>39</v>
      </c>
      <c r="B30" s="17" t="s">
        <v>54</v>
      </c>
      <c r="C30" s="4">
        <v>2784350</v>
      </c>
      <c r="D30" s="4">
        <v>3131490</v>
      </c>
      <c r="E30" s="4">
        <v>3497226.9999999995</v>
      </c>
      <c r="F30" s="4">
        <v>3826962.9999999995</v>
      </c>
      <c r="G30" s="4">
        <v>4303969.9190994259</v>
      </c>
      <c r="H30" s="1">
        <v>4896439.3966884417</v>
      </c>
      <c r="I30" s="1">
        <v>5537720.8817362748</v>
      </c>
      <c r="J30" s="1">
        <v>6084042.5821491806</v>
      </c>
      <c r="K30" s="1">
        <v>7508669.1666474771</v>
      </c>
      <c r="L30" s="1">
        <v>7713833.4565991182</v>
      </c>
      <c r="M30" s="1">
        <v>8306786.6405098028</v>
      </c>
      <c r="N30" s="1">
        <v>10713368.898263391</v>
      </c>
      <c r="O30" s="1">
        <v>12621334.879040333</v>
      </c>
      <c r="P30" s="1">
        <v>14577086.590185167</v>
      </c>
      <c r="Q30" s="7"/>
      <c r="R30" s="8"/>
      <c r="S30" s="8"/>
      <c r="T30" s="8"/>
      <c r="U30" s="8"/>
      <c r="V30" s="7"/>
      <c r="W30" s="8"/>
      <c r="X30" s="8"/>
      <c r="Y30" s="7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6"/>
      <c r="GJ30" s="6"/>
      <c r="GK30" s="6"/>
    </row>
    <row r="31" spans="1:194" ht="15.75" x14ac:dyDescent="0.25">
      <c r="A31" s="18" t="s">
        <v>40</v>
      </c>
      <c r="B31" s="17" t="s">
        <v>20</v>
      </c>
      <c r="C31" s="4">
        <v>5840340</v>
      </c>
      <c r="D31" s="4">
        <v>6942444</v>
      </c>
      <c r="E31" s="4">
        <v>8102175</v>
      </c>
      <c r="F31" s="4">
        <v>9555238</v>
      </c>
      <c r="G31" s="4">
        <v>11037769</v>
      </c>
      <c r="H31" s="1">
        <v>12845963</v>
      </c>
      <c r="I31" s="1">
        <v>14466178.747545578</v>
      </c>
      <c r="J31" s="1">
        <v>15869000.00165165</v>
      </c>
      <c r="K31" s="1">
        <v>18556929.47901566</v>
      </c>
      <c r="L31" s="1">
        <v>15946578.737783303</v>
      </c>
      <c r="M31" s="1">
        <v>18661523.691265896</v>
      </c>
      <c r="N31" s="1">
        <v>22760624.72349263</v>
      </c>
      <c r="O31" s="1">
        <v>26034765.953973308</v>
      </c>
      <c r="P31" s="1">
        <v>29170631.30990757</v>
      </c>
      <c r="Q31" s="7"/>
      <c r="R31" s="8"/>
      <c r="S31" s="8"/>
      <c r="T31" s="8"/>
      <c r="U31" s="8"/>
      <c r="V31" s="7"/>
      <c r="W31" s="8"/>
      <c r="X31" s="8"/>
      <c r="Y31" s="7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6"/>
      <c r="GJ31" s="6"/>
      <c r="GK31" s="6"/>
    </row>
    <row r="32" spans="1:194" s="24" customFormat="1" ht="15.75" x14ac:dyDescent="0.25">
      <c r="A32" s="30"/>
      <c r="B32" s="31" t="s">
        <v>30</v>
      </c>
      <c r="C32" s="32">
        <f>C17+C20+C28+C29+C30+C31</f>
        <v>49597229.341994435</v>
      </c>
      <c r="D32" s="32">
        <f t="shared" ref="D32:O32" si="9">D17+D20+D28+D29+D30+D31</f>
        <v>57536118.636233017</v>
      </c>
      <c r="E32" s="32">
        <f t="shared" si="9"/>
        <v>65045253.685776576</v>
      </c>
      <c r="F32" s="32">
        <f t="shared" si="9"/>
        <v>73464070.445984408</v>
      </c>
      <c r="G32" s="32">
        <f t="shared" si="9"/>
        <v>81741814.533382118</v>
      </c>
      <c r="H32" s="32">
        <f t="shared" si="9"/>
        <v>92415921.137805372</v>
      </c>
      <c r="I32" s="32">
        <f t="shared" si="9"/>
        <v>101169887.08054945</v>
      </c>
      <c r="J32" s="32">
        <f t="shared" si="9"/>
        <v>112649228.13536039</v>
      </c>
      <c r="K32" s="32">
        <f t="shared" si="9"/>
        <v>124679596.66578424</v>
      </c>
      <c r="L32" s="32">
        <f t="shared" si="9"/>
        <v>115774328.97437696</v>
      </c>
      <c r="M32" s="32">
        <f t="shared" si="9"/>
        <v>137304225.94550145</v>
      </c>
      <c r="N32" s="32">
        <f t="shared" si="9"/>
        <v>168057063.88321918</v>
      </c>
      <c r="O32" s="32">
        <f t="shared" si="9"/>
        <v>189778601.91459203</v>
      </c>
      <c r="P32" s="32">
        <f t="shared" ref="P32" si="10">P17+P20+P28+P29+P30+P31</f>
        <v>212287389.43104118</v>
      </c>
      <c r="Q32" s="7"/>
      <c r="R32" s="8"/>
      <c r="S32" s="8"/>
      <c r="T32" s="8"/>
      <c r="U32" s="8"/>
      <c r="V32" s="7"/>
      <c r="W32" s="8"/>
      <c r="X32" s="8"/>
      <c r="Y32" s="7"/>
      <c r="Z32" s="8"/>
      <c r="AA32" s="8"/>
      <c r="AB32" s="8"/>
      <c r="AC32" s="8"/>
      <c r="AD32" s="8"/>
      <c r="AE32" s="8"/>
      <c r="AF32" s="8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29"/>
      <c r="GJ32" s="29"/>
      <c r="GK32" s="29"/>
    </row>
    <row r="33" spans="1:194" s="29" customFormat="1" ht="15.75" x14ac:dyDescent="0.25">
      <c r="A33" s="25" t="s">
        <v>27</v>
      </c>
      <c r="B33" s="36" t="s">
        <v>51</v>
      </c>
      <c r="C33" s="27">
        <f>C6+C11+C13+C14+C15+C17+C20+C28+C29+C30+C31</f>
        <v>99064369.78754209</v>
      </c>
      <c r="D33" s="27">
        <f t="shared" ref="D33:M33" si="11">D6+D11+D13+D14+D15+D17+D20+D28+D29+D30+D31</f>
        <v>111759277.75589816</v>
      </c>
      <c r="E33" s="27">
        <f t="shared" si="11"/>
        <v>126804106.74371938</v>
      </c>
      <c r="F33" s="27">
        <f t="shared" si="11"/>
        <v>136101582.50055078</v>
      </c>
      <c r="G33" s="27">
        <f t="shared" si="11"/>
        <v>148957060.42472786</v>
      </c>
      <c r="H33" s="27">
        <f t="shared" si="11"/>
        <v>166507380.98297366</v>
      </c>
      <c r="I33" s="27">
        <f t="shared" si="11"/>
        <v>179284529.37194982</v>
      </c>
      <c r="J33" s="27">
        <f t="shared" si="11"/>
        <v>191296324.91418615</v>
      </c>
      <c r="K33" s="27">
        <f t="shared" si="11"/>
        <v>202539346.22072855</v>
      </c>
      <c r="L33" s="27">
        <f t="shared" si="11"/>
        <v>198321986.0513162</v>
      </c>
      <c r="M33" s="27">
        <f t="shared" si="11"/>
        <v>239379833.14866132</v>
      </c>
      <c r="N33" s="27">
        <f t="shared" ref="N33:O33" si="12">N6+N11+N13+N14+N15+N17+N20+N28+N29+N30+N31</f>
        <v>273868611.41543013</v>
      </c>
      <c r="O33" s="27">
        <f t="shared" si="12"/>
        <v>302509788.82283366</v>
      </c>
      <c r="P33" s="27">
        <f t="shared" ref="P33" si="13">P6+P11+P13+P14+P15+P17+P20+P28+P29+P30+P31</f>
        <v>335686820.26297659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L33" s="24"/>
    </row>
    <row r="34" spans="1:194" s="24" customFormat="1" ht="15.75" x14ac:dyDescent="0.25">
      <c r="A34" s="37" t="s">
        <v>43</v>
      </c>
      <c r="B34" s="38" t="s">
        <v>25</v>
      </c>
      <c r="C34" s="32">
        <f>GSVA_cur!C34</f>
        <v>16208500</v>
      </c>
      <c r="D34" s="32">
        <f>GSVA_cur!D34</f>
        <v>19830400</v>
      </c>
      <c r="E34" s="32">
        <f>GSVA_cur!E34</f>
        <v>21632200</v>
      </c>
      <c r="F34" s="32">
        <f>GSVA_cur!F34</f>
        <v>22880797</v>
      </c>
      <c r="G34" s="32">
        <f>GSVA_cur!G34</f>
        <v>27668009.000000004</v>
      </c>
      <c r="H34" s="32">
        <f>GSVA_cur!H34</f>
        <v>31767545.000000007</v>
      </c>
      <c r="I34" s="32">
        <f>GSVA_cur!I34</f>
        <v>31520040.000000004</v>
      </c>
      <c r="J34" s="32">
        <f>GSVA_cur!J34</f>
        <v>34164248</v>
      </c>
      <c r="K34" s="32">
        <f>GSVA_cur!K34</f>
        <v>33868682.114041395</v>
      </c>
      <c r="L34" s="32">
        <f>GSVA_cur!L34</f>
        <v>32208986.262019049</v>
      </c>
      <c r="M34" s="32">
        <f>GSVA_cur!M34</f>
        <v>40977959.179671474</v>
      </c>
      <c r="N34" s="32">
        <f>GSVA_cur!N34</f>
        <v>51087262.224490561</v>
      </c>
      <c r="O34" s="32">
        <f>GSVA_cur!O34</f>
        <v>59178389.577391654</v>
      </c>
      <c r="P34" s="32">
        <f>GSVA_cur!P34</f>
        <v>68786351.026220933</v>
      </c>
      <c r="Q34" s="7"/>
      <c r="R34" s="8"/>
      <c r="S34" s="8"/>
      <c r="T34" s="8"/>
      <c r="U34" s="8"/>
      <c r="V34" s="7"/>
      <c r="W34" s="8"/>
      <c r="X34" s="8"/>
      <c r="Y34" s="7"/>
      <c r="Z34" s="8"/>
      <c r="AA34" s="8"/>
      <c r="AB34" s="8"/>
      <c r="AC34" s="8"/>
      <c r="AD34" s="8"/>
      <c r="AE34" s="8"/>
      <c r="AF34" s="8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</row>
    <row r="35" spans="1:194" s="24" customFormat="1" ht="15.75" x14ac:dyDescent="0.25">
      <c r="A35" s="37" t="s">
        <v>44</v>
      </c>
      <c r="B35" s="38" t="s">
        <v>24</v>
      </c>
      <c r="C35" s="32">
        <f>GSVA_cur!C35</f>
        <v>2613400</v>
      </c>
      <c r="D35" s="32">
        <f>GSVA_cur!D35</f>
        <v>3371700</v>
      </c>
      <c r="E35" s="32">
        <f>GSVA_cur!E35</f>
        <v>3564300</v>
      </c>
      <c r="F35" s="32">
        <f>GSVA_cur!F35</f>
        <v>3660712.0000000005</v>
      </c>
      <c r="G35" s="32">
        <f>GSVA_cur!G35</f>
        <v>3094319</v>
      </c>
      <c r="H35" s="32">
        <f>GSVA_cur!H35</f>
        <v>2797500</v>
      </c>
      <c r="I35" s="32">
        <f>GSVA_cur!I35</f>
        <v>2685076</v>
      </c>
      <c r="J35" s="32">
        <f>GSVA_cur!J35</f>
        <v>2955646</v>
      </c>
      <c r="K35" s="32">
        <f>GSVA_cur!K35</f>
        <v>3245110</v>
      </c>
      <c r="L35" s="32">
        <f>GSVA_cur!L35</f>
        <v>4359066</v>
      </c>
      <c r="M35" s="32">
        <f>GSVA_cur!M35</f>
        <v>5822433</v>
      </c>
      <c r="N35" s="32">
        <f>GSVA_cur!N35</f>
        <v>7124095.0000000009</v>
      </c>
      <c r="O35" s="32">
        <f>GSVA_cur!O35</f>
        <v>7891385.6932910522</v>
      </c>
      <c r="P35" s="32">
        <f>GSVA_cur!P35</f>
        <v>8741316.3581168819</v>
      </c>
      <c r="Q35" s="7"/>
      <c r="R35" s="8"/>
      <c r="S35" s="8"/>
      <c r="T35" s="8"/>
      <c r="U35" s="8"/>
      <c r="V35" s="7"/>
      <c r="W35" s="8"/>
      <c r="X35" s="8"/>
      <c r="Y35" s="7"/>
      <c r="Z35" s="8"/>
      <c r="AA35" s="8"/>
      <c r="AB35" s="8"/>
      <c r="AC35" s="8"/>
      <c r="AD35" s="8"/>
      <c r="AE35" s="8"/>
      <c r="AF35" s="8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</row>
    <row r="36" spans="1:194" s="24" customFormat="1" ht="15.75" x14ac:dyDescent="0.25">
      <c r="A36" s="37" t="s">
        <v>45</v>
      </c>
      <c r="B36" s="38" t="s">
        <v>63</v>
      </c>
      <c r="C36" s="32">
        <f>C33+C34-C35</f>
        <v>112659469.78754209</v>
      </c>
      <c r="D36" s="32">
        <f t="shared" ref="D36:O36" si="14">D33+D34-D35</f>
        <v>128217977.75589816</v>
      </c>
      <c r="E36" s="32">
        <f t="shared" si="14"/>
        <v>144872006.7437194</v>
      </c>
      <c r="F36" s="32">
        <f t="shared" si="14"/>
        <v>155321667.50055078</v>
      </c>
      <c r="G36" s="32">
        <f t="shared" si="14"/>
        <v>173530750.42472786</v>
      </c>
      <c r="H36" s="32">
        <f t="shared" si="14"/>
        <v>195477425.98297366</v>
      </c>
      <c r="I36" s="32">
        <f t="shared" si="14"/>
        <v>208119493.37194982</v>
      </c>
      <c r="J36" s="32">
        <f t="shared" si="14"/>
        <v>222504926.91418615</v>
      </c>
      <c r="K36" s="32">
        <f t="shared" si="14"/>
        <v>233162918.33476993</v>
      </c>
      <c r="L36" s="32">
        <f t="shared" si="14"/>
        <v>226171906.31333524</v>
      </c>
      <c r="M36" s="32">
        <f t="shared" si="14"/>
        <v>274535359.32833278</v>
      </c>
      <c r="N36" s="32">
        <f t="shared" si="14"/>
        <v>317831778.63992071</v>
      </c>
      <c r="O36" s="32">
        <f t="shared" si="14"/>
        <v>353796792.70693421</v>
      </c>
      <c r="P36" s="32">
        <f t="shared" ref="P36" si="15">P33+P34-P35</f>
        <v>395731854.93108064</v>
      </c>
      <c r="Q36" s="7"/>
      <c r="R36" s="8"/>
      <c r="S36" s="8"/>
      <c r="T36" s="8"/>
      <c r="U36" s="8"/>
      <c r="V36" s="7"/>
      <c r="W36" s="8"/>
      <c r="X36" s="8"/>
      <c r="Y36" s="7"/>
      <c r="Z36" s="8"/>
      <c r="AA36" s="8"/>
      <c r="AB36" s="8"/>
      <c r="AC36" s="8"/>
      <c r="AD36" s="8"/>
      <c r="AE36" s="8"/>
      <c r="AF36" s="8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</row>
    <row r="37" spans="1:194" s="24" customFormat="1" ht="15.75" x14ac:dyDescent="0.25">
      <c r="A37" s="37" t="s">
        <v>46</v>
      </c>
      <c r="B37" s="38" t="s">
        <v>42</v>
      </c>
      <c r="C37" s="32">
        <f>GSVA_cur!C37</f>
        <v>1131150</v>
      </c>
      <c r="D37" s="32">
        <f>GSVA_cur!D37</f>
        <v>1143860</v>
      </c>
      <c r="E37" s="32">
        <f>GSVA_cur!E37</f>
        <v>1156560</v>
      </c>
      <c r="F37" s="32">
        <f>GSVA_cur!F37</f>
        <v>1169270</v>
      </c>
      <c r="G37" s="32">
        <f>GSVA_cur!G37</f>
        <v>1181970</v>
      </c>
      <c r="H37" s="32">
        <f>GSVA_cur!H37</f>
        <v>1193930</v>
      </c>
      <c r="I37" s="32">
        <f>GSVA_cur!I37</f>
        <v>1205350</v>
      </c>
      <c r="J37" s="32">
        <f>GSVA_cur!J37</f>
        <v>1216770</v>
      </c>
      <c r="K37" s="32">
        <f>GSVA_cur!K37</f>
        <v>1228190</v>
      </c>
      <c r="L37" s="32">
        <f>GSVA_cur!L37</f>
        <v>1239610</v>
      </c>
      <c r="M37" s="32">
        <f>GSVA_cur!M37</f>
        <v>1250050</v>
      </c>
      <c r="N37" s="32">
        <f>GSVA_cur!N37</f>
        <v>1259790</v>
      </c>
      <c r="O37" s="32">
        <f>GSVA_cur!O37</f>
        <v>1269540</v>
      </c>
      <c r="P37" s="32">
        <f>GSVA_cur!P37</f>
        <v>1279280</v>
      </c>
      <c r="Q37" s="6"/>
      <c r="R37" s="2"/>
      <c r="S37" s="2"/>
      <c r="T37" s="2"/>
      <c r="U37" s="2"/>
      <c r="V37" s="6"/>
      <c r="W37" s="2"/>
      <c r="X37" s="2"/>
      <c r="Y37" s="6"/>
      <c r="Z37" s="6"/>
      <c r="AA37" s="6"/>
      <c r="AB37" s="6"/>
      <c r="AC37" s="6"/>
      <c r="AD37" s="2"/>
      <c r="AE37" s="2"/>
      <c r="AF37" s="2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</row>
    <row r="38" spans="1:194" s="24" customFormat="1" ht="15.75" x14ac:dyDescent="0.25">
      <c r="A38" s="37" t="s">
        <v>47</v>
      </c>
      <c r="B38" s="38" t="s">
        <v>64</v>
      </c>
      <c r="C38" s="32">
        <f>C36/C37*1000</f>
        <v>99597.285760104394</v>
      </c>
      <c r="D38" s="32">
        <f t="shared" ref="D38:O38" si="16">D36/D37*1000</f>
        <v>112092.36948219026</v>
      </c>
      <c r="E38" s="32">
        <f t="shared" si="16"/>
        <v>125261.12501186224</v>
      </c>
      <c r="F38" s="32">
        <f t="shared" si="16"/>
        <v>132836.44282377104</v>
      </c>
      <c r="G38" s="32">
        <f t="shared" si="16"/>
        <v>146814.85183611079</v>
      </c>
      <c r="H38" s="32">
        <f t="shared" si="16"/>
        <v>163726.03585048844</v>
      </c>
      <c r="I38" s="32">
        <f t="shared" si="16"/>
        <v>172663.1213937444</v>
      </c>
      <c r="J38" s="32">
        <f t="shared" si="16"/>
        <v>182865.23082767174</v>
      </c>
      <c r="K38" s="32">
        <f t="shared" si="16"/>
        <v>189842.71027672425</v>
      </c>
      <c r="L38" s="32">
        <f t="shared" si="16"/>
        <v>182454.08339182101</v>
      </c>
      <c r="M38" s="32">
        <f t="shared" si="16"/>
        <v>219619.50268255893</v>
      </c>
      <c r="N38" s="32">
        <f t="shared" si="16"/>
        <v>252289.49161361871</v>
      </c>
      <c r="O38" s="32">
        <f t="shared" si="16"/>
        <v>278681.09134563245</v>
      </c>
      <c r="P38" s="32">
        <f t="shared" ref="P38" si="17">P36/P37*1000</f>
        <v>309339.5151421742</v>
      </c>
      <c r="Q38" s="7"/>
      <c r="R38" s="2"/>
      <c r="S38" s="2"/>
      <c r="T38" s="2"/>
      <c r="U38" s="2"/>
      <c r="V38" s="6"/>
      <c r="W38" s="2"/>
      <c r="X38" s="2"/>
      <c r="Y38" s="7"/>
      <c r="Z38" s="7"/>
      <c r="AA38" s="7"/>
      <c r="AB38" s="7"/>
      <c r="AC38" s="7"/>
      <c r="AD38" s="2"/>
      <c r="AE38" s="2"/>
      <c r="AF38" s="2"/>
      <c r="CD38" s="33"/>
      <c r="CE38" s="33"/>
      <c r="CF38" s="33"/>
      <c r="CG38" s="33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</row>
    <row r="39" spans="1:194" x14ac:dyDescent="0.25">
      <c r="A39" s="2" t="s">
        <v>75</v>
      </c>
      <c r="C39" s="8"/>
      <c r="D39" s="8"/>
      <c r="E39" s="8"/>
      <c r="F39" s="8"/>
      <c r="G39" s="8"/>
      <c r="H39" s="7"/>
      <c r="I39" s="7"/>
      <c r="J39" s="7"/>
      <c r="K39" s="7"/>
      <c r="L39" s="7"/>
      <c r="M39" s="7"/>
      <c r="N39" s="7"/>
      <c r="O39" s="7"/>
      <c r="P39" s="7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23" orientation="landscape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H39"/>
  <sheetViews>
    <sheetView tabSelected="1" zoomScale="118" zoomScaleNormal="118" zoomScaleSheetLayoutView="100" workbookViewId="0">
      <pane xSplit="2" ySplit="5" topLeftCell="C6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3" width="14.42578125" style="2" customWidth="1"/>
    <col min="4" max="5" width="11" style="2" bestFit="1" customWidth="1"/>
    <col min="6" max="7" width="14.140625" style="2" bestFit="1" customWidth="1"/>
    <col min="8" max="8" width="14.140625" style="6" bestFit="1" customWidth="1"/>
    <col min="9" max="9" width="13.28515625" style="6" customWidth="1"/>
    <col min="10" max="10" width="14.140625" style="6" bestFit="1" customWidth="1"/>
    <col min="11" max="11" width="11" style="6" bestFit="1" customWidth="1"/>
    <col min="12" max="12" width="11.42578125" style="6" bestFit="1" customWidth="1"/>
    <col min="13" max="13" width="10.7109375" style="6" bestFit="1" customWidth="1"/>
    <col min="14" max="14" width="11.42578125" style="6" bestFit="1" customWidth="1"/>
    <col min="15" max="15" width="12.42578125" style="6" customWidth="1"/>
    <col min="16" max="16" width="12.5703125" style="6" customWidth="1"/>
    <col min="17" max="17" width="11.28515625" style="2" customWidth="1"/>
    <col min="18" max="18" width="11.7109375" style="6" customWidth="1"/>
    <col min="19" max="19" width="9.140625" style="2" customWidth="1"/>
    <col min="20" max="20" width="10.85546875" style="2" customWidth="1"/>
    <col min="21" max="21" width="10.85546875" style="6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6" customWidth="1"/>
    <col min="112" max="116" width="9.140625" style="6" hidden="1" customWidth="1"/>
    <col min="117" max="117" width="9.140625" style="6" customWidth="1"/>
    <col min="118" max="122" width="9.140625" style="6" hidden="1" customWidth="1"/>
    <col min="123" max="123" width="9.140625" style="6" customWidth="1"/>
    <col min="124" max="128" width="9.140625" style="6" hidden="1" customWidth="1"/>
    <col min="129" max="129" width="9.140625" style="6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21" t="s">
        <v>66</v>
      </c>
      <c r="T1" s="7"/>
    </row>
    <row r="2" spans="1:190" ht="15.75" x14ac:dyDescent="0.25">
      <c r="A2" s="11" t="s">
        <v>52</v>
      </c>
      <c r="I2" s="6" t="str">
        <f>[1]GSVA_cur!$I$3</f>
        <v>01.08.2025</v>
      </c>
    </row>
    <row r="3" spans="1:190" ht="15.75" x14ac:dyDescent="0.25">
      <c r="A3" s="11"/>
    </row>
    <row r="4" spans="1:190" ht="15.75" x14ac:dyDescent="0.25">
      <c r="A4" s="11"/>
      <c r="E4" s="10"/>
      <c r="F4" s="10" t="s">
        <v>57</v>
      </c>
      <c r="G4" s="10"/>
    </row>
    <row r="5" spans="1:190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3" t="s">
        <v>72</v>
      </c>
      <c r="N5" s="23" t="s">
        <v>73</v>
      </c>
      <c r="O5" s="23" t="s">
        <v>74</v>
      </c>
      <c r="P5" s="23" t="s">
        <v>76</v>
      </c>
    </row>
    <row r="6" spans="1:190" s="29" customFormat="1" ht="15.75" x14ac:dyDescent="0.25">
      <c r="A6" s="25" t="s">
        <v>26</v>
      </c>
      <c r="B6" s="26" t="s">
        <v>2</v>
      </c>
      <c r="C6" s="27">
        <f>SUM(C7:C10)</f>
        <v>14333114.559351496</v>
      </c>
      <c r="D6" s="27">
        <f t="shared" ref="D6:L6" si="0">SUM(D7:D10)</f>
        <v>14232889.825677402</v>
      </c>
      <c r="E6" s="27">
        <f t="shared" si="0"/>
        <v>16023523.532016536</v>
      </c>
      <c r="F6" s="27">
        <f t="shared" si="0"/>
        <v>14187138.094922535</v>
      </c>
      <c r="G6" s="27">
        <f t="shared" si="0"/>
        <v>13620699.838996068</v>
      </c>
      <c r="H6" s="27">
        <f t="shared" si="0"/>
        <v>16610740.234949872</v>
      </c>
      <c r="I6" s="27">
        <f t="shared" si="0"/>
        <v>16453114.562346766</v>
      </c>
      <c r="J6" s="27">
        <f t="shared" si="0"/>
        <v>16061838.614683934</v>
      </c>
      <c r="K6" s="27">
        <f t="shared" si="0"/>
        <v>17384549.206307929</v>
      </c>
      <c r="L6" s="27">
        <f t="shared" si="0"/>
        <v>19442122.664190713</v>
      </c>
      <c r="M6" s="27">
        <f t="shared" ref="M6:P6" si="1">SUM(M7:M10)</f>
        <v>20187276.249419097</v>
      </c>
      <c r="N6" s="27">
        <f t="shared" si="1"/>
        <v>20732374.718373057</v>
      </c>
      <c r="O6" s="27">
        <f t="shared" si="1"/>
        <v>21434810.896666262</v>
      </c>
      <c r="P6" s="27">
        <f t="shared" si="1"/>
        <v>23278247.318740476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H6" s="24"/>
    </row>
    <row r="7" spans="1:190" ht="15.75" x14ac:dyDescent="0.25">
      <c r="A7" s="16">
        <v>1.1000000000000001</v>
      </c>
      <c r="B7" s="17" t="s">
        <v>59</v>
      </c>
      <c r="C7" s="4">
        <v>9615251.85148599</v>
      </c>
      <c r="D7" s="4">
        <v>9395540.9497439023</v>
      </c>
      <c r="E7" s="4">
        <v>11205250.085753422</v>
      </c>
      <c r="F7" s="4">
        <v>9189037.3338560816</v>
      </c>
      <c r="G7" s="4">
        <v>8426242.0431405362</v>
      </c>
      <c r="H7" s="1">
        <v>10684081.721734785</v>
      </c>
      <c r="I7" s="1">
        <v>10069644.553544546</v>
      </c>
      <c r="J7" s="1">
        <v>9208646.5359843522</v>
      </c>
      <c r="K7" s="1">
        <v>9931136.6400725767</v>
      </c>
      <c r="L7" s="1">
        <v>11521021.270330148</v>
      </c>
      <c r="M7" s="1">
        <v>11894725.309758632</v>
      </c>
      <c r="N7" s="1">
        <v>12071087.721385367</v>
      </c>
      <c r="O7" s="1">
        <v>12108516.627766069</v>
      </c>
      <c r="P7" s="1">
        <v>13408745.695465954</v>
      </c>
      <c r="Q7" s="8"/>
      <c r="R7" s="7"/>
      <c r="S7" s="8"/>
      <c r="T7" s="8"/>
      <c r="U7" s="7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6"/>
      <c r="GF7" s="6"/>
      <c r="GG7" s="6"/>
    </row>
    <row r="8" spans="1:190" ht="15.75" x14ac:dyDescent="0.25">
      <c r="A8" s="16">
        <v>1.2</v>
      </c>
      <c r="B8" s="17" t="s">
        <v>60</v>
      </c>
      <c r="C8" s="4">
        <v>2815278.2889553881</v>
      </c>
      <c r="D8" s="4">
        <v>2920638.1875811941</v>
      </c>
      <c r="E8" s="4">
        <v>2950879.0666288454</v>
      </c>
      <c r="F8" s="4">
        <v>3067214.5434868853</v>
      </c>
      <c r="G8" s="4">
        <v>3216993.7192330677</v>
      </c>
      <c r="H8" s="1">
        <v>3588762.3631977485</v>
      </c>
      <c r="I8" s="1">
        <v>3896727.1927499771</v>
      </c>
      <c r="J8" s="1">
        <v>4205630.9488919526</v>
      </c>
      <c r="K8" s="1">
        <v>4393987.329768192</v>
      </c>
      <c r="L8" s="1">
        <v>4855326.1821897905</v>
      </c>
      <c r="M8" s="1">
        <v>5055014.6555913985</v>
      </c>
      <c r="N8" s="1">
        <v>5287135.2980253603</v>
      </c>
      <c r="O8" s="1">
        <v>5657764.4167327974</v>
      </c>
      <c r="P8" s="1">
        <v>5986790.751867068</v>
      </c>
      <c r="Q8" s="8"/>
      <c r="R8" s="7"/>
      <c r="S8" s="8"/>
      <c r="T8" s="8"/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6"/>
      <c r="GF8" s="6"/>
      <c r="GG8" s="6"/>
    </row>
    <row r="9" spans="1:190" ht="15.75" x14ac:dyDescent="0.25">
      <c r="A9" s="16">
        <v>1.3</v>
      </c>
      <c r="B9" s="17" t="s">
        <v>61</v>
      </c>
      <c r="C9" s="4">
        <v>1643455.2627154058</v>
      </c>
      <c r="D9" s="4">
        <v>1657747.4894233192</v>
      </c>
      <c r="E9" s="4">
        <v>1600752.8170584303</v>
      </c>
      <c r="F9" s="4">
        <v>1646591.6449627229</v>
      </c>
      <c r="G9" s="4">
        <v>1704182.4872176151</v>
      </c>
      <c r="H9" s="1">
        <v>2007765.0049234829</v>
      </c>
      <c r="I9" s="1">
        <v>2194611.3134432989</v>
      </c>
      <c r="J9" s="1">
        <v>2383214.1538308277</v>
      </c>
      <c r="K9" s="1">
        <v>2774325.7967551816</v>
      </c>
      <c r="L9" s="1">
        <v>2804863.6999049275</v>
      </c>
      <c r="M9" s="1">
        <v>2938571.5609222585</v>
      </c>
      <c r="N9" s="1">
        <v>3065242.8260674663</v>
      </c>
      <c r="O9" s="1">
        <v>3297739.7280960795</v>
      </c>
      <c r="P9" s="1">
        <v>3491021.0605195267</v>
      </c>
      <c r="Q9" s="8"/>
      <c r="R9" s="7"/>
      <c r="S9" s="8"/>
      <c r="T9" s="8"/>
      <c r="U9" s="7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6"/>
      <c r="GF9" s="6"/>
      <c r="GG9" s="6"/>
    </row>
    <row r="10" spans="1:190" ht="15.75" x14ac:dyDescent="0.25">
      <c r="A10" s="16">
        <v>1.4</v>
      </c>
      <c r="B10" s="17" t="s">
        <v>62</v>
      </c>
      <c r="C10" s="4">
        <v>259129.15619471355</v>
      </c>
      <c r="D10" s="4">
        <v>258963.1989289851</v>
      </c>
      <c r="E10" s="4">
        <v>266641.56257583841</v>
      </c>
      <c r="F10" s="4">
        <v>284294.57261684502</v>
      </c>
      <c r="G10" s="4">
        <v>273281.58940484957</v>
      </c>
      <c r="H10" s="1">
        <v>330131.1450938569</v>
      </c>
      <c r="I10" s="1">
        <v>292131.50260894292</v>
      </c>
      <c r="J10" s="1">
        <v>264346.97597680142</v>
      </c>
      <c r="K10" s="1">
        <v>285099.43971197587</v>
      </c>
      <c r="L10" s="1">
        <v>260911.51176584858</v>
      </c>
      <c r="M10" s="1">
        <v>298964.72314680577</v>
      </c>
      <c r="N10" s="1">
        <v>308908.87289486232</v>
      </c>
      <c r="O10" s="1">
        <v>370790.12407131377</v>
      </c>
      <c r="P10" s="1">
        <v>391689.81088792445</v>
      </c>
      <c r="Q10" s="8"/>
      <c r="R10" s="7"/>
      <c r="S10" s="8"/>
      <c r="T10" s="8"/>
      <c r="U10" s="7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6"/>
      <c r="GF10" s="6"/>
      <c r="GG10" s="6"/>
    </row>
    <row r="11" spans="1:190" ht="15.75" x14ac:dyDescent="0.25">
      <c r="A11" s="18" t="s">
        <v>31</v>
      </c>
      <c r="B11" s="17" t="s">
        <v>3</v>
      </c>
      <c r="C11" s="4">
        <v>4967405.0559997596</v>
      </c>
      <c r="D11" s="4">
        <v>5207347.5204406595</v>
      </c>
      <c r="E11" s="4">
        <v>3782942.7774949037</v>
      </c>
      <c r="F11" s="4">
        <v>4670549.7707566619</v>
      </c>
      <c r="G11" s="4">
        <v>5734332.8978025019</v>
      </c>
      <c r="H11" s="1">
        <v>5997145.5900445133</v>
      </c>
      <c r="I11" s="1">
        <v>6464033.9946776945</v>
      </c>
      <c r="J11" s="1">
        <v>6696400.2249422073</v>
      </c>
      <c r="K11" s="1">
        <v>6475293.7358690202</v>
      </c>
      <c r="L11" s="1">
        <v>6507112.438871596</v>
      </c>
      <c r="M11" s="1">
        <v>6652580.346869424</v>
      </c>
      <c r="N11" s="1">
        <v>7066690.8238266669</v>
      </c>
      <c r="O11" s="1">
        <v>7269759.8779896228</v>
      </c>
      <c r="P11" s="1">
        <v>7530849.0449630469</v>
      </c>
      <c r="Q11" s="8"/>
      <c r="R11" s="7"/>
      <c r="S11" s="8"/>
      <c r="T11" s="8"/>
      <c r="U11" s="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6"/>
      <c r="GF11" s="6"/>
      <c r="GG11" s="6"/>
    </row>
    <row r="12" spans="1:190" s="24" customFormat="1" ht="15.75" x14ac:dyDescent="0.25">
      <c r="A12" s="30"/>
      <c r="B12" s="31" t="s">
        <v>28</v>
      </c>
      <c r="C12" s="32">
        <f>C6+C11</f>
        <v>19300519.615351256</v>
      </c>
      <c r="D12" s="32">
        <f t="shared" ref="D12:L12" si="2">D6+D11</f>
        <v>19440237.346118063</v>
      </c>
      <c r="E12" s="32">
        <f t="shared" si="2"/>
        <v>19806466.309511438</v>
      </c>
      <c r="F12" s="32">
        <f t="shared" si="2"/>
        <v>18857687.865679197</v>
      </c>
      <c r="G12" s="32">
        <f t="shared" si="2"/>
        <v>19355032.73679857</v>
      </c>
      <c r="H12" s="32">
        <f t="shared" si="2"/>
        <v>22607885.824994385</v>
      </c>
      <c r="I12" s="32">
        <f t="shared" si="2"/>
        <v>22917148.55702446</v>
      </c>
      <c r="J12" s="32">
        <f t="shared" si="2"/>
        <v>22758238.839626141</v>
      </c>
      <c r="K12" s="32">
        <f t="shared" si="2"/>
        <v>23859842.942176949</v>
      </c>
      <c r="L12" s="32">
        <f t="shared" si="2"/>
        <v>25949235.103062309</v>
      </c>
      <c r="M12" s="32">
        <f t="shared" ref="M12:P12" si="3">M6+M11</f>
        <v>26839856.596288521</v>
      </c>
      <c r="N12" s="32">
        <f t="shared" si="3"/>
        <v>27799065.542199723</v>
      </c>
      <c r="O12" s="32">
        <f t="shared" si="3"/>
        <v>28704570.774655886</v>
      </c>
      <c r="P12" s="32">
        <f t="shared" si="3"/>
        <v>30809096.363703523</v>
      </c>
      <c r="Q12" s="8"/>
      <c r="R12" s="7"/>
      <c r="S12" s="8"/>
      <c r="T12" s="8"/>
      <c r="U12" s="7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29"/>
      <c r="GF12" s="29"/>
      <c r="GG12" s="29"/>
    </row>
    <row r="13" spans="1:190" s="6" customFormat="1" ht="15.75" x14ac:dyDescent="0.25">
      <c r="A13" s="14" t="s">
        <v>32</v>
      </c>
      <c r="B13" s="15" t="s">
        <v>4</v>
      </c>
      <c r="C13" s="1">
        <v>20680408.51339896</v>
      </c>
      <c r="D13" s="1">
        <v>22202071.44342763</v>
      </c>
      <c r="E13" s="1">
        <v>25047869.128499474</v>
      </c>
      <c r="F13" s="1">
        <v>26369106.120830916</v>
      </c>
      <c r="G13" s="1">
        <v>29626775.539731164</v>
      </c>
      <c r="H13" s="1">
        <v>32190588.823639281</v>
      </c>
      <c r="I13" s="1">
        <v>32874648.84243501</v>
      </c>
      <c r="J13" s="1">
        <v>32612497.402525716</v>
      </c>
      <c r="K13" s="1">
        <v>29738255.222453143</v>
      </c>
      <c r="L13" s="1">
        <v>27342817.164921481</v>
      </c>
      <c r="M13" s="1">
        <v>30520225.388743654</v>
      </c>
      <c r="N13" s="1">
        <v>29705461.124725658</v>
      </c>
      <c r="O13" s="1">
        <v>31739010.023708753</v>
      </c>
      <c r="P13" s="1">
        <v>33075094.549878519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H13" s="2"/>
    </row>
    <row r="14" spans="1:190" ht="30" x14ac:dyDescent="0.25">
      <c r="A14" s="18" t="s">
        <v>33</v>
      </c>
      <c r="B14" s="17" t="s">
        <v>5</v>
      </c>
      <c r="C14" s="4">
        <v>1802120.3046742918</v>
      </c>
      <c r="D14" s="4">
        <v>1865379.1052313379</v>
      </c>
      <c r="E14" s="4">
        <v>1431610.4285701772</v>
      </c>
      <c r="F14" s="4">
        <v>1905721.1842370012</v>
      </c>
      <c r="G14" s="4">
        <v>2025273.2279127024</v>
      </c>
      <c r="H14" s="1">
        <v>2152358.1111202147</v>
      </c>
      <c r="I14" s="1">
        <v>2271375.0369843612</v>
      </c>
      <c r="J14" s="1">
        <v>2211545.1169846216</v>
      </c>
      <c r="K14" s="1">
        <v>2237474.3236239245</v>
      </c>
      <c r="L14" s="1">
        <v>2038460.3885388901</v>
      </c>
      <c r="M14" s="1">
        <v>2431544.1616414259</v>
      </c>
      <c r="N14" s="1">
        <v>3213502.6417715405</v>
      </c>
      <c r="O14" s="1">
        <v>3472292.0879636891</v>
      </c>
      <c r="P14" s="1">
        <v>3697348.3809241988</v>
      </c>
      <c r="Q14" s="8"/>
      <c r="R14" s="7"/>
      <c r="S14" s="8"/>
      <c r="T14" s="8"/>
      <c r="U14" s="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7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7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7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6"/>
      <c r="GF14" s="6"/>
      <c r="GG14" s="6"/>
    </row>
    <row r="15" spans="1:190" ht="15.75" x14ac:dyDescent="0.25">
      <c r="A15" s="18" t="s">
        <v>34</v>
      </c>
      <c r="B15" s="17" t="s">
        <v>6</v>
      </c>
      <c r="C15" s="4">
        <v>7684092.0121231396</v>
      </c>
      <c r="D15" s="4">
        <v>7339587.9999564746</v>
      </c>
      <c r="E15" s="4">
        <v>7492868.9394345665</v>
      </c>
      <c r="F15" s="4">
        <v>8129253.3486244753</v>
      </c>
      <c r="G15" s="4">
        <v>8291159.2829244258</v>
      </c>
      <c r="H15" s="1">
        <v>8690178.796038717</v>
      </c>
      <c r="I15" s="1">
        <v>8800999.3493274618</v>
      </c>
      <c r="J15" s="1">
        <v>9051102.5147813931</v>
      </c>
      <c r="K15" s="1">
        <v>8961477.8214986715</v>
      </c>
      <c r="L15" s="1">
        <v>8326651.300820292</v>
      </c>
      <c r="M15" s="1">
        <v>11131726.445858652</v>
      </c>
      <c r="N15" s="1">
        <v>12305247.346497038</v>
      </c>
      <c r="O15" s="1">
        <v>13009700.013439395</v>
      </c>
      <c r="P15" s="1">
        <v>13891936.6504723</v>
      </c>
      <c r="Q15" s="8"/>
      <c r="R15" s="7"/>
      <c r="S15" s="8"/>
      <c r="T15" s="8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7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7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7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6"/>
      <c r="GF15" s="6"/>
      <c r="GG15" s="6"/>
    </row>
    <row r="16" spans="1:190" s="24" customFormat="1" ht="15.75" x14ac:dyDescent="0.25">
      <c r="A16" s="30"/>
      <c r="B16" s="31" t="s">
        <v>29</v>
      </c>
      <c r="C16" s="32">
        <f>+C13+C14+C15</f>
        <v>30166620.830196388</v>
      </c>
      <c r="D16" s="32">
        <f t="shared" ref="D16:I16" si="4">+D13+D14+D15</f>
        <v>31407038.548615441</v>
      </c>
      <c r="E16" s="32">
        <f t="shared" si="4"/>
        <v>33972348.496504217</v>
      </c>
      <c r="F16" s="32">
        <f t="shared" si="4"/>
        <v>36404080.653692394</v>
      </c>
      <c r="G16" s="32">
        <f t="shared" si="4"/>
        <v>39943208.05056829</v>
      </c>
      <c r="H16" s="32">
        <f t="shared" si="4"/>
        <v>43033125.730798215</v>
      </c>
      <c r="I16" s="32">
        <f t="shared" si="4"/>
        <v>43947023.228746831</v>
      </c>
      <c r="J16" s="32">
        <f t="shared" ref="J16" si="5">+J13+J14+J15</f>
        <v>43875145.034291729</v>
      </c>
      <c r="K16" s="32">
        <f t="shared" ref="K16:L16" si="6">+K13+K14+K15</f>
        <v>40937207.367575742</v>
      </c>
      <c r="L16" s="32">
        <f t="shared" si="6"/>
        <v>37707928.854280666</v>
      </c>
      <c r="M16" s="32">
        <f t="shared" ref="M16:O16" si="7">+M13+M14+M15</f>
        <v>44083495.99624373</v>
      </c>
      <c r="N16" s="32">
        <f t="shared" si="7"/>
        <v>45224211.112994239</v>
      </c>
      <c r="O16" s="32">
        <f t="shared" si="7"/>
        <v>48221002.125111841</v>
      </c>
      <c r="P16" s="32">
        <f t="shared" ref="P16" si="8">+P13+P14+P15</f>
        <v>50664379.581275016</v>
      </c>
      <c r="Q16" s="8"/>
      <c r="R16" s="7"/>
      <c r="S16" s="8"/>
      <c r="T16" s="8"/>
      <c r="U16" s="7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28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28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28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29"/>
      <c r="GF16" s="29"/>
      <c r="GG16" s="29"/>
    </row>
    <row r="17" spans="1:190" s="29" customFormat="1" ht="15.75" x14ac:dyDescent="0.25">
      <c r="A17" s="25" t="s">
        <v>35</v>
      </c>
      <c r="B17" s="26" t="s">
        <v>7</v>
      </c>
      <c r="C17" s="27">
        <f>C18+C19</f>
        <v>9806128.4138610363</v>
      </c>
      <c r="D17" s="27">
        <f t="shared" ref="D17:I17" si="9">D18+D19</f>
        <v>10815261.933889071</v>
      </c>
      <c r="E17" s="27">
        <f t="shared" si="9"/>
        <v>10552207.410305578</v>
      </c>
      <c r="F17" s="27">
        <f t="shared" si="9"/>
        <v>10834142.42609014</v>
      </c>
      <c r="G17" s="27">
        <f t="shared" si="9"/>
        <v>10801809.392670158</v>
      </c>
      <c r="H17" s="27">
        <f t="shared" si="9"/>
        <v>12133467.378223112</v>
      </c>
      <c r="I17" s="27">
        <f t="shared" si="9"/>
        <v>12974443.590643276</v>
      </c>
      <c r="J17" s="27">
        <f t="shared" ref="J17" si="10">J18+J19</f>
        <v>14788820.667601509</v>
      </c>
      <c r="K17" s="27">
        <f t="shared" ref="K17:L17" si="11">K18+K19</f>
        <v>15161796.334131105</v>
      </c>
      <c r="L17" s="27">
        <f t="shared" si="11"/>
        <v>10631382.020027651</v>
      </c>
      <c r="M17" s="27">
        <f t="shared" ref="M17:O17" si="12">M18+M19</f>
        <v>12595027.680900745</v>
      </c>
      <c r="N17" s="27">
        <f t="shared" si="12"/>
        <v>14482235.102493022</v>
      </c>
      <c r="O17" s="27">
        <f t="shared" si="12"/>
        <v>15246014.198808903</v>
      </c>
      <c r="P17" s="27">
        <f t="shared" ref="P17" si="13">P18+P19</f>
        <v>16042849.901938811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H17" s="24"/>
    </row>
    <row r="18" spans="1:190" ht="15.75" x14ac:dyDescent="0.25">
      <c r="A18" s="16">
        <v>6.1</v>
      </c>
      <c r="B18" s="17" t="s">
        <v>8</v>
      </c>
      <c r="C18" s="4">
        <v>8749449.2719866447</v>
      </c>
      <c r="D18" s="4">
        <v>9738968.206808541</v>
      </c>
      <c r="E18" s="4">
        <v>9480942.9664544258</v>
      </c>
      <c r="F18" s="4">
        <v>9775912.6453060787</v>
      </c>
      <c r="G18" s="4">
        <v>9699388.0265759565</v>
      </c>
      <c r="H18" s="1">
        <v>10966921.582502266</v>
      </c>
      <c r="I18" s="1">
        <v>11729691.394453878</v>
      </c>
      <c r="J18" s="1">
        <v>13439250.63016705</v>
      </c>
      <c r="K18" s="1">
        <v>13755554.43558461</v>
      </c>
      <c r="L18" s="1">
        <v>10146517.46699567</v>
      </c>
      <c r="M18" s="1">
        <v>11832945.868550936</v>
      </c>
      <c r="N18" s="1">
        <v>13147188.648268219</v>
      </c>
      <c r="O18" s="1">
        <v>13831359.99521134</v>
      </c>
      <c r="P18" s="1">
        <v>14535751.3331117</v>
      </c>
      <c r="Q18" s="8"/>
      <c r="R18" s="7"/>
      <c r="S18" s="8"/>
      <c r="T18" s="8"/>
      <c r="U18" s="7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6"/>
      <c r="GF18" s="6"/>
      <c r="GG18" s="6"/>
    </row>
    <row r="19" spans="1:190" ht="15.75" x14ac:dyDescent="0.25">
      <c r="A19" s="16">
        <v>6.2</v>
      </c>
      <c r="B19" s="17" t="s">
        <v>9</v>
      </c>
      <c r="C19" s="4">
        <v>1056679.1418743921</v>
      </c>
      <c r="D19" s="4">
        <v>1076293.7270805303</v>
      </c>
      <c r="E19" s="4">
        <v>1071264.4438511531</v>
      </c>
      <c r="F19" s="4">
        <v>1058229.7807840616</v>
      </c>
      <c r="G19" s="4">
        <v>1102421.3660942018</v>
      </c>
      <c r="H19" s="1">
        <v>1166545.7957208462</v>
      </c>
      <c r="I19" s="1">
        <v>1244752.1961893984</v>
      </c>
      <c r="J19" s="1">
        <v>1349570.037434459</v>
      </c>
      <c r="K19" s="1">
        <v>1406241.8985464943</v>
      </c>
      <c r="L19" s="1">
        <v>484864.55303198181</v>
      </c>
      <c r="M19" s="1">
        <v>762081.81234980957</v>
      </c>
      <c r="N19" s="1">
        <v>1335046.4542248016</v>
      </c>
      <c r="O19" s="1">
        <v>1414654.2035975619</v>
      </c>
      <c r="P19" s="1">
        <v>1507098.5688271106</v>
      </c>
      <c r="Q19" s="8"/>
      <c r="R19" s="7"/>
      <c r="S19" s="8"/>
      <c r="T19" s="8"/>
      <c r="U19" s="7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6"/>
      <c r="GF19" s="6"/>
      <c r="GG19" s="6"/>
    </row>
    <row r="20" spans="1:190" s="29" customFormat="1" ht="30" x14ac:dyDescent="0.25">
      <c r="A20" s="34" t="s">
        <v>36</v>
      </c>
      <c r="B20" s="35" t="s">
        <v>10</v>
      </c>
      <c r="C20" s="27">
        <f>SUM(C21:C27)</f>
        <v>5460110.6109334026</v>
      </c>
      <c r="D20" s="27">
        <f t="shared" ref="D20:L20" si="14">SUM(D21:D27)</f>
        <v>5901333.2631450072</v>
      </c>
      <c r="E20" s="27">
        <f t="shared" si="14"/>
        <v>5999042.7407248383</v>
      </c>
      <c r="F20" s="27">
        <f t="shared" si="14"/>
        <v>6741028.0496316627</v>
      </c>
      <c r="G20" s="27">
        <f t="shared" si="14"/>
        <v>7736324.2537921164</v>
      </c>
      <c r="H20" s="27">
        <f t="shared" si="14"/>
        <v>8148636.8742051981</v>
      </c>
      <c r="I20" s="27">
        <f t="shared" si="14"/>
        <v>8405528.3828772977</v>
      </c>
      <c r="J20" s="27">
        <f t="shared" si="14"/>
        <v>8901904.5084119458</v>
      </c>
      <c r="K20" s="27">
        <f t="shared" si="14"/>
        <v>9828811.4379127901</v>
      </c>
      <c r="L20" s="27">
        <f t="shared" si="14"/>
        <v>6692861.03664097</v>
      </c>
      <c r="M20" s="27">
        <f t="shared" ref="M20:P20" si="15">SUM(M21:M27)</f>
        <v>8857080.4277355596</v>
      </c>
      <c r="N20" s="27">
        <f t="shared" si="15"/>
        <v>9585156.6475755293</v>
      </c>
      <c r="O20" s="27">
        <f t="shared" si="15"/>
        <v>10130404.767550962</v>
      </c>
      <c r="P20" s="27">
        <f t="shared" si="15"/>
        <v>10694965.961645475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H20" s="24"/>
    </row>
    <row r="21" spans="1:190" ht="15.75" x14ac:dyDescent="0.25">
      <c r="A21" s="16">
        <v>7.1</v>
      </c>
      <c r="B21" s="17" t="s">
        <v>11</v>
      </c>
      <c r="C21" s="4">
        <v>512534</v>
      </c>
      <c r="D21" s="4">
        <v>532800</v>
      </c>
      <c r="E21" s="4">
        <v>541617</v>
      </c>
      <c r="F21" s="4">
        <v>607796</v>
      </c>
      <c r="G21" s="4">
        <v>644102.46193102817</v>
      </c>
      <c r="H21" s="1">
        <v>736325.81894737331</v>
      </c>
      <c r="I21" s="1">
        <v>848135.22520428663</v>
      </c>
      <c r="J21" s="1">
        <v>813395.4304519376</v>
      </c>
      <c r="K21" s="1">
        <v>603524.51222218643</v>
      </c>
      <c r="L21" s="1">
        <v>487066.7618240068</v>
      </c>
      <c r="M21" s="1">
        <v>557438.49692328845</v>
      </c>
      <c r="N21" s="1">
        <v>660713.39149183279</v>
      </c>
      <c r="O21" s="1">
        <v>690667.36456455255</v>
      </c>
      <c r="P21" s="1">
        <v>721979.79946190771</v>
      </c>
      <c r="Q21" s="8"/>
      <c r="R21" s="7"/>
      <c r="S21" s="8"/>
      <c r="T21" s="8"/>
      <c r="U21" s="7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6"/>
      <c r="GF21" s="6"/>
      <c r="GG21" s="6"/>
    </row>
    <row r="22" spans="1:190" ht="15.75" x14ac:dyDescent="0.25">
      <c r="A22" s="16">
        <v>7.2</v>
      </c>
      <c r="B22" s="17" t="s">
        <v>12</v>
      </c>
      <c r="C22" s="4">
        <v>2742297.3079728484</v>
      </c>
      <c r="D22" s="4">
        <v>2928953.5678943992</v>
      </c>
      <c r="E22" s="4">
        <v>3059826.6850225949</v>
      </c>
      <c r="F22" s="4">
        <v>3307955.5191010544</v>
      </c>
      <c r="G22" s="4">
        <v>3650627.1087824199</v>
      </c>
      <c r="H22" s="1">
        <v>3998298.9467853964</v>
      </c>
      <c r="I22" s="1">
        <v>4311117.7606819412</v>
      </c>
      <c r="J22" s="1">
        <v>4804702.2567117335</v>
      </c>
      <c r="K22" s="1">
        <v>5231872.8799397023</v>
      </c>
      <c r="L22" s="1">
        <v>3402177.8861928624</v>
      </c>
      <c r="M22" s="1">
        <v>4934092.4371935027</v>
      </c>
      <c r="N22" s="1">
        <v>5193370.9207461756</v>
      </c>
      <c r="O22" s="1">
        <v>5422114.4878608892</v>
      </c>
      <c r="P22" s="1">
        <v>5648998.4618995991</v>
      </c>
      <c r="Q22" s="8"/>
      <c r="R22" s="7"/>
      <c r="S22" s="8"/>
      <c r="T22" s="8"/>
      <c r="U22" s="7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6"/>
      <c r="GF22" s="6"/>
      <c r="GG22" s="6"/>
    </row>
    <row r="23" spans="1:190" ht="15.75" x14ac:dyDescent="0.25">
      <c r="A23" s="16">
        <v>7.3</v>
      </c>
      <c r="B23" s="17" t="s">
        <v>13</v>
      </c>
      <c r="C23" s="4">
        <v>79607.181029464322</v>
      </c>
      <c r="D23" s="4">
        <v>100221.30187018761</v>
      </c>
      <c r="E23" s="4">
        <v>72179.360924992376</v>
      </c>
      <c r="F23" s="4">
        <v>105779.13215964145</v>
      </c>
      <c r="G23" s="4">
        <v>104791.20900397711</v>
      </c>
      <c r="H23" s="1">
        <v>111883.33770026389</v>
      </c>
      <c r="I23" s="1">
        <v>117499.44548155613</v>
      </c>
      <c r="J23" s="1">
        <v>171206.732261308</v>
      </c>
      <c r="K23" s="1">
        <v>204621.37309423741</v>
      </c>
      <c r="L23" s="1">
        <v>164197.61909965819</v>
      </c>
      <c r="M23" s="1">
        <v>216742.65107055174</v>
      </c>
      <c r="N23" s="1">
        <v>266599.08652311075</v>
      </c>
      <c r="O23" s="1">
        <v>314956.35872592294</v>
      </c>
      <c r="P23" s="1">
        <v>368092.31352650095</v>
      </c>
      <c r="Q23" s="8"/>
      <c r="R23" s="7"/>
      <c r="S23" s="8"/>
      <c r="T23" s="8"/>
      <c r="U23" s="7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6"/>
      <c r="GF23" s="6"/>
      <c r="GG23" s="6"/>
    </row>
    <row r="24" spans="1:190" ht="15.75" x14ac:dyDescent="0.25">
      <c r="A24" s="16">
        <v>7.4</v>
      </c>
      <c r="B24" s="17" t="s">
        <v>14</v>
      </c>
      <c r="C24" s="4">
        <v>26359.14173797339</v>
      </c>
      <c r="D24" s="4">
        <v>91856.574423373138</v>
      </c>
      <c r="E24" s="4">
        <v>57896.306700914043</v>
      </c>
      <c r="F24" s="4">
        <v>135083.12856520867</v>
      </c>
      <c r="G24" s="4">
        <v>305182.20173803205</v>
      </c>
      <c r="H24" s="1">
        <v>309022.04495088855</v>
      </c>
      <c r="I24" s="1">
        <v>281575.46546561836</v>
      </c>
      <c r="J24" s="1">
        <v>149756.01135709099</v>
      </c>
      <c r="K24" s="1">
        <v>275929.89839865157</v>
      </c>
      <c r="L24" s="1">
        <v>73492.500172958622</v>
      </c>
      <c r="M24" s="1">
        <v>85740.798837888855</v>
      </c>
      <c r="N24" s="1">
        <v>141714.15784309577</v>
      </c>
      <c r="O24" s="1">
        <v>132752.51284463835</v>
      </c>
      <c r="P24" s="1">
        <v>136227.43646801508</v>
      </c>
      <c r="Q24" s="8"/>
      <c r="R24" s="7"/>
      <c r="S24" s="8"/>
      <c r="T24" s="8"/>
      <c r="U24" s="7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6"/>
      <c r="GF24" s="6"/>
      <c r="GG24" s="6"/>
    </row>
    <row r="25" spans="1:190" ht="15.75" x14ac:dyDescent="0.25">
      <c r="A25" s="16">
        <v>7.5</v>
      </c>
      <c r="B25" s="17" t="s">
        <v>15</v>
      </c>
      <c r="C25" s="4">
        <v>731832.89543147862</v>
      </c>
      <c r="D25" s="4">
        <v>818408.97599098156</v>
      </c>
      <c r="E25" s="4">
        <v>826600.55356920802</v>
      </c>
      <c r="F25" s="4">
        <v>935286.83576578915</v>
      </c>
      <c r="G25" s="4">
        <v>1041550.1535003626</v>
      </c>
      <c r="H25" s="1">
        <v>1142495.4758712118</v>
      </c>
      <c r="I25" s="1">
        <v>1241745.979553534</v>
      </c>
      <c r="J25" s="1">
        <v>1270873.8879772548</v>
      </c>
      <c r="K25" s="1">
        <v>1415563.0734209765</v>
      </c>
      <c r="L25" s="1">
        <v>900684.37504542561</v>
      </c>
      <c r="M25" s="1">
        <v>1295462.6098006277</v>
      </c>
      <c r="N25" s="1">
        <v>1383816.566541045</v>
      </c>
      <c r="O25" s="1">
        <v>1450649.0635355413</v>
      </c>
      <c r="P25" s="1">
        <v>1521026.8823739395</v>
      </c>
      <c r="Q25" s="8"/>
      <c r="R25" s="7"/>
      <c r="S25" s="8"/>
      <c r="T25" s="8"/>
      <c r="U25" s="7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6"/>
      <c r="GF25" s="6"/>
      <c r="GG25" s="6"/>
    </row>
    <row r="26" spans="1:190" ht="15.75" x14ac:dyDescent="0.25">
      <c r="A26" s="16">
        <v>7.6</v>
      </c>
      <c r="B26" s="17" t="s">
        <v>16</v>
      </c>
      <c r="C26" s="4">
        <v>79171.084761638806</v>
      </c>
      <c r="D26" s="4">
        <v>81095.531014058317</v>
      </c>
      <c r="E26" s="4">
        <v>83781.616724738677</v>
      </c>
      <c r="F26" s="4">
        <v>87806.838063439078</v>
      </c>
      <c r="G26" s="4">
        <v>87459.265572971664</v>
      </c>
      <c r="H26" s="1">
        <v>87013.088345085023</v>
      </c>
      <c r="I26" s="1">
        <v>92408.512367258125</v>
      </c>
      <c r="J26" s="1">
        <v>270904.04598103091</v>
      </c>
      <c r="K26" s="1">
        <v>297425.48173309636</v>
      </c>
      <c r="L26" s="1">
        <v>253762.27595899333</v>
      </c>
      <c r="M26" s="1">
        <v>257428.76920116952</v>
      </c>
      <c r="N26" s="1">
        <v>276087.94655851717</v>
      </c>
      <c r="O26" s="1">
        <v>301972.82572894479</v>
      </c>
      <c r="P26" s="1">
        <v>330713.22129470325</v>
      </c>
      <c r="Q26" s="8"/>
      <c r="R26" s="7"/>
      <c r="S26" s="8"/>
      <c r="T26" s="8"/>
      <c r="U26" s="7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6"/>
      <c r="GF26" s="6"/>
      <c r="GG26" s="6"/>
    </row>
    <row r="27" spans="1:190" ht="30" x14ac:dyDescent="0.25">
      <c r="A27" s="16">
        <v>7.7</v>
      </c>
      <c r="B27" s="17" t="s">
        <v>17</v>
      </c>
      <c r="C27" s="4">
        <v>1288309</v>
      </c>
      <c r="D27" s="4">
        <v>1347997.3119520075</v>
      </c>
      <c r="E27" s="4">
        <v>1357141.2177823905</v>
      </c>
      <c r="F27" s="4">
        <v>1561320.5959765296</v>
      </c>
      <c r="G27" s="4">
        <v>1902611.8532633241</v>
      </c>
      <c r="H27" s="1">
        <v>1763598.1616049786</v>
      </c>
      <c r="I27" s="1">
        <v>1513045.9941231031</v>
      </c>
      <c r="J27" s="1">
        <v>1421066.1436715904</v>
      </c>
      <c r="K27" s="1">
        <v>1799874.2191039396</v>
      </c>
      <c r="L27" s="1">
        <v>1411479.618347066</v>
      </c>
      <c r="M27" s="1">
        <v>1510174.6647085308</v>
      </c>
      <c r="N27" s="1">
        <v>1662854.5778717503</v>
      </c>
      <c r="O27" s="1">
        <v>1817292.1542904733</v>
      </c>
      <c r="P27" s="1">
        <v>1967927.8466208095</v>
      </c>
      <c r="Q27" s="8"/>
      <c r="R27" s="7"/>
      <c r="S27" s="8"/>
      <c r="T27" s="8"/>
      <c r="U27" s="7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6"/>
      <c r="GF27" s="6"/>
      <c r="GG27" s="6"/>
    </row>
    <row r="28" spans="1:190" ht="15.75" x14ac:dyDescent="0.25">
      <c r="A28" s="18" t="s">
        <v>37</v>
      </c>
      <c r="B28" s="17" t="s">
        <v>18</v>
      </c>
      <c r="C28" s="4">
        <v>11597555</v>
      </c>
      <c r="D28" s="4">
        <v>12518415</v>
      </c>
      <c r="E28" s="4">
        <v>14199385.999999998</v>
      </c>
      <c r="F28" s="4">
        <v>15292917.000000002</v>
      </c>
      <c r="G28" s="4">
        <v>16192759.852627747</v>
      </c>
      <c r="H28" s="1">
        <v>17067426.996166356</v>
      </c>
      <c r="I28" s="1">
        <v>17531616.491960652</v>
      </c>
      <c r="J28" s="1">
        <v>17859041.76895716</v>
      </c>
      <c r="K28" s="1">
        <v>18449515.441728551</v>
      </c>
      <c r="L28" s="1">
        <v>18866872.889196012</v>
      </c>
      <c r="M28" s="1">
        <v>19671187.280053969</v>
      </c>
      <c r="N28" s="1">
        <v>22371165.447549354</v>
      </c>
      <c r="O28" s="1">
        <v>23933162.543456994</v>
      </c>
      <c r="P28" s="1">
        <v>25534416.934218604</v>
      </c>
      <c r="Q28" s="8"/>
      <c r="R28" s="7"/>
      <c r="S28" s="8"/>
      <c r="T28" s="8"/>
      <c r="U28" s="7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6"/>
      <c r="GF28" s="6"/>
      <c r="GG28" s="6"/>
    </row>
    <row r="29" spans="1:190" ht="30" x14ac:dyDescent="0.25">
      <c r="A29" s="18" t="s">
        <v>38</v>
      </c>
      <c r="B29" s="17" t="s">
        <v>19</v>
      </c>
      <c r="C29" s="4">
        <v>14108745.317200001</v>
      </c>
      <c r="D29" s="4">
        <v>15198407.914319359</v>
      </c>
      <c r="E29" s="4">
        <v>16768706.972438633</v>
      </c>
      <c r="F29" s="4">
        <v>18800052.585581858</v>
      </c>
      <c r="G29" s="4">
        <v>20708682.832312692</v>
      </c>
      <c r="H29" s="1">
        <v>22726163.905435722</v>
      </c>
      <c r="I29" s="1">
        <v>24079924.973341554</v>
      </c>
      <c r="J29" s="1">
        <v>24982472.864147291</v>
      </c>
      <c r="K29" s="1">
        <v>29322461.3322047</v>
      </c>
      <c r="L29" s="1">
        <v>25203488.78052346</v>
      </c>
      <c r="M29" s="1">
        <v>28969364.100622188</v>
      </c>
      <c r="N29" s="1">
        <v>32996912.611190144</v>
      </c>
      <c r="O29" s="1">
        <v>36120736.791822962</v>
      </c>
      <c r="P29" s="1">
        <v>39364139.078934208</v>
      </c>
      <c r="Q29" s="8"/>
      <c r="R29" s="7"/>
      <c r="S29" s="8"/>
      <c r="T29" s="8"/>
      <c r="U29" s="7"/>
      <c r="V29" s="9"/>
      <c r="W29" s="9"/>
      <c r="X29" s="9"/>
      <c r="Y29" s="9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6"/>
      <c r="GF29" s="6"/>
      <c r="GG29" s="6"/>
    </row>
    <row r="30" spans="1:190" ht="15.75" x14ac:dyDescent="0.25">
      <c r="A30" s="18" t="s">
        <v>39</v>
      </c>
      <c r="B30" s="17" t="s">
        <v>54</v>
      </c>
      <c r="C30" s="4">
        <v>2784350</v>
      </c>
      <c r="D30" s="4">
        <v>2822293.8350137491</v>
      </c>
      <c r="E30" s="4">
        <v>2868898.3437977261</v>
      </c>
      <c r="F30" s="4">
        <v>2955072.5107340999</v>
      </c>
      <c r="G30" s="4">
        <v>3139850.7392981974</v>
      </c>
      <c r="H30" s="1">
        <v>3390515.4041775474</v>
      </c>
      <c r="I30" s="1">
        <v>3693859.5744273262</v>
      </c>
      <c r="J30" s="1">
        <v>3952360.4112594263</v>
      </c>
      <c r="K30" s="1">
        <v>4643702.7209751401</v>
      </c>
      <c r="L30" s="1">
        <v>4425435.9388975501</v>
      </c>
      <c r="M30" s="1">
        <v>4531710.2975250371</v>
      </c>
      <c r="N30" s="1">
        <v>5461217.4814313399</v>
      </c>
      <c r="O30" s="1">
        <v>6126854.9459793782</v>
      </c>
      <c r="P30" s="1">
        <v>6774287.7889256012</v>
      </c>
      <c r="Q30" s="8"/>
      <c r="R30" s="7"/>
      <c r="S30" s="8"/>
      <c r="T30" s="8"/>
      <c r="U30" s="7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6"/>
      <c r="GF30" s="6"/>
      <c r="GG30" s="6"/>
    </row>
    <row r="31" spans="1:190" ht="15.75" x14ac:dyDescent="0.25">
      <c r="A31" s="18" t="s">
        <v>40</v>
      </c>
      <c r="B31" s="17" t="s">
        <v>20</v>
      </c>
      <c r="C31" s="4">
        <v>5840340</v>
      </c>
      <c r="D31" s="4">
        <v>6412096.1370659964</v>
      </c>
      <c r="E31" s="4">
        <v>7069370.6998198079</v>
      </c>
      <c r="F31" s="4">
        <v>7970096.0974266361</v>
      </c>
      <c r="G31" s="4">
        <v>8793802.8262662832</v>
      </c>
      <c r="H31" s="1">
        <v>9782138.4891476389</v>
      </c>
      <c r="I31" s="1">
        <v>10506843.800345369</v>
      </c>
      <c r="J31" s="1">
        <v>10944899.892878309</v>
      </c>
      <c r="K31" s="1">
        <v>13455497.661987983</v>
      </c>
      <c r="L31" s="1">
        <v>9703789.7274367213</v>
      </c>
      <c r="M31" s="1">
        <v>11004485.608766632</v>
      </c>
      <c r="N31" s="1">
        <v>13012738.990408432</v>
      </c>
      <c r="O31" s="1">
        <v>14392077.43558386</v>
      </c>
      <c r="P31" s="1">
        <v>15670196.330673978</v>
      </c>
      <c r="Q31" s="8"/>
      <c r="R31" s="7"/>
      <c r="S31" s="8"/>
      <c r="T31" s="8"/>
      <c r="U31" s="7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6"/>
      <c r="GF31" s="6"/>
      <c r="GG31" s="6"/>
    </row>
    <row r="32" spans="1:190" s="24" customFormat="1" ht="15.75" x14ac:dyDescent="0.25">
      <c r="A32" s="30"/>
      <c r="B32" s="31" t="s">
        <v>30</v>
      </c>
      <c r="C32" s="32">
        <f>C17+C20+C28+C29+C30+C31</f>
        <v>49597229.341994435</v>
      </c>
      <c r="D32" s="32">
        <f t="shared" ref="D32:K32" si="16">D17+D20+D28+D29+D30+D31</f>
        <v>53667808.083433181</v>
      </c>
      <c r="E32" s="32">
        <f t="shared" si="16"/>
        <v>57457612.167086586</v>
      </c>
      <c r="F32" s="32">
        <f t="shared" si="16"/>
        <v>62593308.669464394</v>
      </c>
      <c r="G32" s="32">
        <f t="shared" si="16"/>
        <v>67373229.896967202</v>
      </c>
      <c r="H32" s="32">
        <f t="shared" si="16"/>
        <v>73248349.047355562</v>
      </c>
      <c r="I32" s="32">
        <f t="shared" si="16"/>
        <v>77192216.813595474</v>
      </c>
      <c r="J32" s="32">
        <f t="shared" si="16"/>
        <v>81429500.113255635</v>
      </c>
      <c r="K32" s="32">
        <f t="shared" si="16"/>
        <v>90861784.928940266</v>
      </c>
      <c r="L32" s="32">
        <f t="shared" ref="L32" si="17">L17+L20+L28+L29+L30+L31</f>
        <v>75523830.392722368</v>
      </c>
      <c r="M32" s="32">
        <f t="shared" ref="M32:O32" si="18">M17+M20+M28+M29+M30+M31</f>
        <v>85628855.395604134</v>
      </c>
      <c r="N32" s="32">
        <f t="shared" si="18"/>
        <v>97909426.280647814</v>
      </c>
      <c r="O32" s="32">
        <f t="shared" si="18"/>
        <v>105949250.68320306</v>
      </c>
      <c r="P32" s="32">
        <f t="shared" ref="P32" si="19">P17+P20+P28+P29+P30+P31</f>
        <v>114080855.99633668</v>
      </c>
      <c r="Q32" s="8"/>
      <c r="R32" s="7"/>
      <c r="S32" s="8"/>
      <c r="T32" s="8"/>
      <c r="U32" s="7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29"/>
      <c r="GF32" s="29"/>
      <c r="GG32" s="29"/>
    </row>
    <row r="33" spans="1:190" s="29" customFormat="1" ht="15.75" x14ac:dyDescent="0.25">
      <c r="A33" s="25" t="s">
        <v>27</v>
      </c>
      <c r="B33" s="36" t="s">
        <v>51</v>
      </c>
      <c r="C33" s="27">
        <f>C6+C11+C13+C14+C15+C17+C20+C28+C29+C30+C31</f>
        <v>99064369.78754209</v>
      </c>
      <c r="D33" s="27">
        <f t="shared" ref="D33:K33" si="20">D6+D11+D13+D14+D15+D17+D20+D28+D29+D30+D31</f>
        <v>104515083.97816668</v>
      </c>
      <c r="E33" s="27">
        <f t="shared" si="20"/>
        <v>111236426.97310223</v>
      </c>
      <c r="F33" s="27">
        <f t="shared" si="20"/>
        <v>117855077.18883599</v>
      </c>
      <c r="G33" s="27">
        <f t="shared" si="20"/>
        <v>126671470.68433405</v>
      </c>
      <c r="H33" s="27">
        <f t="shared" si="20"/>
        <v>138889360.60314819</v>
      </c>
      <c r="I33" s="27">
        <f t="shared" si="20"/>
        <v>144056388.59936675</v>
      </c>
      <c r="J33" s="27">
        <f t="shared" si="20"/>
        <v>148062883.9871735</v>
      </c>
      <c r="K33" s="27">
        <f t="shared" si="20"/>
        <v>155658835.23869294</v>
      </c>
      <c r="L33" s="27">
        <f t="shared" ref="L33" si="21">L6+L11+L13+L14+L15+L17+L20+L28+L29+L30+L31</f>
        <v>139180994.35006535</v>
      </c>
      <c r="M33" s="27">
        <f t="shared" ref="M33:O33" si="22">M6+M11+M13+M14+M15+M17+M20+M28+M29+M30+M31</f>
        <v>156552207.98813641</v>
      </c>
      <c r="N33" s="27">
        <f t="shared" si="22"/>
        <v>170932702.93584177</v>
      </c>
      <c r="O33" s="27">
        <f t="shared" si="22"/>
        <v>182874823.5829708</v>
      </c>
      <c r="P33" s="27">
        <f t="shared" ref="P33" si="23">P6+P11+P13+P14+P15+P17+P20+P28+P29+P30+P31</f>
        <v>195554331.94131517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H33" s="24"/>
    </row>
    <row r="34" spans="1:190" s="24" customFormat="1" ht="15.75" x14ac:dyDescent="0.25">
      <c r="A34" s="37" t="s">
        <v>43</v>
      </c>
      <c r="B34" s="38" t="s">
        <v>25</v>
      </c>
      <c r="C34" s="32">
        <f>GSVA_const!C34</f>
        <v>16208500</v>
      </c>
      <c r="D34" s="32">
        <f>GSVA_const!D34</f>
        <v>17715500</v>
      </c>
      <c r="E34" s="32">
        <f>GSVA_const!E34</f>
        <v>18788900</v>
      </c>
      <c r="F34" s="32">
        <f>GSVA_const!F34</f>
        <v>19854059.217256572</v>
      </c>
      <c r="G34" s="32">
        <f>GSVA_const!G34</f>
        <v>21220957.640247531</v>
      </c>
      <c r="H34" s="32">
        <f>GSVA_const!H34</f>
        <v>23067764.418124817</v>
      </c>
      <c r="I34" s="32">
        <f>GSVA_const!I34</f>
        <v>24219840.989114854</v>
      </c>
      <c r="J34" s="32">
        <f>GSVA_const!J34</f>
        <v>25536996.402828209</v>
      </c>
      <c r="K34" s="32">
        <f>GSVA_const!K34</f>
        <v>25703304.65592429</v>
      </c>
      <c r="L34" s="32">
        <f>GSVA_const!L34</f>
        <v>22039208.363950904</v>
      </c>
      <c r="M34" s="32">
        <f>GSVA_const!M34</f>
        <v>24383650.576481625</v>
      </c>
      <c r="N34" s="32">
        <f>GSVA_const!N34</f>
        <v>28786239.360052951</v>
      </c>
      <c r="O34" s="32">
        <f>GSVA_const!O34</f>
        <v>32687943.383636646</v>
      </c>
      <c r="P34" s="32">
        <f>GSVA_const!P34</f>
        <v>35598059.486201853</v>
      </c>
      <c r="Q34" s="8"/>
      <c r="R34" s="7"/>
      <c r="S34" s="8"/>
      <c r="T34" s="8"/>
      <c r="U34" s="7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</row>
    <row r="35" spans="1:190" s="24" customFormat="1" ht="15.75" x14ac:dyDescent="0.25">
      <c r="A35" s="37" t="s">
        <v>44</v>
      </c>
      <c r="B35" s="38" t="s">
        <v>24</v>
      </c>
      <c r="C35" s="32">
        <f>GSVA_const!C35</f>
        <v>2613400</v>
      </c>
      <c r="D35" s="32">
        <f>GSVA_const!D35</f>
        <v>3259500</v>
      </c>
      <c r="E35" s="32">
        <f>GSVA_const!E35</f>
        <v>3270200</v>
      </c>
      <c r="F35" s="32">
        <f>GSVA_const!F35</f>
        <v>3174990.0757634947</v>
      </c>
      <c r="G35" s="32">
        <f>GSVA_const!G35</f>
        <v>2641088.8358251611</v>
      </c>
      <c r="H35" s="32">
        <f>GSVA_const!H35</f>
        <v>2345050.2609743639</v>
      </c>
      <c r="I35" s="32">
        <f>GSVA_const!I35</f>
        <v>2169728.8669681614</v>
      </c>
      <c r="J35" s="32">
        <f>GSVA_const!J35</f>
        <v>2299979.0453563514</v>
      </c>
      <c r="K35" s="32">
        <f>GSVA_const!K35</f>
        <v>2505214.0424669902</v>
      </c>
      <c r="L35" s="32">
        <f>GSVA_const!L35</f>
        <v>3108006.8665716378</v>
      </c>
      <c r="M35" s="32">
        <f>GSVA_const!M35</f>
        <v>3865253.8553487118</v>
      </c>
      <c r="N35" s="32">
        <f>GSVA_const!N35</f>
        <v>4477992.5714096269</v>
      </c>
      <c r="O35" s="32">
        <f>GSVA_const!O35</f>
        <v>4803040.9390778858</v>
      </c>
      <c r="P35" s="32">
        <f>GSVA_const!P35</f>
        <v>5131282.5088355951</v>
      </c>
      <c r="Q35" s="8"/>
      <c r="R35" s="7"/>
      <c r="S35" s="8"/>
      <c r="T35" s="8"/>
      <c r="U35" s="7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</row>
    <row r="36" spans="1:190" s="24" customFormat="1" ht="15.75" x14ac:dyDescent="0.25">
      <c r="A36" s="37" t="s">
        <v>45</v>
      </c>
      <c r="B36" s="38" t="s">
        <v>63</v>
      </c>
      <c r="C36" s="32">
        <f>C33+C34-C35</f>
        <v>112659469.78754209</v>
      </c>
      <c r="D36" s="32">
        <f t="shared" ref="D36:L36" si="24">D33+D34-D35</f>
        <v>118971083.97816668</v>
      </c>
      <c r="E36" s="32">
        <f t="shared" si="24"/>
        <v>126755126.97310223</v>
      </c>
      <c r="F36" s="32">
        <f t="shared" si="24"/>
        <v>134534146.33032906</v>
      </c>
      <c r="G36" s="32">
        <f t="shared" si="24"/>
        <v>145251339.48875642</v>
      </c>
      <c r="H36" s="32">
        <f t="shared" si="24"/>
        <v>159612074.76029864</v>
      </c>
      <c r="I36" s="32">
        <f t="shared" si="24"/>
        <v>166106500.72151345</v>
      </c>
      <c r="J36" s="32">
        <f t="shared" si="24"/>
        <v>171299901.34464535</v>
      </c>
      <c r="K36" s="32">
        <f t="shared" si="24"/>
        <v>178856925.85215023</v>
      </c>
      <c r="L36" s="32">
        <f t="shared" si="24"/>
        <v>158112195.84744462</v>
      </c>
      <c r="M36" s="32">
        <f t="shared" ref="M36:O36" si="25">M33+M34-M35</f>
        <v>177070604.70926934</v>
      </c>
      <c r="N36" s="32">
        <f t="shared" si="25"/>
        <v>195240949.7244851</v>
      </c>
      <c r="O36" s="32">
        <f t="shared" si="25"/>
        <v>210759726.02752957</v>
      </c>
      <c r="P36" s="32">
        <f t="shared" ref="P36" si="26">P33+P34-P35</f>
        <v>226021108.91868144</v>
      </c>
      <c r="Q36" s="8"/>
      <c r="R36" s="7"/>
      <c r="S36" s="8"/>
      <c r="T36" s="8"/>
      <c r="U36" s="7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</row>
    <row r="37" spans="1:190" s="24" customFormat="1" ht="15.75" x14ac:dyDescent="0.25">
      <c r="A37" s="37" t="s">
        <v>46</v>
      </c>
      <c r="B37" s="38" t="s">
        <v>42</v>
      </c>
      <c r="C37" s="32">
        <f>GSVA_cur!C37</f>
        <v>1131150</v>
      </c>
      <c r="D37" s="32">
        <f>GSVA_cur!D37</f>
        <v>1143860</v>
      </c>
      <c r="E37" s="32">
        <f>GSVA_cur!E37</f>
        <v>1156560</v>
      </c>
      <c r="F37" s="32">
        <f>GSVA_cur!F37</f>
        <v>1169270</v>
      </c>
      <c r="G37" s="32">
        <f>GSVA_cur!G37</f>
        <v>1181970</v>
      </c>
      <c r="H37" s="32">
        <f>GSVA_cur!H37</f>
        <v>1193930</v>
      </c>
      <c r="I37" s="32">
        <f>GSVA_cur!I37</f>
        <v>1205350</v>
      </c>
      <c r="J37" s="32">
        <f>GSVA_cur!J37</f>
        <v>1216770</v>
      </c>
      <c r="K37" s="32">
        <f>GSVA_cur!K37</f>
        <v>1228190</v>
      </c>
      <c r="L37" s="32">
        <f>GSVA_cur!L37</f>
        <v>1239610</v>
      </c>
      <c r="M37" s="32">
        <f>GSVA_cur!M37</f>
        <v>1250050</v>
      </c>
      <c r="N37" s="32">
        <f>GSVA_cur!N37</f>
        <v>1259790</v>
      </c>
      <c r="O37" s="32">
        <f>GSVA_cur!O37</f>
        <v>1269540</v>
      </c>
      <c r="P37" s="32">
        <f>GSVA_cur!P37</f>
        <v>1279280</v>
      </c>
      <c r="Q37" s="2"/>
      <c r="R37" s="6"/>
      <c r="S37" s="2"/>
      <c r="T37" s="2"/>
      <c r="U37" s="6"/>
      <c r="V37" s="6"/>
      <c r="W37" s="6"/>
      <c r="X37" s="6"/>
      <c r="Y37" s="6"/>
      <c r="Z37" s="2"/>
      <c r="AA37" s="2"/>
      <c r="AB37" s="2"/>
      <c r="AC37" s="2"/>
      <c r="AD37" s="2"/>
      <c r="AE37" s="2"/>
      <c r="AF37" s="2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</row>
    <row r="38" spans="1:190" s="24" customFormat="1" ht="15.75" x14ac:dyDescent="0.25">
      <c r="A38" s="37" t="s">
        <v>47</v>
      </c>
      <c r="B38" s="38" t="s">
        <v>64</v>
      </c>
      <c r="C38" s="32">
        <f>C36/C37*1000</f>
        <v>99597.285760104394</v>
      </c>
      <c r="D38" s="32">
        <f t="shared" ref="D38:L38" si="27">D36/D37*1000</f>
        <v>104008.43108262084</v>
      </c>
      <c r="E38" s="32">
        <f t="shared" si="27"/>
        <v>109596.67200413487</v>
      </c>
      <c r="F38" s="32">
        <f t="shared" si="27"/>
        <v>115058.2383284691</v>
      </c>
      <c r="G38" s="32">
        <f t="shared" si="27"/>
        <v>122889.19303261202</v>
      </c>
      <c r="H38" s="32">
        <f t="shared" si="27"/>
        <v>133686.29212792931</v>
      </c>
      <c r="I38" s="32">
        <f t="shared" si="27"/>
        <v>137807.69131083373</v>
      </c>
      <c r="J38" s="32">
        <f t="shared" si="27"/>
        <v>140782.48259296775</v>
      </c>
      <c r="K38" s="32">
        <f t="shared" si="27"/>
        <v>145626.43064358956</v>
      </c>
      <c r="L38" s="32">
        <f t="shared" si="27"/>
        <v>127549.95187796534</v>
      </c>
      <c r="M38" s="32">
        <f t="shared" ref="M38:O38" si="28">M36/M37*1000</f>
        <v>141650.8177347061</v>
      </c>
      <c r="N38" s="32">
        <f t="shared" si="28"/>
        <v>154978.96452939385</v>
      </c>
      <c r="O38" s="32">
        <f t="shared" si="28"/>
        <v>166012.67075281564</v>
      </c>
      <c r="P38" s="32">
        <f t="shared" ref="P38" si="29">P36/P37*1000</f>
        <v>176678.37292749158</v>
      </c>
      <c r="Q38" s="2"/>
      <c r="R38" s="6"/>
      <c r="S38" s="2"/>
      <c r="T38" s="2"/>
      <c r="U38" s="7"/>
      <c r="V38" s="7"/>
      <c r="W38" s="7"/>
      <c r="X38" s="7"/>
      <c r="Y38" s="7"/>
      <c r="Z38" s="2"/>
      <c r="AA38" s="2"/>
      <c r="AB38" s="2"/>
      <c r="AC38" s="2"/>
      <c r="AD38" s="2"/>
      <c r="AE38" s="2"/>
      <c r="AF38" s="2"/>
      <c r="BZ38" s="33"/>
      <c r="CA38" s="33"/>
      <c r="CB38" s="33"/>
      <c r="CC38" s="33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</row>
    <row r="39" spans="1:190" x14ac:dyDescent="0.25">
      <c r="A39" s="2" t="s">
        <v>75</v>
      </c>
      <c r="C39" s="8"/>
      <c r="D39" s="8"/>
      <c r="E39" s="8"/>
      <c r="F39" s="8"/>
      <c r="G39" s="8"/>
      <c r="H39" s="7"/>
      <c r="I39" s="7"/>
      <c r="J39" s="7"/>
      <c r="K39" s="7"/>
      <c r="L39" s="7"/>
      <c r="M39" s="7"/>
      <c r="N39" s="7"/>
      <c r="O39" s="7"/>
      <c r="P39" s="7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2025-08-04T11:00:04Z</dcterms:modified>
</cp:coreProperties>
</file>