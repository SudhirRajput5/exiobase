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defaultThemeVersion="124226"/>
  <xr:revisionPtr revIDLastSave="0" documentId="13_ncr:1_{2B00F6C2-A915-4F2E-BF73-0C221FAFED29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GSVA_cur" sheetId="10" r:id="rId1"/>
    <sheet name="GSVA_const" sheetId="1" r:id="rId2"/>
    <sheet name="NSVA_cur" sheetId="11" r:id="rId3"/>
    <sheet name="NSVA_const" sheetId="12" r:id="rId4"/>
  </sheets>
  <externalReferences>
    <externalReference r:id="rId5"/>
  </externalReferences>
  <definedNames>
    <definedName name="_xlnm.Print_Titles" localSheetId="1">GSVA_const!$A:$B</definedName>
    <definedName name="_xlnm.Print_Titles" localSheetId="0">GSVA_cur!$A:$B</definedName>
    <definedName name="_xlnm.Print_Titles" localSheetId="3">NSVA_const!$A:$B</definedName>
    <definedName name="_xlnm.Print_Titles" localSheetId="2">NSVA_cur!$A:$B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7" i="12" l="1"/>
  <c r="O37" i="12"/>
  <c r="N35" i="12"/>
  <c r="O35" i="12"/>
  <c r="N34" i="12"/>
  <c r="O34" i="12"/>
  <c r="N35" i="11"/>
  <c r="O35" i="11"/>
  <c r="N34" i="11"/>
  <c r="O34" i="11"/>
  <c r="P34" i="12"/>
  <c r="P35" i="12"/>
  <c r="P37" i="12"/>
  <c r="P34" i="11"/>
  <c r="P35" i="11"/>
  <c r="P37" i="11"/>
  <c r="P37" i="1"/>
  <c r="P20" i="1"/>
  <c r="P20" i="11"/>
  <c r="P20" i="12"/>
  <c r="P20" i="10"/>
  <c r="P16" i="1"/>
  <c r="P17" i="1"/>
  <c r="P16" i="11"/>
  <c r="P17" i="11"/>
  <c r="P16" i="12"/>
  <c r="P17" i="12"/>
  <c r="P16" i="10"/>
  <c r="P17" i="10"/>
  <c r="P6" i="1"/>
  <c r="P6" i="11"/>
  <c r="P6" i="12"/>
  <c r="P6" i="10"/>
  <c r="P33" i="12" l="1"/>
  <c r="P32" i="1"/>
  <c r="P12" i="10"/>
  <c r="P33" i="10"/>
  <c r="P12" i="12"/>
  <c r="P32" i="10"/>
  <c r="P33" i="1"/>
  <c r="P12" i="11"/>
  <c r="P32" i="12"/>
  <c r="P12" i="1"/>
  <c r="P33" i="11"/>
  <c r="P32" i="11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36" i="10" l="1"/>
  <c r="P36" i="12"/>
  <c r="P38" i="12" s="1"/>
  <c r="P36" i="11"/>
  <c r="P36" i="1"/>
  <c r="P38" i="1" l="1"/>
  <c r="P38" i="10"/>
  <c r="P38" i="11"/>
  <c r="D34" i="11"/>
  <c r="E34" i="11"/>
  <c r="F34" i="11"/>
  <c r="G34" i="11"/>
  <c r="H34" i="11"/>
  <c r="I34" i="11"/>
  <c r="J34" i="11"/>
  <c r="K34" i="11"/>
  <c r="L34" i="11"/>
  <c r="M34" i="11"/>
  <c r="D35" i="11"/>
  <c r="E35" i="11"/>
  <c r="F35" i="11"/>
  <c r="G35" i="11"/>
  <c r="H35" i="11"/>
  <c r="I35" i="11"/>
  <c r="J35" i="11"/>
  <c r="K35" i="11"/>
  <c r="L35" i="11"/>
  <c r="M35" i="11"/>
  <c r="C35" i="11"/>
  <c r="C34" i="11"/>
  <c r="D34" i="12" l="1"/>
  <c r="E34" i="12"/>
  <c r="F34" i="12"/>
  <c r="G34" i="12"/>
  <c r="H34" i="12"/>
  <c r="I34" i="12"/>
  <c r="J34" i="12"/>
  <c r="K34" i="12"/>
  <c r="L34" i="12"/>
  <c r="M34" i="12"/>
  <c r="D35" i="12"/>
  <c r="E35" i="12"/>
  <c r="F35" i="12"/>
  <c r="G35" i="12"/>
  <c r="H35" i="12"/>
  <c r="I35" i="12"/>
  <c r="J35" i="12"/>
  <c r="K35" i="12"/>
  <c r="L35" i="12"/>
  <c r="M35" i="12"/>
  <c r="C6" i="10"/>
  <c r="C6" i="1"/>
  <c r="C6" i="11"/>
  <c r="C6" i="12"/>
  <c r="C17" i="10"/>
  <c r="O6" i="10"/>
  <c r="N6" i="10"/>
  <c r="M6" i="10"/>
  <c r="L6" i="10"/>
  <c r="K6" i="10"/>
  <c r="J6" i="10"/>
  <c r="I6" i="10"/>
  <c r="H6" i="10"/>
  <c r="G6" i="10"/>
  <c r="F6" i="10"/>
  <c r="E6" i="10"/>
  <c r="D6" i="10"/>
  <c r="O20" i="1" l="1"/>
  <c r="O20" i="11"/>
  <c r="O20" i="12"/>
  <c r="O20" i="10"/>
  <c r="O17" i="1"/>
  <c r="O17" i="11"/>
  <c r="O17" i="12"/>
  <c r="O17" i="10"/>
  <c r="O16" i="1"/>
  <c r="O16" i="11"/>
  <c r="O16" i="12"/>
  <c r="N17" i="10"/>
  <c r="N20" i="10"/>
  <c r="N17" i="12"/>
  <c r="N20" i="12"/>
  <c r="N17" i="11"/>
  <c r="N20" i="11"/>
  <c r="N17" i="1"/>
  <c r="N20" i="1"/>
  <c r="O12" i="10"/>
  <c r="O6" i="1"/>
  <c r="O6" i="11"/>
  <c r="O6" i="12"/>
  <c r="N32" i="12" l="1"/>
  <c r="O32" i="12"/>
  <c r="N32" i="10"/>
  <c r="O32" i="10"/>
  <c r="O33" i="12"/>
  <c r="O32" i="1"/>
  <c r="O12" i="12"/>
  <c r="O32" i="11"/>
  <c r="N32" i="11"/>
  <c r="O12" i="11"/>
  <c r="O33" i="11"/>
  <c r="N32" i="1"/>
  <c r="O33" i="1"/>
  <c r="O12" i="1"/>
  <c r="H3" i="1"/>
  <c r="H3" i="11"/>
  <c r="H3" i="12"/>
  <c r="H3" i="10"/>
  <c r="O36" i="1" l="1"/>
  <c r="O36" i="12"/>
  <c r="O36" i="11"/>
  <c r="O38" i="1" l="1"/>
  <c r="O38" i="12"/>
  <c r="O38" i="11"/>
  <c r="M37" i="12"/>
  <c r="M37" i="11"/>
  <c r="M37" i="1"/>
  <c r="M20" i="1"/>
  <c r="M20" i="11"/>
  <c r="M20" i="12"/>
  <c r="M20" i="10"/>
  <c r="M32" i="10" s="1"/>
  <c r="M16" i="1"/>
  <c r="N16" i="1"/>
  <c r="M17" i="1"/>
  <c r="M16" i="11"/>
  <c r="N16" i="11"/>
  <c r="M17" i="11"/>
  <c r="M16" i="12"/>
  <c r="N16" i="12"/>
  <c r="M17" i="12"/>
  <c r="M17" i="10"/>
  <c r="M12" i="10"/>
  <c r="N12" i="10"/>
  <c r="N6" i="1"/>
  <c r="N6" i="11"/>
  <c r="N6" i="12"/>
  <c r="N33" i="12" l="1"/>
  <c r="N36" i="12" s="1"/>
  <c r="N12" i="12"/>
  <c r="N33" i="11"/>
  <c r="N33" i="1"/>
  <c r="N12" i="1"/>
  <c r="M32" i="12"/>
  <c r="M32" i="11"/>
  <c r="N12" i="11"/>
  <c r="M32" i="1"/>
  <c r="L37" i="12"/>
  <c r="L37" i="11"/>
  <c r="L37" i="1"/>
  <c r="N36" i="11" l="1"/>
  <c r="N36" i="1"/>
  <c r="L20" i="1"/>
  <c r="L20" i="11"/>
  <c r="L20" i="12"/>
  <c r="L20" i="10"/>
  <c r="L16" i="1"/>
  <c r="L17" i="1"/>
  <c r="L16" i="11"/>
  <c r="L17" i="11"/>
  <c r="L16" i="12"/>
  <c r="L17" i="12"/>
  <c r="L17" i="10"/>
  <c r="L6" i="1"/>
  <c r="M6" i="1"/>
  <c r="L6" i="11"/>
  <c r="M6" i="11"/>
  <c r="L6" i="12"/>
  <c r="M6" i="12"/>
  <c r="L32" i="10" l="1"/>
  <c r="L12" i="12"/>
  <c r="N38" i="12"/>
  <c r="N38" i="11"/>
  <c r="L12" i="11"/>
  <c r="N38" i="1"/>
  <c r="M12" i="12"/>
  <c r="M33" i="12"/>
  <c r="M36" i="12" s="1"/>
  <c r="M33" i="11"/>
  <c r="M36" i="11" s="1"/>
  <c r="M12" i="11"/>
  <c r="M12" i="1"/>
  <c r="M33" i="1"/>
  <c r="L32" i="12"/>
  <c r="L33" i="12"/>
  <c r="L32" i="11"/>
  <c r="L33" i="11"/>
  <c r="L32" i="1"/>
  <c r="L33" i="1"/>
  <c r="L12" i="1"/>
  <c r="L12" i="10"/>
  <c r="L36" i="12" l="1"/>
  <c r="M36" i="1"/>
  <c r="L36" i="11"/>
  <c r="L36" i="1"/>
  <c r="D37" i="12"/>
  <c r="E37" i="12"/>
  <c r="F37" i="12"/>
  <c r="G37" i="12"/>
  <c r="H37" i="12"/>
  <c r="I37" i="12"/>
  <c r="J37" i="12"/>
  <c r="K37" i="12"/>
  <c r="M38" i="12" l="1"/>
  <c r="M38" i="11"/>
  <c r="M38" i="1"/>
  <c r="L38" i="12"/>
  <c r="L38" i="11"/>
  <c r="L38" i="1"/>
  <c r="D37" i="11"/>
  <c r="E37" i="11"/>
  <c r="F37" i="11"/>
  <c r="G37" i="11"/>
  <c r="H37" i="11"/>
  <c r="I37" i="11"/>
  <c r="J37" i="11"/>
  <c r="K37" i="11"/>
  <c r="D37" i="1"/>
  <c r="E37" i="1"/>
  <c r="F37" i="1"/>
  <c r="G37" i="1"/>
  <c r="H37" i="1"/>
  <c r="I37" i="1"/>
  <c r="J37" i="1"/>
  <c r="K37" i="1"/>
  <c r="I20" i="1" l="1"/>
  <c r="J20" i="1"/>
  <c r="K20" i="1"/>
  <c r="I20" i="11"/>
  <c r="J20" i="11"/>
  <c r="K20" i="11"/>
  <c r="I20" i="12"/>
  <c r="J20" i="12"/>
  <c r="K20" i="12"/>
  <c r="I20" i="10"/>
  <c r="J20" i="10"/>
  <c r="J32" i="10" s="1"/>
  <c r="K20" i="10"/>
  <c r="K32" i="10" s="1"/>
  <c r="I17" i="1"/>
  <c r="J17" i="1"/>
  <c r="K17" i="1"/>
  <c r="I17" i="11"/>
  <c r="J17" i="11"/>
  <c r="K17" i="11"/>
  <c r="I17" i="12"/>
  <c r="J17" i="12"/>
  <c r="K17" i="12"/>
  <c r="I17" i="10"/>
  <c r="J17" i="10"/>
  <c r="K17" i="10"/>
  <c r="I16" i="1"/>
  <c r="J16" i="1"/>
  <c r="K16" i="1"/>
  <c r="I16" i="11"/>
  <c r="J16" i="11"/>
  <c r="K16" i="11"/>
  <c r="I16" i="12"/>
  <c r="J16" i="12"/>
  <c r="K16" i="12"/>
  <c r="I6" i="1"/>
  <c r="J6" i="1"/>
  <c r="K6" i="1"/>
  <c r="I6" i="11"/>
  <c r="J6" i="11"/>
  <c r="K6" i="11"/>
  <c r="I6" i="12"/>
  <c r="J6" i="12"/>
  <c r="K6" i="12"/>
  <c r="I32" i="10" l="1"/>
  <c r="K12" i="12"/>
  <c r="K12" i="1"/>
  <c r="K32" i="12"/>
  <c r="K32" i="11"/>
  <c r="K32" i="1"/>
  <c r="K12" i="11"/>
  <c r="K33" i="12"/>
  <c r="K36" i="12" s="1"/>
  <c r="K33" i="11"/>
  <c r="K33" i="1"/>
  <c r="K12" i="10"/>
  <c r="I12" i="12"/>
  <c r="J12" i="12"/>
  <c r="J32" i="12"/>
  <c r="I32" i="12"/>
  <c r="J33" i="12"/>
  <c r="J32" i="11"/>
  <c r="J33" i="11"/>
  <c r="J36" i="11" s="1"/>
  <c r="J38" i="11" s="1"/>
  <c r="J12" i="11"/>
  <c r="J33" i="1"/>
  <c r="J32" i="1"/>
  <c r="J12" i="1"/>
  <c r="J12" i="10"/>
  <c r="I33" i="12"/>
  <c r="I32" i="11"/>
  <c r="I12" i="11"/>
  <c r="I33" i="11"/>
  <c r="I36" i="11" s="1"/>
  <c r="I38" i="11" s="1"/>
  <c r="I32" i="1"/>
  <c r="I12" i="1"/>
  <c r="I33" i="1"/>
  <c r="I12" i="10"/>
  <c r="J36" i="12" l="1"/>
  <c r="J38" i="12" s="1"/>
  <c r="I36" i="12"/>
  <c r="I38" i="12" s="1"/>
  <c r="K38" i="12"/>
  <c r="K36" i="11"/>
  <c r="K38" i="11" s="1"/>
  <c r="K36" i="1"/>
  <c r="J36" i="1"/>
  <c r="I36" i="1"/>
  <c r="K38" i="1" l="1"/>
  <c r="J38" i="1"/>
  <c r="I38" i="1"/>
  <c r="G20" i="1" l="1"/>
  <c r="H20" i="1"/>
  <c r="G16" i="1"/>
  <c r="H16" i="1"/>
  <c r="G6" i="1"/>
  <c r="G12" i="1" l="1"/>
  <c r="G20" i="11" l="1"/>
  <c r="H20" i="11"/>
  <c r="G20" i="12"/>
  <c r="H20" i="12"/>
  <c r="G20" i="10"/>
  <c r="H20" i="10"/>
  <c r="G17" i="1"/>
  <c r="H17" i="1"/>
  <c r="G17" i="11"/>
  <c r="H17" i="11"/>
  <c r="G17" i="12"/>
  <c r="H17" i="12"/>
  <c r="G17" i="10"/>
  <c r="H17" i="10"/>
  <c r="G16" i="11"/>
  <c r="H16" i="11"/>
  <c r="G16" i="12"/>
  <c r="H16" i="12"/>
  <c r="H6" i="1"/>
  <c r="G6" i="11"/>
  <c r="H6" i="11"/>
  <c r="G6" i="12"/>
  <c r="H6" i="12"/>
  <c r="G32" i="10" l="1"/>
  <c r="H32" i="10"/>
  <c r="G32" i="1"/>
  <c r="G12" i="12"/>
  <c r="G12" i="11"/>
  <c r="G12" i="10"/>
  <c r="G33" i="10"/>
  <c r="G36" i="10" s="1"/>
  <c r="H32" i="11"/>
  <c r="H12" i="11"/>
  <c r="H32" i="1"/>
  <c r="H33" i="1"/>
  <c r="H33" i="12"/>
  <c r="H32" i="12"/>
  <c r="G32" i="12"/>
  <c r="G33" i="12"/>
  <c r="G32" i="11"/>
  <c r="G33" i="1"/>
  <c r="H12" i="1"/>
  <c r="H12" i="10"/>
  <c r="H33" i="11"/>
  <c r="H36" i="11" s="1"/>
  <c r="H38" i="11" s="1"/>
  <c r="G33" i="11"/>
  <c r="G36" i="11" s="1"/>
  <c r="G38" i="11" s="1"/>
  <c r="H12" i="12"/>
  <c r="G36" i="12" l="1"/>
  <c r="G38" i="12" s="1"/>
  <c r="H36" i="12"/>
  <c r="H38" i="12" s="1"/>
  <c r="G36" i="1"/>
  <c r="H36" i="1"/>
  <c r="G38" i="10"/>
  <c r="G38" i="1" l="1"/>
  <c r="H38" i="1"/>
  <c r="C37" i="12" l="1"/>
  <c r="C37" i="11"/>
  <c r="C37" i="1"/>
  <c r="C35" i="12"/>
  <c r="C34" i="12"/>
  <c r="F20" i="12" l="1"/>
  <c r="E20" i="12"/>
  <c r="D20" i="12"/>
  <c r="C20" i="12"/>
  <c r="F17" i="12"/>
  <c r="E17" i="12"/>
  <c r="D17" i="12"/>
  <c r="C17" i="12"/>
  <c r="F16" i="12"/>
  <c r="E16" i="12"/>
  <c r="D16" i="12"/>
  <c r="C16" i="12"/>
  <c r="F6" i="12"/>
  <c r="E6" i="12"/>
  <c r="D6" i="12"/>
  <c r="F20" i="11"/>
  <c r="E20" i="11"/>
  <c r="D20" i="11"/>
  <c r="C20" i="11"/>
  <c r="F17" i="11"/>
  <c r="E17" i="11"/>
  <c r="D17" i="11"/>
  <c r="C17" i="11"/>
  <c r="F16" i="11"/>
  <c r="E16" i="11"/>
  <c r="D16" i="11"/>
  <c r="C16" i="11"/>
  <c r="F6" i="11"/>
  <c r="E6" i="11"/>
  <c r="D6" i="11"/>
  <c r="F20" i="1"/>
  <c r="E20" i="1"/>
  <c r="D20" i="1"/>
  <c r="C20" i="1"/>
  <c r="F17" i="1"/>
  <c r="E17" i="1"/>
  <c r="D17" i="1"/>
  <c r="C17" i="1"/>
  <c r="F16" i="1"/>
  <c r="E16" i="1"/>
  <c r="D16" i="1"/>
  <c r="C16" i="1"/>
  <c r="F6" i="1"/>
  <c r="E6" i="1"/>
  <c r="D6" i="1"/>
  <c r="F20" i="10"/>
  <c r="F17" i="10"/>
  <c r="E20" i="10"/>
  <c r="D20" i="10"/>
  <c r="C20" i="10"/>
  <c r="C32" i="10" s="1"/>
  <c r="E17" i="10"/>
  <c r="D17" i="10"/>
  <c r="D32" i="10" l="1"/>
  <c r="E32" i="10"/>
  <c r="F32" i="10"/>
  <c r="E33" i="10"/>
  <c r="E36" i="10" s="1"/>
  <c r="F32" i="1"/>
  <c r="F12" i="10"/>
  <c r="F33" i="10"/>
  <c r="F36" i="10" s="1"/>
  <c r="D33" i="10"/>
  <c r="D36" i="10" s="1"/>
  <c r="F32" i="12"/>
  <c r="E32" i="12"/>
  <c r="E12" i="12"/>
  <c r="F33" i="12"/>
  <c r="E32" i="11"/>
  <c r="E12" i="11"/>
  <c r="E32" i="1"/>
  <c r="D33" i="1"/>
  <c r="C12" i="10"/>
  <c r="F32" i="11"/>
  <c r="F33" i="11"/>
  <c r="F36" i="11" s="1"/>
  <c r="F38" i="11" s="1"/>
  <c r="E33" i="1"/>
  <c r="F33" i="1"/>
  <c r="C33" i="1"/>
  <c r="C32" i="1"/>
  <c r="C33" i="11"/>
  <c r="C32" i="11"/>
  <c r="C33" i="12"/>
  <c r="C32" i="12"/>
  <c r="D32" i="1"/>
  <c r="D33" i="11"/>
  <c r="D36" i="11" s="1"/>
  <c r="D38" i="11" s="1"/>
  <c r="D32" i="11"/>
  <c r="D33" i="12"/>
  <c r="D32" i="12"/>
  <c r="C12" i="12"/>
  <c r="D12" i="12"/>
  <c r="E33" i="12"/>
  <c r="F12" i="12"/>
  <c r="C12" i="11"/>
  <c r="D12" i="11"/>
  <c r="E33" i="11"/>
  <c r="E36" i="11" s="1"/>
  <c r="E38" i="11" s="1"/>
  <c r="F12" i="11"/>
  <c r="D12" i="1"/>
  <c r="C12" i="1"/>
  <c r="E12" i="1"/>
  <c r="F12" i="1"/>
  <c r="D12" i="10"/>
  <c r="C33" i="10"/>
  <c r="C36" i="10" s="1"/>
  <c r="E12" i="10"/>
  <c r="D36" i="12" l="1"/>
  <c r="D38" i="12" s="1"/>
  <c r="F36" i="12"/>
  <c r="F38" i="12" s="1"/>
  <c r="E36" i="12"/>
  <c r="E38" i="12" s="1"/>
  <c r="C36" i="12"/>
  <c r="C36" i="1"/>
  <c r="C36" i="11"/>
  <c r="E36" i="1"/>
  <c r="F36" i="1"/>
  <c r="D36" i="1"/>
  <c r="C38" i="12" l="1"/>
  <c r="C38" i="1"/>
  <c r="C38" i="11"/>
  <c r="C38" i="10"/>
  <c r="F38" i="1"/>
  <c r="E38" i="1"/>
  <c r="D38" i="1"/>
  <c r="F38" i="10"/>
  <c r="E38" i="10"/>
  <c r="D38" i="10"/>
  <c r="L33" i="10" l="1"/>
  <c r="L36" i="10" s="1"/>
  <c r="H33" i="10"/>
  <c r="H36" i="10" s="1"/>
  <c r="K33" i="10"/>
  <c r="M33" i="10"/>
  <c r="J33" i="10"/>
  <c r="J36" i="10" s="1"/>
  <c r="N33" i="10"/>
  <c r="I33" i="10"/>
  <c r="I36" i="10" s="1"/>
  <c r="O33" i="10"/>
  <c r="O36" i="10" l="1"/>
  <c r="N36" i="10"/>
  <c r="K36" i="10"/>
  <c r="M36" i="10"/>
  <c r="J38" i="10"/>
  <c r="L38" i="10"/>
  <c r="O38" i="10" l="1"/>
  <c r="N38" i="10"/>
  <c r="I38" i="10"/>
  <c r="M38" i="10"/>
  <c r="K38" i="10"/>
  <c r="H38" i="10"/>
</calcChain>
</file>

<file path=xl/sharedStrings.xml><?xml version="1.0" encoding="utf-8"?>
<sst xmlns="http://schemas.openxmlformats.org/spreadsheetml/2006/main" count="288" uniqueCount="78">
  <si>
    <t>S.No.</t>
  </si>
  <si>
    <t>Item</t>
  </si>
  <si>
    <t>Agriculture, forestry and fishing</t>
  </si>
  <si>
    <t>Mining and quarrying</t>
  </si>
  <si>
    <t>Manufacturing</t>
  </si>
  <si>
    <t>Electricity, gas, water supply &amp; other utility services</t>
  </si>
  <si>
    <t>Construction</t>
  </si>
  <si>
    <t>Trade, repair, hotels and restaurants</t>
  </si>
  <si>
    <t>Trade &amp; repair services</t>
  </si>
  <si>
    <t>Hotels &amp; restaurants</t>
  </si>
  <si>
    <t>Transport, storage, communication &amp; services related to broadcasting</t>
  </si>
  <si>
    <t>Railways</t>
  </si>
  <si>
    <t>Road transport</t>
  </si>
  <si>
    <t>Water transport</t>
  </si>
  <si>
    <t>Air transport</t>
  </si>
  <si>
    <t>Services incidental to transport</t>
  </si>
  <si>
    <t>Storage</t>
  </si>
  <si>
    <t>Communication &amp; services related to broadcasting</t>
  </si>
  <si>
    <t>Financial services</t>
  </si>
  <si>
    <t>Real estate, ownership of dwelling &amp; professional services</t>
  </si>
  <si>
    <t>Other services</t>
  </si>
  <si>
    <t>2011-12</t>
  </si>
  <si>
    <t>2012-13</t>
  </si>
  <si>
    <t>2013-14</t>
  </si>
  <si>
    <t>Subsidies on products</t>
  </si>
  <si>
    <t>Taxes on Products</t>
  </si>
  <si>
    <t>1.</t>
  </si>
  <si>
    <t>12.</t>
  </si>
  <si>
    <t>Primary</t>
  </si>
  <si>
    <t>Secondary</t>
  </si>
  <si>
    <t>Tertiary</t>
  </si>
  <si>
    <r>
      <t>2.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</si>
  <si>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3.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</si>
  <si>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4.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</si>
  <si>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5.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</si>
  <si>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6.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</si>
  <si>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7.</t>
    </r>
    <r>
      <rPr>
        <sz val="7"/>
        <rFont val="Times New Roman"/>
        <family val="1"/>
      </rPr>
      <t xml:space="preserve">      </t>
    </r>
    <r>
      <rPr>
        <sz val="11"/>
        <rFont val="Times New Roman"/>
        <family val="1"/>
      </rPr>
      <t> </t>
    </r>
  </si>
  <si>
    <r>
      <t>8.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</si>
  <si>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9.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</si>
  <si>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10.</t>
    </r>
    <r>
      <rPr>
        <sz val="7"/>
        <rFont val="Times New Roman"/>
        <family val="1"/>
      </rPr>
      <t xml:space="preserve">  </t>
    </r>
    <r>
      <rPr>
        <sz val="12"/>
        <rFont val="Times New Roman"/>
        <family val="1"/>
      </rPr>
      <t> </t>
    </r>
  </si>
  <si>
    <r>
      <t>11.</t>
    </r>
    <r>
      <rPr>
        <sz val="7"/>
        <rFont val="Times New Roman"/>
        <family val="1"/>
      </rPr>
      <t xml:space="preserve">  </t>
    </r>
    <r>
      <rPr>
        <sz val="12"/>
        <rFont val="Times New Roman"/>
        <family val="1"/>
      </rPr>
      <t> </t>
    </r>
  </si>
  <si>
    <t>TOTAL GSVA at basic prices</t>
  </si>
  <si>
    <t>Population ('00)</t>
  </si>
  <si>
    <t>13.</t>
  </si>
  <si>
    <t>14.</t>
  </si>
  <si>
    <t>15.</t>
  </si>
  <si>
    <t>16.</t>
  </si>
  <si>
    <t>17.</t>
  </si>
  <si>
    <t>Gross State Value Added by economic activity at current prices</t>
  </si>
  <si>
    <t>Gross State Value Added by economic activity at constant (2011-12) prices</t>
  </si>
  <si>
    <t>Net State Value Added by economic activity at current prices</t>
  </si>
  <si>
    <t>TOTAL NSVA at basic prices</t>
  </si>
  <si>
    <t>Net State Value Added by economic activity at constant (2011-12) prices</t>
  </si>
  <si>
    <t>State :</t>
  </si>
  <si>
    <t>Public administration</t>
  </si>
  <si>
    <t>Gross State Domestic Product</t>
  </si>
  <si>
    <t>2014-15</t>
  </si>
  <si>
    <t>(Rs. in lakh)</t>
  </si>
  <si>
    <t>Per Capita GSDP (Rs.)</t>
  </si>
  <si>
    <t>Crops</t>
  </si>
  <si>
    <t>Livestock</t>
  </si>
  <si>
    <t>Forestry and logging</t>
  </si>
  <si>
    <t>Fishing and aquaculture</t>
  </si>
  <si>
    <t>Net State Domestic Product</t>
  </si>
  <si>
    <t>Per Capita NSDP (Rs.)</t>
  </si>
  <si>
    <t>2015-16</t>
  </si>
  <si>
    <t>Assam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</si>
  <si>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</si>
  <si>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</si>
  <si>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</si>
  <si>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</si>
  <si>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</si>
  <si>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</si>
  <si>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</si>
  <si>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</si>
  <si>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Source:  Directorate of Economics &amp; Statistics of respective State Governments.</t>
  </si>
  <si>
    <t>2024-25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</si>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</sst>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7"/>
      <name val="Times New Roman"/>
      <family val="1"/>
    </font>
    <font>
      <sz val="11"/>
      <name val="Times New Roman"/>
      <family val="1"/>
    </font>
    <font>
      <b/>
      <i/>
      <sz val="11"/>
      <name val="Calibri"/>
      <family val="2"/>
      <scheme val="minor"/>
    </font>
    <font>
      <b/>
      <sz val="14"/>
      <name val="Calibri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30">
    <xf numFmtId="0" fontId="0" fillId="0" borderId="0"/>
    <xf numFmtId="0" fontId="2" fillId="0" borderId="0"/>
    <xf numFmtId="0" fontId="3" fillId="0" borderId="0"/>
    <xf numFmtId="0" fontId="4" fillId="0" borderId="0"/>
    <xf numFmtId="0" fontId="6" fillId="0" borderId="0"/>
    <xf numFmtId="0" fontId="5" fillId="0" borderId="0"/>
    <xf numFmtId="0" fontId="6" fillId="0" borderId="0"/>
    <xf numFmtId="0" fontId="5" fillId="2" borderId="2" applyNumberFormat="0" applyFont="0" applyAlignment="0" applyProtection="0"/>
    <xf numFmtId="0" fontId="6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8" fillId="2" borderId="2" applyNumberFormat="0" applyFont="0" applyAlignment="0" applyProtection="0"/>
    <xf numFmtId="0" fontId="9" fillId="0" borderId="0"/>
    <xf numFmtId="16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4" fillId="0" borderId="0"/>
  </cellStyleXfs>
  <cellXfs count="48">
    <xf numFmtId="0" fontId="0" fillId="0" borderId="0" xfId="0"/>
    <xf numFmtId="1" fontId="7" fillId="0" borderId="1" xfId="0" applyNumberFormat="1" applyFont="1" applyBorder="1"/>
    <xf numFmtId="0" fontId="7" fillId="0" borderId="0" xfId="0" applyFont="1" applyProtection="1">
      <protection locked="0"/>
    </xf>
    <xf numFmtId="0" fontId="7" fillId="0" borderId="1" xfId="0" applyFont="1" applyBorder="1" applyProtection="1">
      <protection locked="0"/>
    </xf>
    <xf numFmtId="1" fontId="7" fillId="0" borderId="1" xfId="0" applyNumberFormat="1" applyFont="1" applyBorder="1" applyProtection="1">
      <protection locked="0"/>
    </xf>
    <xf numFmtId="0" fontId="7" fillId="0" borderId="0" xfId="0" applyFont="1"/>
    <xf numFmtId="1" fontId="7" fillId="0" borderId="0" xfId="0" applyNumberFormat="1" applyFont="1"/>
    <xf numFmtId="1" fontId="7" fillId="0" borderId="0" xfId="0" applyNumberFormat="1" applyFont="1" applyProtection="1">
      <protection locked="0"/>
    </xf>
    <xf numFmtId="1" fontId="10" fillId="0" borderId="0" xfId="0" applyNumberFormat="1" applyFont="1" applyProtection="1">
      <protection locked="0"/>
    </xf>
    <xf numFmtId="0" fontId="7" fillId="0" borderId="0" xfId="0" quotePrefix="1" applyFont="1" applyProtection="1">
      <protection locked="0"/>
    </xf>
    <xf numFmtId="0" fontId="1" fillId="0" borderId="0" xfId="0" applyFont="1" applyAlignment="1">
      <alignment horizontal="left" vertical="center"/>
    </xf>
    <xf numFmtId="49" fontId="11" fillId="0" borderId="1" xfId="0" applyNumberFormat="1" applyFont="1" applyBorder="1" applyAlignment="1" applyProtection="1">
      <alignment vertical="center" wrapText="1"/>
      <protection locked="0"/>
    </xf>
    <xf numFmtId="49" fontId="12" fillId="0" borderId="1" xfId="0" applyNumberFormat="1" applyFont="1" applyBorder="1" applyAlignment="1">
      <alignment vertical="center" wrapText="1"/>
    </xf>
    <xf numFmtId="49" fontId="12" fillId="0" borderId="1" xfId="0" applyNumberFormat="1" applyFont="1" applyBorder="1" applyAlignment="1" applyProtection="1">
      <alignment horizontal="right" vertical="center" wrapText="1"/>
      <protection locked="0"/>
    </xf>
    <xf numFmtId="49" fontId="12" fillId="0" borderId="1" xfId="0" applyNumberFormat="1" applyFont="1" applyBorder="1" applyAlignment="1" applyProtection="1">
      <alignment vertical="center" wrapText="1"/>
      <protection locked="0"/>
    </xf>
    <xf numFmtId="49" fontId="12" fillId="0" borderId="1" xfId="0" quotePrefix="1" applyNumberFormat="1" applyFont="1" applyBorder="1" applyAlignment="1">
      <alignment vertical="center" wrapText="1"/>
    </xf>
    <xf numFmtId="0" fontId="7" fillId="0" borderId="1" xfId="0" applyFont="1" applyBorder="1"/>
    <xf numFmtId="0" fontId="16" fillId="0" borderId="0" xfId="0" applyFont="1" applyProtection="1">
      <protection locked="0"/>
    </xf>
    <xf numFmtId="0" fontId="7" fillId="0" borderId="3" xfId="0" applyFont="1" applyBorder="1" applyAlignment="1">
      <alignment horizontal="left" vertical="center" wrapText="1"/>
    </xf>
    <xf numFmtId="0" fontId="7" fillId="0" borderId="3" xfId="0" applyFont="1" applyBorder="1" applyAlignment="1" applyProtection="1">
      <alignment horizontal="left" vertical="center" wrapText="1"/>
      <protection locked="0"/>
    </xf>
    <xf numFmtId="0" fontId="7" fillId="0" borderId="3" xfId="0" applyFont="1" applyBorder="1" applyAlignment="1" applyProtection="1">
      <alignment vertical="center" wrapText="1"/>
      <protection locked="0"/>
    </xf>
    <xf numFmtId="49" fontId="12" fillId="4" borderId="1" xfId="0" applyNumberFormat="1" applyFont="1" applyFill="1" applyBorder="1" applyAlignment="1">
      <alignment vertical="center" wrapText="1"/>
    </xf>
    <xf numFmtId="0" fontId="7" fillId="4" borderId="3" xfId="0" applyFont="1" applyFill="1" applyBorder="1" applyAlignment="1">
      <alignment horizontal="left" vertical="center" wrapText="1"/>
    </xf>
    <xf numFmtId="1" fontId="7" fillId="4" borderId="0" xfId="0" applyNumberFormat="1" applyFont="1" applyFill="1"/>
    <xf numFmtId="0" fontId="7" fillId="4" borderId="0" xfId="0" applyFont="1" applyFill="1"/>
    <xf numFmtId="0" fontId="7" fillId="4" borderId="0" xfId="0" applyFont="1" applyFill="1" applyProtection="1">
      <protection locked="0"/>
    </xf>
    <xf numFmtId="49" fontId="12" fillId="4" borderId="1" xfId="0" applyNumberFormat="1" applyFont="1" applyFill="1" applyBorder="1" applyAlignment="1" applyProtection="1">
      <alignment vertical="center" wrapText="1"/>
      <protection locked="0"/>
    </xf>
    <xf numFmtId="0" fontId="15" fillId="4" borderId="3" xfId="0" applyFont="1" applyFill="1" applyBorder="1" applyAlignment="1" applyProtection="1">
      <alignment horizontal="left" vertical="center" wrapText="1"/>
      <protection locked="0"/>
    </xf>
    <xf numFmtId="1" fontId="7" fillId="4" borderId="0" xfId="0" applyNumberFormat="1" applyFont="1" applyFill="1" applyProtection="1">
      <protection locked="0"/>
    </xf>
    <xf numFmtId="49" fontId="14" fillId="4" borderId="1" xfId="0" applyNumberFormat="1" applyFont="1" applyFill="1" applyBorder="1" applyAlignment="1">
      <alignment vertical="center" wrapText="1"/>
    </xf>
    <xf numFmtId="0" fontId="7" fillId="4" borderId="3" xfId="0" applyFont="1" applyFill="1" applyBorder="1" applyAlignment="1">
      <alignment horizontal="left" vertical="top" wrapText="1"/>
    </xf>
    <xf numFmtId="0" fontId="10" fillId="4" borderId="3" xfId="0" applyFont="1" applyFill="1" applyBorder="1" applyAlignment="1">
      <alignment horizontal="left" vertical="center" wrapText="1"/>
    </xf>
    <xf numFmtId="49" fontId="12" fillId="4" borderId="1" xfId="0" quotePrefix="1" applyNumberFormat="1" applyFont="1" applyFill="1" applyBorder="1" applyAlignment="1">
      <alignment vertical="center" wrapText="1"/>
    </xf>
    <xf numFmtId="0" fontId="7" fillId="4" borderId="3" xfId="0" applyFont="1" applyFill="1" applyBorder="1" applyAlignment="1" applyProtection="1">
      <alignment vertical="center" wrapText="1"/>
      <protection locked="0"/>
    </xf>
    <xf numFmtId="0" fontId="11" fillId="0" borderId="3" xfId="0" applyFont="1" applyBorder="1" applyAlignment="1" applyProtection="1">
      <alignment vertical="center" wrapText="1"/>
      <protection locked="0"/>
    </xf>
    <xf numFmtId="1" fontId="7" fillId="4" borderId="1" xfId="0" applyNumberFormat="1" applyFont="1" applyFill="1" applyBorder="1"/>
    <xf numFmtId="1" fontId="17" fillId="0" borderId="1" xfId="0" applyNumberFormat="1" applyFont="1" applyBorder="1" applyAlignment="1">
      <alignment horizontal="right" vertical="center"/>
    </xf>
    <xf numFmtId="1" fontId="12" fillId="0" borderId="1" xfId="10" applyNumberFormat="1" applyFont="1" applyBorder="1" applyAlignment="1" applyProtection="1">
      <alignment horizontal="right" vertical="center"/>
      <protection locked="0"/>
    </xf>
    <xf numFmtId="1" fontId="18" fillId="0" borderId="1" xfId="0" applyNumberFormat="1" applyFont="1" applyBorder="1" applyAlignment="1">
      <alignment horizontal="right" vertical="center" wrapText="1"/>
    </xf>
    <xf numFmtId="1" fontId="12" fillId="0" borderId="1" xfId="0" applyNumberFormat="1" applyFont="1" applyBorder="1" applyAlignment="1">
      <alignment horizontal="right" vertical="center"/>
    </xf>
    <xf numFmtId="1" fontId="12" fillId="0" borderId="1" xfId="0" applyNumberFormat="1" applyFont="1" applyBorder="1" applyAlignment="1">
      <alignment vertical="center"/>
    </xf>
    <xf numFmtId="1" fontId="12" fillId="3" borderId="1" xfId="0" applyNumberFormat="1" applyFont="1" applyFill="1" applyBorder="1" applyAlignment="1">
      <alignment horizontal="right" vertical="center"/>
    </xf>
    <xf numFmtId="1" fontId="12" fillId="0" borderId="1" xfId="0" applyNumberFormat="1" applyFont="1" applyBorder="1"/>
    <xf numFmtId="1" fontId="7" fillId="4" borderId="1" xfId="0" applyNumberFormat="1" applyFont="1" applyFill="1" applyBorder="1" applyProtection="1">
      <protection locked="0"/>
    </xf>
    <xf numFmtId="1" fontId="12" fillId="0" borderId="1" xfId="10" applyNumberFormat="1" applyFont="1" applyBorder="1" applyAlignment="1">
      <alignment horizontal="right" vertical="center"/>
    </xf>
    <xf numFmtId="1" fontId="19" fillId="0" borderId="1" xfId="0" applyNumberFormat="1" applyFont="1" applyBorder="1" applyAlignment="1">
      <alignment horizontal="right" vertical="center"/>
    </xf>
    <xf numFmtId="1" fontId="19" fillId="0" borderId="1" xfId="0" applyNumberFormat="1" applyFont="1" applyBorder="1" applyAlignment="1">
      <alignment vertical="center"/>
    </xf>
    <xf numFmtId="0" fontId="7" fillId="4" borderId="1" xfId="0" applyFont="1" applyFill="1" applyBorder="1" applyProtection="1">
      <protection locked="0"/>
    </xf>
  </cellXfs>
  <cellStyles count="530">
    <cellStyle name="Comma 2" xfId="15" xr:uid="{00000000-0005-0000-0000-000000000000}"/>
    <cellStyle name="Comma 2 2" xfId="528" xr:uid="{00000000-0005-0000-0000-000001000000}"/>
    <cellStyle name="Normal" xfId="0" builtinId="0"/>
    <cellStyle name="Normal 2" xfId="2" xr:uid="{00000000-0005-0000-0000-000003000000}"/>
    <cellStyle name="Normal 2 2" xfId="8" xr:uid="{00000000-0005-0000-0000-000004000000}"/>
    <cellStyle name="Normal 2 2 2" xfId="10" xr:uid="{00000000-0005-0000-0000-000005000000}"/>
    <cellStyle name="Normal 2 2 3" xfId="18" xr:uid="{00000000-0005-0000-0000-000006000000}"/>
    <cellStyle name="Normal 2 3" xfId="5" xr:uid="{00000000-0005-0000-0000-000007000000}"/>
    <cellStyle name="Normal 2 3 2" xfId="529" xr:uid="{00000000-0005-0000-0000-000008000000}"/>
    <cellStyle name="Normal 2 4" xfId="9" xr:uid="{00000000-0005-0000-0000-000009000000}"/>
    <cellStyle name="Normal 2 4 2" xfId="17" xr:uid="{00000000-0005-0000-0000-00000A000000}"/>
    <cellStyle name="Normal 3" xfId="1" xr:uid="{00000000-0005-0000-0000-00000B000000}"/>
    <cellStyle name="Normal 3 2" xfId="6" xr:uid="{00000000-0005-0000-0000-00000C000000}"/>
    <cellStyle name="Normal 3 2 2" xfId="11" xr:uid="{00000000-0005-0000-0000-00000D000000}"/>
    <cellStyle name="Normal 3 3" xfId="16" xr:uid="{00000000-0005-0000-0000-00000E000000}"/>
    <cellStyle name="Normal 4" xfId="3" xr:uid="{00000000-0005-0000-0000-00000F000000}"/>
    <cellStyle name="Normal 5" xfId="4" xr:uid="{00000000-0005-0000-0000-000010000000}"/>
    <cellStyle name="Normal 5 2" xfId="12" xr:uid="{00000000-0005-0000-0000-000011000000}"/>
    <cellStyle name="Normal 6" xfId="14" xr:uid="{00000000-0005-0000-0000-000012000000}"/>
    <cellStyle name="Note 2" xfId="7" xr:uid="{00000000-0005-0000-0000-000013000000}"/>
    <cellStyle name="Note 2 2" xfId="13" xr:uid="{00000000-0005-0000-0000-000014000000}"/>
    <cellStyle name="style1405592468105" xfId="19" xr:uid="{00000000-0005-0000-0000-000015000000}"/>
    <cellStyle name="style1405593752700" xfId="20" xr:uid="{00000000-0005-0000-0000-000016000000}"/>
    <cellStyle name="style1406113848636" xfId="21" xr:uid="{00000000-0005-0000-0000-000017000000}"/>
    <cellStyle name="style1406113848741" xfId="22" xr:uid="{00000000-0005-0000-0000-000018000000}"/>
    <cellStyle name="style1406113848796" xfId="23" xr:uid="{00000000-0005-0000-0000-000019000000}"/>
    <cellStyle name="style1406113848827" xfId="24" xr:uid="{00000000-0005-0000-0000-00001A000000}"/>
    <cellStyle name="style1406113848859" xfId="25" xr:uid="{00000000-0005-0000-0000-00001B000000}"/>
    <cellStyle name="style1406113848891" xfId="26" xr:uid="{00000000-0005-0000-0000-00001C000000}"/>
    <cellStyle name="style1406113848925" xfId="27" xr:uid="{00000000-0005-0000-0000-00001D000000}"/>
    <cellStyle name="style1406113848965" xfId="28" xr:uid="{00000000-0005-0000-0000-00001E000000}"/>
    <cellStyle name="style1406113848998" xfId="29" xr:uid="{00000000-0005-0000-0000-00001F000000}"/>
    <cellStyle name="style1406113849028" xfId="30" xr:uid="{00000000-0005-0000-0000-000020000000}"/>
    <cellStyle name="style1406113849058" xfId="31" xr:uid="{00000000-0005-0000-0000-000021000000}"/>
    <cellStyle name="style1406113849090" xfId="32" xr:uid="{00000000-0005-0000-0000-000022000000}"/>
    <cellStyle name="style1406113849117" xfId="33" xr:uid="{00000000-0005-0000-0000-000023000000}"/>
    <cellStyle name="style1406113849144" xfId="34" xr:uid="{00000000-0005-0000-0000-000024000000}"/>
    <cellStyle name="style1406113849183" xfId="35" xr:uid="{00000000-0005-0000-0000-000025000000}"/>
    <cellStyle name="style1406113849217" xfId="36" xr:uid="{00000000-0005-0000-0000-000026000000}"/>
    <cellStyle name="style1406113849255" xfId="37" xr:uid="{00000000-0005-0000-0000-000027000000}"/>
    <cellStyle name="style1406113849284" xfId="38" xr:uid="{00000000-0005-0000-0000-000028000000}"/>
    <cellStyle name="style1406113849311" xfId="39" xr:uid="{00000000-0005-0000-0000-000029000000}"/>
    <cellStyle name="style1406113849339" xfId="40" xr:uid="{00000000-0005-0000-0000-00002A000000}"/>
    <cellStyle name="style1406113849367" xfId="41" xr:uid="{00000000-0005-0000-0000-00002B000000}"/>
    <cellStyle name="style1406113849389" xfId="42" xr:uid="{00000000-0005-0000-0000-00002C000000}"/>
    <cellStyle name="style1406113849413" xfId="43" xr:uid="{00000000-0005-0000-0000-00002D000000}"/>
    <cellStyle name="style1406113849558" xfId="44" xr:uid="{00000000-0005-0000-0000-00002E000000}"/>
    <cellStyle name="style1406113849582" xfId="45" xr:uid="{00000000-0005-0000-0000-00002F000000}"/>
    <cellStyle name="style1406113849605" xfId="46" xr:uid="{00000000-0005-0000-0000-000030000000}"/>
    <cellStyle name="style1406113849630" xfId="47" xr:uid="{00000000-0005-0000-0000-000031000000}"/>
    <cellStyle name="style1406113849653" xfId="48" xr:uid="{00000000-0005-0000-0000-000032000000}"/>
    <cellStyle name="style1406113849674" xfId="49" xr:uid="{00000000-0005-0000-0000-000033000000}"/>
    <cellStyle name="style1406113849701" xfId="50" xr:uid="{00000000-0005-0000-0000-000034000000}"/>
    <cellStyle name="style1406113849728" xfId="51" xr:uid="{00000000-0005-0000-0000-000035000000}"/>
    <cellStyle name="style1406113849754" xfId="52" xr:uid="{00000000-0005-0000-0000-000036000000}"/>
    <cellStyle name="style1406113849781" xfId="53" xr:uid="{00000000-0005-0000-0000-000037000000}"/>
    <cellStyle name="style1406113849808" xfId="54" xr:uid="{00000000-0005-0000-0000-000038000000}"/>
    <cellStyle name="style1406113849835" xfId="55" xr:uid="{00000000-0005-0000-0000-000039000000}"/>
    <cellStyle name="style1406113849856" xfId="56" xr:uid="{00000000-0005-0000-0000-00003A000000}"/>
    <cellStyle name="style1406113849876" xfId="57" xr:uid="{00000000-0005-0000-0000-00003B000000}"/>
    <cellStyle name="style1406113849898" xfId="58" xr:uid="{00000000-0005-0000-0000-00003C000000}"/>
    <cellStyle name="style1406113849921" xfId="59" xr:uid="{00000000-0005-0000-0000-00003D000000}"/>
    <cellStyle name="style1406113849947" xfId="60" xr:uid="{00000000-0005-0000-0000-00003E000000}"/>
    <cellStyle name="style1406113849975" xfId="61" xr:uid="{00000000-0005-0000-0000-00003F000000}"/>
    <cellStyle name="style1406113850004" xfId="62" xr:uid="{00000000-0005-0000-0000-000040000000}"/>
    <cellStyle name="style1406113850027" xfId="63" xr:uid="{00000000-0005-0000-0000-000041000000}"/>
    <cellStyle name="style1406113850054" xfId="64" xr:uid="{00000000-0005-0000-0000-000042000000}"/>
    <cellStyle name="style1406113850081" xfId="65" xr:uid="{00000000-0005-0000-0000-000043000000}"/>
    <cellStyle name="style1406113850103" xfId="66" xr:uid="{00000000-0005-0000-0000-000044000000}"/>
    <cellStyle name="style1406113850129" xfId="67" xr:uid="{00000000-0005-0000-0000-000045000000}"/>
    <cellStyle name="style1406113850156" xfId="68" xr:uid="{00000000-0005-0000-0000-000046000000}"/>
    <cellStyle name="style1406113850182" xfId="69" xr:uid="{00000000-0005-0000-0000-000047000000}"/>
    <cellStyle name="style1406113850203" xfId="70" xr:uid="{00000000-0005-0000-0000-000048000000}"/>
    <cellStyle name="style1406113850224" xfId="71" xr:uid="{00000000-0005-0000-0000-000049000000}"/>
    <cellStyle name="style1406113850258" xfId="72" xr:uid="{00000000-0005-0000-0000-00004A000000}"/>
    <cellStyle name="style1406113850331" xfId="73" xr:uid="{00000000-0005-0000-0000-00004B000000}"/>
    <cellStyle name="style1406113850358" xfId="74" xr:uid="{00000000-0005-0000-0000-00004C000000}"/>
    <cellStyle name="style1406113850380" xfId="75" xr:uid="{00000000-0005-0000-0000-00004D000000}"/>
    <cellStyle name="style1406113850409" xfId="76" xr:uid="{00000000-0005-0000-0000-00004E000000}"/>
    <cellStyle name="style1406113850431" xfId="77" xr:uid="{00000000-0005-0000-0000-00004F000000}"/>
    <cellStyle name="style1406113850452" xfId="78" xr:uid="{00000000-0005-0000-0000-000050000000}"/>
    <cellStyle name="style1406113850474" xfId="79" xr:uid="{00000000-0005-0000-0000-000051000000}"/>
    <cellStyle name="style1406113850501" xfId="80" xr:uid="{00000000-0005-0000-0000-000052000000}"/>
    <cellStyle name="style1406113850522" xfId="81" xr:uid="{00000000-0005-0000-0000-000053000000}"/>
    <cellStyle name="style1406113850542" xfId="82" xr:uid="{00000000-0005-0000-0000-000054000000}"/>
    <cellStyle name="style1406113850570" xfId="83" xr:uid="{00000000-0005-0000-0000-000055000000}"/>
    <cellStyle name="style1406113850591" xfId="84" xr:uid="{00000000-0005-0000-0000-000056000000}"/>
    <cellStyle name="style1406113850614" xfId="85" xr:uid="{00000000-0005-0000-0000-000057000000}"/>
    <cellStyle name="style1406113850636" xfId="86" xr:uid="{00000000-0005-0000-0000-000058000000}"/>
    <cellStyle name="style1406113850655" xfId="87" xr:uid="{00000000-0005-0000-0000-000059000000}"/>
    <cellStyle name="style1406113850674" xfId="88" xr:uid="{00000000-0005-0000-0000-00005A000000}"/>
    <cellStyle name="style1406113850723" xfId="89" xr:uid="{00000000-0005-0000-0000-00005B000000}"/>
    <cellStyle name="style1406113850767" xfId="90" xr:uid="{00000000-0005-0000-0000-00005C000000}"/>
    <cellStyle name="style1406113850816" xfId="91" xr:uid="{00000000-0005-0000-0000-00005D000000}"/>
    <cellStyle name="style1406114189185" xfId="92" xr:uid="{00000000-0005-0000-0000-00005E000000}"/>
    <cellStyle name="style1406114189213" xfId="93" xr:uid="{00000000-0005-0000-0000-00005F000000}"/>
    <cellStyle name="style1406114189239" xfId="94" xr:uid="{00000000-0005-0000-0000-000060000000}"/>
    <cellStyle name="style1406114189259" xfId="95" xr:uid="{00000000-0005-0000-0000-000061000000}"/>
    <cellStyle name="style1406114189283" xfId="96" xr:uid="{00000000-0005-0000-0000-000062000000}"/>
    <cellStyle name="style1406114189307" xfId="97" xr:uid="{00000000-0005-0000-0000-000063000000}"/>
    <cellStyle name="style1406114189331" xfId="98" xr:uid="{00000000-0005-0000-0000-000064000000}"/>
    <cellStyle name="style1406114189356" xfId="99" xr:uid="{00000000-0005-0000-0000-000065000000}"/>
    <cellStyle name="style1406114189382" xfId="100" xr:uid="{00000000-0005-0000-0000-000066000000}"/>
    <cellStyle name="style1406114189407" xfId="101" xr:uid="{00000000-0005-0000-0000-000067000000}"/>
    <cellStyle name="style1406114189432" xfId="102" xr:uid="{00000000-0005-0000-0000-000068000000}"/>
    <cellStyle name="style1406114189459" xfId="103" xr:uid="{00000000-0005-0000-0000-000069000000}"/>
    <cellStyle name="style1406114189481" xfId="104" xr:uid="{00000000-0005-0000-0000-00006A000000}"/>
    <cellStyle name="style1406114189505" xfId="105" xr:uid="{00000000-0005-0000-0000-00006B000000}"/>
    <cellStyle name="style1406114189535" xfId="106" xr:uid="{00000000-0005-0000-0000-00006C000000}"/>
    <cellStyle name="style1406114189560" xfId="107" xr:uid="{00000000-0005-0000-0000-00006D000000}"/>
    <cellStyle name="style1406114189585" xfId="108" xr:uid="{00000000-0005-0000-0000-00006E000000}"/>
    <cellStyle name="style1406114189616" xfId="109" xr:uid="{00000000-0005-0000-0000-00006F000000}"/>
    <cellStyle name="style1406114189644" xfId="110" xr:uid="{00000000-0005-0000-0000-000070000000}"/>
    <cellStyle name="style1406114189671" xfId="111" xr:uid="{00000000-0005-0000-0000-000071000000}"/>
    <cellStyle name="style1406114189696" xfId="112" xr:uid="{00000000-0005-0000-0000-000072000000}"/>
    <cellStyle name="style1406114189716" xfId="113" xr:uid="{00000000-0005-0000-0000-000073000000}"/>
    <cellStyle name="style1406114189736" xfId="114" xr:uid="{00000000-0005-0000-0000-000074000000}"/>
    <cellStyle name="style1406114189757" xfId="115" xr:uid="{00000000-0005-0000-0000-000075000000}"/>
    <cellStyle name="style1406114189778" xfId="116" xr:uid="{00000000-0005-0000-0000-000076000000}"/>
    <cellStyle name="style1406114189799" xfId="117" xr:uid="{00000000-0005-0000-0000-000077000000}"/>
    <cellStyle name="style1406114189820" xfId="118" xr:uid="{00000000-0005-0000-0000-000078000000}"/>
    <cellStyle name="style1406114189840" xfId="119" xr:uid="{00000000-0005-0000-0000-000079000000}"/>
    <cellStyle name="style1406114189860" xfId="120" xr:uid="{00000000-0005-0000-0000-00007A000000}"/>
    <cellStyle name="style1406114189886" xfId="121" xr:uid="{00000000-0005-0000-0000-00007B000000}"/>
    <cellStyle name="style1406114189911" xfId="122" xr:uid="{00000000-0005-0000-0000-00007C000000}"/>
    <cellStyle name="style1406114189990" xfId="123" xr:uid="{00000000-0005-0000-0000-00007D000000}"/>
    <cellStyle name="style1406114190017" xfId="124" xr:uid="{00000000-0005-0000-0000-00007E000000}"/>
    <cellStyle name="style1406114190044" xfId="125" xr:uid="{00000000-0005-0000-0000-00007F000000}"/>
    <cellStyle name="style1406114190069" xfId="126" xr:uid="{00000000-0005-0000-0000-000080000000}"/>
    <cellStyle name="style1406114190088" xfId="127" xr:uid="{00000000-0005-0000-0000-000081000000}"/>
    <cellStyle name="style1406114190108" xfId="128" xr:uid="{00000000-0005-0000-0000-000082000000}"/>
    <cellStyle name="style1406114190127" xfId="129" xr:uid="{00000000-0005-0000-0000-000083000000}"/>
    <cellStyle name="style1406114190148" xfId="130" xr:uid="{00000000-0005-0000-0000-000084000000}"/>
    <cellStyle name="style1406114190171" xfId="131" xr:uid="{00000000-0005-0000-0000-000085000000}"/>
    <cellStyle name="style1406114190195" xfId="132" xr:uid="{00000000-0005-0000-0000-000086000000}"/>
    <cellStyle name="style1406114190219" xfId="133" xr:uid="{00000000-0005-0000-0000-000087000000}"/>
    <cellStyle name="style1406114190238" xfId="134" xr:uid="{00000000-0005-0000-0000-000088000000}"/>
    <cellStyle name="style1406114190262" xfId="135" xr:uid="{00000000-0005-0000-0000-000089000000}"/>
    <cellStyle name="style1406114190285" xfId="136" xr:uid="{00000000-0005-0000-0000-00008A000000}"/>
    <cellStyle name="style1406114190303" xfId="137" xr:uid="{00000000-0005-0000-0000-00008B000000}"/>
    <cellStyle name="style1406114190327" xfId="138" xr:uid="{00000000-0005-0000-0000-00008C000000}"/>
    <cellStyle name="style1406114190351" xfId="139" xr:uid="{00000000-0005-0000-0000-00008D000000}"/>
    <cellStyle name="style1406114190375" xfId="140" xr:uid="{00000000-0005-0000-0000-00008E000000}"/>
    <cellStyle name="style1406114190395" xfId="141" xr:uid="{00000000-0005-0000-0000-00008F000000}"/>
    <cellStyle name="style1406114190415" xfId="142" xr:uid="{00000000-0005-0000-0000-000090000000}"/>
    <cellStyle name="style1406114190439" xfId="143" xr:uid="{00000000-0005-0000-0000-000091000000}"/>
    <cellStyle name="style1406114190464" xfId="144" xr:uid="{00000000-0005-0000-0000-000092000000}"/>
    <cellStyle name="style1406114190487" xfId="145" xr:uid="{00000000-0005-0000-0000-000093000000}"/>
    <cellStyle name="style1406114190507" xfId="146" xr:uid="{00000000-0005-0000-0000-000094000000}"/>
    <cellStyle name="style1406114190534" xfId="147" xr:uid="{00000000-0005-0000-0000-000095000000}"/>
    <cellStyle name="style1406114190553" xfId="148" xr:uid="{00000000-0005-0000-0000-000096000000}"/>
    <cellStyle name="style1406114190571" xfId="149" xr:uid="{00000000-0005-0000-0000-000097000000}"/>
    <cellStyle name="style1406114190588" xfId="150" xr:uid="{00000000-0005-0000-0000-000098000000}"/>
    <cellStyle name="style1406114190609" xfId="151" xr:uid="{00000000-0005-0000-0000-000099000000}"/>
    <cellStyle name="style1406114190628" xfId="152" xr:uid="{00000000-0005-0000-0000-00009A000000}"/>
    <cellStyle name="style1406114190647" xfId="153" xr:uid="{00000000-0005-0000-0000-00009B000000}"/>
    <cellStyle name="style1406114190666" xfId="154" xr:uid="{00000000-0005-0000-0000-00009C000000}"/>
    <cellStyle name="style1406114190687" xfId="155" xr:uid="{00000000-0005-0000-0000-00009D000000}"/>
    <cellStyle name="style1406114190844" xfId="156" xr:uid="{00000000-0005-0000-0000-00009E000000}"/>
    <cellStyle name="style1406114190863" xfId="157" xr:uid="{00000000-0005-0000-0000-00009F000000}"/>
    <cellStyle name="style1406114190881" xfId="158" xr:uid="{00000000-0005-0000-0000-0000A0000000}"/>
    <cellStyle name="style1406114190900" xfId="159" xr:uid="{00000000-0005-0000-0000-0000A1000000}"/>
    <cellStyle name="style1406114190959" xfId="160" xr:uid="{00000000-0005-0000-0000-0000A2000000}"/>
    <cellStyle name="style1406114191014" xfId="161" xr:uid="{00000000-0005-0000-0000-0000A3000000}"/>
    <cellStyle name="style1406114191303" xfId="162" xr:uid="{00000000-0005-0000-0000-0000A4000000}"/>
    <cellStyle name="style1406114191912" xfId="163" xr:uid="{00000000-0005-0000-0000-0000A5000000}"/>
    <cellStyle name="style1406114345186" xfId="164" xr:uid="{00000000-0005-0000-0000-0000A6000000}"/>
    <cellStyle name="style1406114345361" xfId="165" xr:uid="{00000000-0005-0000-0000-0000A7000000}"/>
    <cellStyle name="style1406114398523" xfId="166" xr:uid="{00000000-0005-0000-0000-0000A8000000}"/>
    <cellStyle name="style1406114398549" xfId="167" xr:uid="{00000000-0005-0000-0000-0000A9000000}"/>
    <cellStyle name="style1406114398571" xfId="168" xr:uid="{00000000-0005-0000-0000-0000AA000000}"/>
    <cellStyle name="style1406114398589" xfId="169" xr:uid="{00000000-0005-0000-0000-0000AB000000}"/>
    <cellStyle name="style1406114398610" xfId="170" xr:uid="{00000000-0005-0000-0000-0000AC000000}"/>
    <cellStyle name="style1406114398632" xfId="171" xr:uid="{00000000-0005-0000-0000-0000AD000000}"/>
    <cellStyle name="style1406114398654" xfId="172" xr:uid="{00000000-0005-0000-0000-0000AE000000}"/>
    <cellStyle name="style1406114398679" xfId="173" xr:uid="{00000000-0005-0000-0000-0000AF000000}"/>
    <cellStyle name="style1406114398703" xfId="174" xr:uid="{00000000-0005-0000-0000-0000B0000000}"/>
    <cellStyle name="style1406114398726" xfId="175" xr:uid="{00000000-0005-0000-0000-0000B1000000}"/>
    <cellStyle name="style1406114398750" xfId="176" xr:uid="{00000000-0005-0000-0000-0000B2000000}"/>
    <cellStyle name="style1406114398774" xfId="177" xr:uid="{00000000-0005-0000-0000-0000B3000000}"/>
    <cellStyle name="style1406114398792" xfId="178" xr:uid="{00000000-0005-0000-0000-0000B4000000}"/>
    <cellStyle name="style1406114398812" xfId="179" xr:uid="{00000000-0005-0000-0000-0000B5000000}"/>
    <cellStyle name="style1406114398835" xfId="180" xr:uid="{00000000-0005-0000-0000-0000B6000000}"/>
    <cellStyle name="style1406114398855" xfId="181" xr:uid="{00000000-0005-0000-0000-0000B7000000}"/>
    <cellStyle name="style1406114398880" xfId="182" xr:uid="{00000000-0005-0000-0000-0000B8000000}"/>
    <cellStyle name="style1406114398898" xfId="183" xr:uid="{00000000-0005-0000-0000-0000B9000000}"/>
    <cellStyle name="style1406114398922" xfId="184" xr:uid="{00000000-0005-0000-0000-0000BA000000}"/>
    <cellStyle name="style1406114398946" xfId="185" xr:uid="{00000000-0005-0000-0000-0000BB000000}"/>
    <cellStyle name="style1406114398972" xfId="186" xr:uid="{00000000-0005-0000-0000-0000BC000000}"/>
    <cellStyle name="style1406114398991" xfId="187" xr:uid="{00000000-0005-0000-0000-0000BD000000}"/>
    <cellStyle name="style1406114399009" xfId="188" xr:uid="{00000000-0005-0000-0000-0000BE000000}"/>
    <cellStyle name="style1406114399027" xfId="189" xr:uid="{00000000-0005-0000-0000-0000BF000000}"/>
    <cellStyle name="style1406114399044" xfId="190" xr:uid="{00000000-0005-0000-0000-0000C0000000}"/>
    <cellStyle name="style1406114399064" xfId="191" xr:uid="{00000000-0005-0000-0000-0000C1000000}"/>
    <cellStyle name="style1406114399083" xfId="192" xr:uid="{00000000-0005-0000-0000-0000C2000000}"/>
    <cellStyle name="style1406114399102" xfId="193" xr:uid="{00000000-0005-0000-0000-0000C3000000}"/>
    <cellStyle name="style1406114399120" xfId="194" xr:uid="{00000000-0005-0000-0000-0000C4000000}"/>
    <cellStyle name="style1406114399144" xfId="195" xr:uid="{00000000-0005-0000-0000-0000C5000000}"/>
    <cellStyle name="style1406114399167" xfId="196" xr:uid="{00000000-0005-0000-0000-0000C6000000}"/>
    <cellStyle name="style1406114399199" xfId="197" xr:uid="{00000000-0005-0000-0000-0000C7000000}"/>
    <cellStyle name="style1406114399226" xfId="198" xr:uid="{00000000-0005-0000-0000-0000C8000000}"/>
    <cellStyle name="style1406114399254" xfId="199" xr:uid="{00000000-0005-0000-0000-0000C9000000}"/>
    <cellStyle name="style1406114399277" xfId="200" xr:uid="{00000000-0005-0000-0000-0000CA000000}"/>
    <cellStyle name="style1406114399294" xfId="201" xr:uid="{00000000-0005-0000-0000-0000CB000000}"/>
    <cellStyle name="style1406114399311" xfId="202" xr:uid="{00000000-0005-0000-0000-0000CC000000}"/>
    <cellStyle name="style1406114399329" xfId="203" xr:uid="{00000000-0005-0000-0000-0000CD000000}"/>
    <cellStyle name="style1406114399348" xfId="204" xr:uid="{00000000-0005-0000-0000-0000CE000000}"/>
    <cellStyle name="style1406114399367" xfId="205" xr:uid="{00000000-0005-0000-0000-0000CF000000}"/>
    <cellStyle name="style1406114399389" xfId="206" xr:uid="{00000000-0005-0000-0000-0000D0000000}"/>
    <cellStyle name="style1406114399411" xfId="207" xr:uid="{00000000-0005-0000-0000-0000D1000000}"/>
    <cellStyle name="style1406114399490" xfId="208" xr:uid="{00000000-0005-0000-0000-0000D2000000}"/>
    <cellStyle name="style1406114399512" xfId="209" xr:uid="{00000000-0005-0000-0000-0000D3000000}"/>
    <cellStyle name="style1406114399534" xfId="210" xr:uid="{00000000-0005-0000-0000-0000D4000000}"/>
    <cellStyle name="style1406114399551" xfId="211" xr:uid="{00000000-0005-0000-0000-0000D5000000}"/>
    <cellStyle name="style1406114399576" xfId="212" xr:uid="{00000000-0005-0000-0000-0000D6000000}"/>
    <cellStyle name="style1406114399599" xfId="213" xr:uid="{00000000-0005-0000-0000-0000D7000000}"/>
    <cellStyle name="style1406114399622" xfId="214" xr:uid="{00000000-0005-0000-0000-0000D8000000}"/>
    <cellStyle name="style1406114399641" xfId="215" xr:uid="{00000000-0005-0000-0000-0000D9000000}"/>
    <cellStyle name="style1406114399662" xfId="216" xr:uid="{00000000-0005-0000-0000-0000DA000000}"/>
    <cellStyle name="style1406114399689" xfId="217" xr:uid="{00000000-0005-0000-0000-0000DB000000}"/>
    <cellStyle name="style1406114399716" xfId="218" xr:uid="{00000000-0005-0000-0000-0000DC000000}"/>
    <cellStyle name="style1406114399740" xfId="219" xr:uid="{00000000-0005-0000-0000-0000DD000000}"/>
    <cellStyle name="style1406114399758" xfId="220" xr:uid="{00000000-0005-0000-0000-0000DE000000}"/>
    <cellStyle name="style1406114399783" xfId="221" xr:uid="{00000000-0005-0000-0000-0000DF000000}"/>
    <cellStyle name="style1406114399802" xfId="222" xr:uid="{00000000-0005-0000-0000-0000E0000000}"/>
    <cellStyle name="style1406114399820" xfId="223" xr:uid="{00000000-0005-0000-0000-0000E1000000}"/>
    <cellStyle name="style1406114399839" xfId="224" xr:uid="{00000000-0005-0000-0000-0000E2000000}"/>
    <cellStyle name="style1406114399860" xfId="225" xr:uid="{00000000-0005-0000-0000-0000E3000000}"/>
    <cellStyle name="style1406114399878" xfId="226" xr:uid="{00000000-0005-0000-0000-0000E4000000}"/>
    <cellStyle name="style1406114399896" xfId="227" xr:uid="{00000000-0005-0000-0000-0000E5000000}"/>
    <cellStyle name="style1406114399914" xfId="228" xr:uid="{00000000-0005-0000-0000-0000E6000000}"/>
    <cellStyle name="style1406114399932" xfId="229" xr:uid="{00000000-0005-0000-0000-0000E7000000}"/>
    <cellStyle name="style1406114399951" xfId="230" xr:uid="{00000000-0005-0000-0000-0000E8000000}"/>
    <cellStyle name="style1406114399969" xfId="231" xr:uid="{00000000-0005-0000-0000-0000E9000000}"/>
    <cellStyle name="style1406114399987" xfId="232" xr:uid="{00000000-0005-0000-0000-0000EA000000}"/>
    <cellStyle name="style1406114400018" xfId="233" xr:uid="{00000000-0005-0000-0000-0000EB000000}"/>
    <cellStyle name="style1406114400104" xfId="234" xr:uid="{00000000-0005-0000-0000-0000EC000000}"/>
    <cellStyle name="style1406114400339" xfId="235" xr:uid="{00000000-0005-0000-0000-0000ED000000}"/>
    <cellStyle name="style1406114400806" xfId="236" xr:uid="{00000000-0005-0000-0000-0000EE000000}"/>
    <cellStyle name="style1406114440149" xfId="237" xr:uid="{00000000-0005-0000-0000-0000EF000000}"/>
    <cellStyle name="style1406114440175" xfId="238" xr:uid="{00000000-0005-0000-0000-0000F0000000}"/>
    <cellStyle name="style1406114440200" xfId="239" xr:uid="{00000000-0005-0000-0000-0000F1000000}"/>
    <cellStyle name="style1406114440219" xfId="240" xr:uid="{00000000-0005-0000-0000-0000F2000000}"/>
    <cellStyle name="style1406114440242" xfId="241" xr:uid="{00000000-0005-0000-0000-0000F3000000}"/>
    <cellStyle name="style1406114440265" xfId="242" xr:uid="{00000000-0005-0000-0000-0000F4000000}"/>
    <cellStyle name="style1406114440288" xfId="243" xr:uid="{00000000-0005-0000-0000-0000F5000000}"/>
    <cellStyle name="style1406114440311" xfId="244" xr:uid="{00000000-0005-0000-0000-0000F6000000}"/>
    <cellStyle name="style1406114440332" xfId="245" xr:uid="{00000000-0005-0000-0000-0000F7000000}"/>
    <cellStyle name="style1406114440354" xfId="246" xr:uid="{00000000-0005-0000-0000-0000F8000000}"/>
    <cellStyle name="style1406114440375" xfId="247" xr:uid="{00000000-0005-0000-0000-0000F9000000}"/>
    <cellStyle name="style1406114440396" xfId="248" xr:uid="{00000000-0005-0000-0000-0000FA000000}"/>
    <cellStyle name="style1406114440413" xfId="249" xr:uid="{00000000-0005-0000-0000-0000FB000000}"/>
    <cellStyle name="style1406114440430" xfId="250" xr:uid="{00000000-0005-0000-0000-0000FC000000}"/>
    <cellStyle name="style1406114440452" xfId="251" xr:uid="{00000000-0005-0000-0000-0000FD000000}"/>
    <cellStyle name="style1406114440470" xfId="252" xr:uid="{00000000-0005-0000-0000-0000FE000000}"/>
    <cellStyle name="style1406114440492" xfId="253" xr:uid="{00000000-0005-0000-0000-0000FF000000}"/>
    <cellStyle name="style1406114440509" xfId="254" xr:uid="{00000000-0005-0000-0000-000000010000}"/>
    <cellStyle name="style1406114440531" xfId="255" xr:uid="{00000000-0005-0000-0000-000001010000}"/>
    <cellStyle name="style1406114440552" xfId="256" xr:uid="{00000000-0005-0000-0000-000002010000}"/>
    <cellStyle name="style1406114440573" xfId="257" xr:uid="{00000000-0005-0000-0000-000003010000}"/>
    <cellStyle name="style1406114440590" xfId="258" xr:uid="{00000000-0005-0000-0000-000004010000}"/>
    <cellStyle name="style1406114440607" xfId="259" xr:uid="{00000000-0005-0000-0000-000005010000}"/>
    <cellStyle name="style1406114440624" xfId="260" xr:uid="{00000000-0005-0000-0000-000006010000}"/>
    <cellStyle name="style1406114440641" xfId="261" xr:uid="{00000000-0005-0000-0000-000007010000}"/>
    <cellStyle name="style1406114440657" xfId="262" xr:uid="{00000000-0005-0000-0000-000008010000}"/>
    <cellStyle name="style1406114440676" xfId="263" xr:uid="{00000000-0005-0000-0000-000009010000}"/>
    <cellStyle name="style1406114440693" xfId="264" xr:uid="{00000000-0005-0000-0000-00000A010000}"/>
    <cellStyle name="style1406114440711" xfId="265" xr:uid="{00000000-0005-0000-0000-00000B010000}"/>
    <cellStyle name="style1406114440733" xfId="266" xr:uid="{00000000-0005-0000-0000-00000C010000}"/>
    <cellStyle name="style1406114440756" xfId="267" xr:uid="{00000000-0005-0000-0000-00000D010000}"/>
    <cellStyle name="style1406114440778" xfId="268" xr:uid="{00000000-0005-0000-0000-00000E010000}"/>
    <cellStyle name="style1406114440801" xfId="269" xr:uid="{00000000-0005-0000-0000-00000F010000}"/>
    <cellStyle name="style1406114440831" xfId="270" xr:uid="{00000000-0005-0000-0000-000010010000}"/>
    <cellStyle name="style1406114440854" xfId="271" xr:uid="{00000000-0005-0000-0000-000011010000}"/>
    <cellStyle name="style1406114440871" xfId="272" xr:uid="{00000000-0005-0000-0000-000012010000}"/>
    <cellStyle name="style1406114440888" xfId="273" xr:uid="{00000000-0005-0000-0000-000013010000}"/>
    <cellStyle name="style1406114440905" xfId="274" xr:uid="{00000000-0005-0000-0000-000014010000}"/>
    <cellStyle name="style1406114440922" xfId="275" xr:uid="{00000000-0005-0000-0000-000015010000}"/>
    <cellStyle name="style1406114440941" xfId="276" xr:uid="{00000000-0005-0000-0000-000016010000}"/>
    <cellStyle name="style1406114440964" xfId="277" xr:uid="{00000000-0005-0000-0000-000017010000}"/>
    <cellStyle name="style1406114440986" xfId="278" xr:uid="{00000000-0005-0000-0000-000018010000}"/>
    <cellStyle name="style1406114441003" xfId="279" xr:uid="{00000000-0005-0000-0000-000019010000}"/>
    <cellStyle name="style1406114441024" xfId="280" xr:uid="{00000000-0005-0000-0000-00001A010000}"/>
    <cellStyle name="style1406114441046" xfId="281" xr:uid="{00000000-0005-0000-0000-00001B010000}"/>
    <cellStyle name="style1406114441063" xfId="282" xr:uid="{00000000-0005-0000-0000-00001C010000}"/>
    <cellStyle name="style1406114441085" xfId="283" xr:uid="{00000000-0005-0000-0000-00001D010000}"/>
    <cellStyle name="style1406114441106" xfId="284" xr:uid="{00000000-0005-0000-0000-00001E010000}"/>
    <cellStyle name="style1406114441127" xfId="285" xr:uid="{00000000-0005-0000-0000-00001F010000}"/>
    <cellStyle name="style1406114441144" xfId="286" xr:uid="{00000000-0005-0000-0000-000020010000}"/>
    <cellStyle name="style1406114441245" xfId="287" xr:uid="{00000000-0005-0000-0000-000021010000}"/>
    <cellStyle name="style1406114441267" xfId="288" xr:uid="{00000000-0005-0000-0000-000022010000}"/>
    <cellStyle name="style1406114441288" xfId="289" xr:uid="{00000000-0005-0000-0000-000023010000}"/>
    <cellStyle name="style1406114441309" xfId="290" xr:uid="{00000000-0005-0000-0000-000024010000}"/>
    <cellStyle name="style1406114441326" xfId="291" xr:uid="{00000000-0005-0000-0000-000025010000}"/>
    <cellStyle name="style1406114441350" xfId="292" xr:uid="{00000000-0005-0000-0000-000026010000}"/>
    <cellStyle name="style1406114441369" xfId="293" xr:uid="{00000000-0005-0000-0000-000027010000}"/>
    <cellStyle name="style1406114441387" xfId="294" xr:uid="{00000000-0005-0000-0000-000028010000}"/>
    <cellStyle name="style1406114441405" xfId="295" xr:uid="{00000000-0005-0000-0000-000029010000}"/>
    <cellStyle name="style1406114441425" xfId="296" xr:uid="{00000000-0005-0000-0000-00002A010000}"/>
    <cellStyle name="style1406114441444" xfId="297" xr:uid="{00000000-0005-0000-0000-00002B010000}"/>
    <cellStyle name="style1406114441462" xfId="298" xr:uid="{00000000-0005-0000-0000-00002C010000}"/>
    <cellStyle name="style1406114441479" xfId="299" xr:uid="{00000000-0005-0000-0000-00002D010000}"/>
    <cellStyle name="style1406114441496" xfId="300" xr:uid="{00000000-0005-0000-0000-00002E010000}"/>
    <cellStyle name="style1406114441514" xfId="301" xr:uid="{00000000-0005-0000-0000-00002F010000}"/>
    <cellStyle name="style1406114441532" xfId="302" xr:uid="{00000000-0005-0000-0000-000030010000}"/>
    <cellStyle name="style1406114441549" xfId="303" xr:uid="{00000000-0005-0000-0000-000031010000}"/>
    <cellStyle name="style1406114441566" xfId="304" xr:uid="{00000000-0005-0000-0000-000032010000}"/>
    <cellStyle name="style1406114441594" xfId="305" xr:uid="{00000000-0005-0000-0000-000033010000}"/>
    <cellStyle name="style1406114441626" xfId="306" xr:uid="{00000000-0005-0000-0000-000034010000}"/>
    <cellStyle name="style1406114442197" xfId="307" xr:uid="{00000000-0005-0000-0000-000035010000}"/>
    <cellStyle name="style1406114490232" xfId="308" xr:uid="{00000000-0005-0000-0000-000036010000}"/>
    <cellStyle name="style1406114490278" xfId="309" xr:uid="{00000000-0005-0000-0000-000037010000}"/>
    <cellStyle name="style1406114490860" xfId="310" xr:uid="{00000000-0005-0000-0000-000038010000}"/>
    <cellStyle name="style1406114491098" xfId="311" xr:uid="{00000000-0005-0000-0000-000039010000}"/>
    <cellStyle name="style1406114491204" xfId="312" xr:uid="{00000000-0005-0000-0000-00003A010000}"/>
    <cellStyle name="style1406114491528" xfId="313" xr:uid="{00000000-0005-0000-0000-00003B010000}"/>
    <cellStyle name="style1406114491549" xfId="314" xr:uid="{00000000-0005-0000-0000-00003C010000}"/>
    <cellStyle name="style1406114491606" xfId="315" xr:uid="{00000000-0005-0000-0000-00003D010000}"/>
    <cellStyle name="style1406114491677" xfId="316" xr:uid="{00000000-0005-0000-0000-00003E010000}"/>
    <cellStyle name="style1406182998088" xfId="317" xr:uid="{00000000-0005-0000-0000-00003F010000}"/>
    <cellStyle name="style1406182998186" xfId="318" xr:uid="{00000000-0005-0000-0000-000040010000}"/>
    <cellStyle name="style1406183036983" xfId="319" xr:uid="{00000000-0005-0000-0000-000041010000}"/>
    <cellStyle name="style1411446450504" xfId="320" xr:uid="{00000000-0005-0000-0000-000042010000}"/>
    <cellStyle name="style1411446450551" xfId="321" xr:uid="{00000000-0005-0000-0000-000043010000}"/>
    <cellStyle name="style1411446450598" xfId="322" xr:uid="{00000000-0005-0000-0000-000044010000}"/>
    <cellStyle name="style1411446450629" xfId="323" xr:uid="{00000000-0005-0000-0000-000045010000}"/>
    <cellStyle name="style1411446450660" xfId="324" xr:uid="{00000000-0005-0000-0000-000046010000}"/>
    <cellStyle name="style1411446450738" xfId="325" xr:uid="{00000000-0005-0000-0000-000047010000}"/>
    <cellStyle name="style1411446450769" xfId="326" xr:uid="{00000000-0005-0000-0000-000048010000}"/>
    <cellStyle name="style1411446450801" xfId="327" xr:uid="{00000000-0005-0000-0000-000049010000}"/>
    <cellStyle name="style1411446450847" xfId="328" xr:uid="{00000000-0005-0000-0000-00004A010000}"/>
    <cellStyle name="style1411446450879" xfId="329" xr:uid="{00000000-0005-0000-0000-00004B010000}"/>
    <cellStyle name="style1411446450910" xfId="330" xr:uid="{00000000-0005-0000-0000-00004C010000}"/>
    <cellStyle name="style1411446450957" xfId="331" xr:uid="{00000000-0005-0000-0000-00004D010000}"/>
    <cellStyle name="style1411446450988" xfId="332" xr:uid="{00000000-0005-0000-0000-00004E010000}"/>
    <cellStyle name="style1411446451019" xfId="333" xr:uid="{00000000-0005-0000-0000-00004F010000}"/>
    <cellStyle name="style1411446451050" xfId="334" xr:uid="{00000000-0005-0000-0000-000050010000}"/>
    <cellStyle name="style1411446451128" xfId="335" xr:uid="{00000000-0005-0000-0000-000051010000}"/>
    <cellStyle name="style1411446451159" xfId="336" xr:uid="{00000000-0005-0000-0000-000052010000}"/>
    <cellStyle name="style1411446451191" xfId="337" xr:uid="{00000000-0005-0000-0000-000053010000}"/>
    <cellStyle name="style1411446451206" xfId="338" xr:uid="{00000000-0005-0000-0000-000054010000}"/>
    <cellStyle name="style1411446451237" xfId="339" xr:uid="{00000000-0005-0000-0000-000055010000}"/>
    <cellStyle name="style1411446451269" xfId="340" xr:uid="{00000000-0005-0000-0000-000056010000}"/>
    <cellStyle name="style1411446451284" xfId="341" xr:uid="{00000000-0005-0000-0000-000057010000}"/>
    <cellStyle name="style1411446451315" xfId="342" xr:uid="{00000000-0005-0000-0000-000058010000}"/>
    <cellStyle name="style1411446451331" xfId="343" xr:uid="{00000000-0005-0000-0000-000059010000}"/>
    <cellStyle name="style1411446451362" xfId="344" xr:uid="{00000000-0005-0000-0000-00005A010000}"/>
    <cellStyle name="style1411446451378" xfId="345" xr:uid="{00000000-0005-0000-0000-00005B010000}"/>
    <cellStyle name="style1411446451409" xfId="346" xr:uid="{00000000-0005-0000-0000-00005C010000}"/>
    <cellStyle name="style1411446451471" xfId="347" xr:uid="{00000000-0005-0000-0000-00005D010000}"/>
    <cellStyle name="style1411446451518" xfId="348" xr:uid="{00000000-0005-0000-0000-00005E010000}"/>
    <cellStyle name="style1411446451549" xfId="349" xr:uid="{00000000-0005-0000-0000-00005F010000}"/>
    <cellStyle name="style1411446451581" xfId="350" xr:uid="{00000000-0005-0000-0000-000060010000}"/>
    <cellStyle name="style1411446451596" xfId="351" xr:uid="{00000000-0005-0000-0000-000061010000}"/>
    <cellStyle name="style1411446451627" xfId="352" xr:uid="{00000000-0005-0000-0000-000062010000}"/>
    <cellStyle name="style1411446451659" xfId="353" xr:uid="{00000000-0005-0000-0000-000063010000}"/>
    <cellStyle name="style1411446451690" xfId="354" xr:uid="{00000000-0005-0000-0000-000064010000}"/>
    <cellStyle name="style1411446451705" xfId="355" xr:uid="{00000000-0005-0000-0000-000065010000}"/>
    <cellStyle name="style1411446451721" xfId="356" xr:uid="{00000000-0005-0000-0000-000066010000}"/>
    <cellStyle name="style1411446451752" xfId="357" xr:uid="{00000000-0005-0000-0000-000067010000}"/>
    <cellStyle name="style1411446451815" xfId="358" xr:uid="{00000000-0005-0000-0000-000068010000}"/>
    <cellStyle name="style1411446451846" xfId="359" xr:uid="{00000000-0005-0000-0000-000069010000}"/>
    <cellStyle name="style1411446451877" xfId="360" xr:uid="{00000000-0005-0000-0000-00006A010000}"/>
    <cellStyle name="style1411446451893" xfId="361" xr:uid="{00000000-0005-0000-0000-00006B010000}"/>
    <cellStyle name="style1411446451924" xfId="362" xr:uid="{00000000-0005-0000-0000-00006C010000}"/>
    <cellStyle name="style1411446451955" xfId="363" xr:uid="{00000000-0005-0000-0000-00006D010000}"/>
    <cellStyle name="style1411446451971" xfId="364" xr:uid="{00000000-0005-0000-0000-00006E010000}"/>
    <cellStyle name="style1411446452002" xfId="365" xr:uid="{00000000-0005-0000-0000-00006F010000}"/>
    <cellStyle name="style1411446452033" xfId="366" xr:uid="{00000000-0005-0000-0000-000070010000}"/>
    <cellStyle name="style1411446452049" xfId="367" xr:uid="{00000000-0005-0000-0000-000071010000}"/>
    <cellStyle name="style1411446452111" xfId="368" xr:uid="{00000000-0005-0000-0000-000072010000}"/>
    <cellStyle name="style1411446452142" xfId="369" xr:uid="{00000000-0005-0000-0000-000073010000}"/>
    <cellStyle name="style1411446452158" xfId="370" xr:uid="{00000000-0005-0000-0000-000074010000}"/>
    <cellStyle name="style1411446452189" xfId="371" xr:uid="{00000000-0005-0000-0000-000075010000}"/>
    <cellStyle name="style1411446452220" xfId="372" xr:uid="{00000000-0005-0000-0000-000076010000}"/>
    <cellStyle name="style1411446452236" xfId="373" xr:uid="{00000000-0005-0000-0000-000077010000}"/>
    <cellStyle name="style1411446452267" xfId="374" xr:uid="{00000000-0005-0000-0000-000078010000}"/>
    <cellStyle name="style1411446452298" xfId="375" xr:uid="{00000000-0005-0000-0000-000079010000}"/>
    <cellStyle name="style1411446452314" xfId="376" xr:uid="{00000000-0005-0000-0000-00007A010000}"/>
    <cellStyle name="style1411446452329" xfId="377" xr:uid="{00000000-0005-0000-0000-00007B010000}"/>
    <cellStyle name="style1411446452361" xfId="378" xr:uid="{00000000-0005-0000-0000-00007C010000}"/>
    <cellStyle name="style1411446452407" xfId="379" xr:uid="{00000000-0005-0000-0000-00007D010000}"/>
    <cellStyle name="style1411446452439" xfId="380" xr:uid="{00000000-0005-0000-0000-00007E010000}"/>
    <cellStyle name="style1411446452454" xfId="381" xr:uid="{00000000-0005-0000-0000-00007F010000}"/>
    <cellStyle name="style1411446452485" xfId="382" xr:uid="{00000000-0005-0000-0000-000080010000}"/>
    <cellStyle name="style1411446452501" xfId="383" xr:uid="{00000000-0005-0000-0000-000081010000}"/>
    <cellStyle name="style1411446452532" xfId="384" xr:uid="{00000000-0005-0000-0000-000082010000}"/>
    <cellStyle name="style1411446452548" xfId="385" xr:uid="{00000000-0005-0000-0000-000083010000}"/>
    <cellStyle name="style1411446452563" xfId="386" xr:uid="{00000000-0005-0000-0000-000084010000}"/>
    <cellStyle name="style1411449801970" xfId="387" xr:uid="{00000000-0005-0000-0000-000085010000}"/>
    <cellStyle name="style1411449802014" xfId="388" xr:uid="{00000000-0005-0000-0000-000086010000}"/>
    <cellStyle name="style1411449802039" xfId="389" xr:uid="{00000000-0005-0000-0000-000087010000}"/>
    <cellStyle name="style1411449802064" xfId="390" xr:uid="{00000000-0005-0000-0000-000088010000}"/>
    <cellStyle name="style1411449802092" xfId="391" xr:uid="{00000000-0005-0000-0000-000089010000}"/>
    <cellStyle name="style1411449802118" xfId="392" xr:uid="{00000000-0005-0000-0000-00008A010000}"/>
    <cellStyle name="style1411449802516" xfId="393" xr:uid="{00000000-0005-0000-0000-00008B010000}"/>
    <cellStyle name="style1411449802578" xfId="394" xr:uid="{00000000-0005-0000-0000-00008C010000}"/>
    <cellStyle name="style1411449802602" xfId="395" xr:uid="{00000000-0005-0000-0000-00008D010000}"/>
    <cellStyle name="style1411449802628" xfId="396" xr:uid="{00000000-0005-0000-0000-00008E010000}"/>
    <cellStyle name="style1411449802695" xfId="397" xr:uid="{00000000-0005-0000-0000-00008F010000}"/>
    <cellStyle name="style1411449802719" xfId="398" xr:uid="{00000000-0005-0000-0000-000090010000}"/>
    <cellStyle name="style1411449802744" xfId="399" xr:uid="{00000000-0005-0000-0000-000091010000}"/>
    <cellStyle name="style1411449802916" xfId="400" xr:uid="{00000000-0005-0000-0000-000092010000}"/>
    <cellStyle name="style1411449802935" xfId="401" xr:uid="{00000000-0005-0000-0000-000093010000}"/>
    <cellStyle name="style1411449802987" xfId="402" xr:uid="{00000000-0005-0000-0000-000094010000}"/>
    <cellStyle name="style1411449803130" xfId="403" xr:uid="{00000000-0005-0000-0000-000095010000}"/>
    <cellStyle name="style1411449803296" xfId="404" xr:uid="{00000000-0005-0000-0000-000096010000}"/>
    <cellStyle name="style1411449803317" xfId="405" xr:uid="{00000000-0005-0000-0000-000097010000}"/>
    <cellStyle name="style1411449803337" xfId="406" xr:uid="{00000000-0005-0000-0000-000098010000}"/>
    <cellStyle name="style1411449803356" xfId="407" xr:uid="{00000000-0005-0000-0000-000099010000}"/>
    <cellStyle name="style1411449803379" xfId="408" xr:uid="{00000000-0005-0000-0000-00009A010000}"/>
    <cellStyle name="style1411449803400" xfId="409" xr:uid="{00000000-0005-0000-0000-00009B010000}"/>
    <cellStyle name="style1411449803420" xfId="410" xr:uid="{00000000-0005-0000-0000-00009C010000}"/>
    <cellStyle name="style1411449803440" xfId="411" xr:uid="{00000000-0005-0000-0000-00009D010000}"/>
    <cellStyle name="style1411449803461" xfId="412" xr:uid="{00000000-0005-0000-0000-00009E010000}"/>
    <cellStyle name="style1411449803483" xfId="413" xr:uid="{00000000-0005-0000-0000-00009F010000}"/>
    <cellStyle name="style1411449803510" xfId="414" xr:uid="{00000000-0005-0000-0000-0000A0010000}"/>
    <cellStyle name="style1411449803534" xfId="415" xr:uid="{00000000-0005-0000-0000-0000A1010000}"/>
    <cellStyle name="style1411449803554" xfId="416" xr:uid="{00000000-0005-0000-0000-0000A2010000}"/>
    <cellStyle name="style1411449803577" xfId="417" xr:uid="{00000000-0005-0000-0000-0000A3010000}"/>
    <cellStyle name="style1411451081406" xfId="418" xr:uid="{00000000-0005-0000-0000-0000A4010000}"/>
    <cellStyle name="style1411451081449" xfId="419" xr:uid="{00000000-0005-0000-0000-0000A5010000}"/>
    <cellStyle name="style1411451081472" xfId="420" xr:uid="{00000000-0005-0000-0000-0000A6010000}"/>
    <cellStyle name="style1411451081497" xfId="421" xr:uid="{00000000-0005-0000-0000-0000A7010000}"/>
    <cellStyle name="style1411451081522" xfId="422" xr:uid="{00000000-0005-0000-0000-0000A8010000}"/>
    <cellStyle name="style1411451081547" xfId="423" xr:uid="{00000000-0005-0000-0000-0000A9010000}"/>
    <cellStyle name="style1411451081953" xfId="424" xr:uid="{00000000-0005-0000-0000-0000AA010000}"/>
    <cellStyle name="style1411451082017" xfId="425" xr:uid="{00000000-0005-0000-0000-0000AB010000}"/>
    <cellStyle name="style1411451082043" xfId="426" xr:uid="{00000000-0005-0000-0000-0000AC010000}"/>
    <cellStyle name="style1411451082068" xfId="427" xr:uid="{00000000-0005-0000-0000-0000AD010000}"/>
    <cellStyle name="style1411451082091" xfId="428" xr:uid="{00000000-0005-0000-0000-0000AE010000}"/>
    <cellStyle name="style1411451082115" xfId="429" xr:uid="{00000000-0005-0000-0000-0000AF010000}"/>
    <cellStyle name="style1411451082188" xfId="430" xr:uid="{00000000-0005-0000-0000-0000B0010000}"/>
    <cellStyle name="style1411451082364" xfId="431" xr:uid="{00000000-0005-0000-0000-0000B1010000}"/>
    <cellStyle name="style1411451082383" xfId="432" xr:uid="{00000000-0005-0000-0000-0000B2010000}"/>
    <cellStyle name="style1411451082433" xfId="433" xr:uid="{00000000-0005-0000-0000-0000B3010000}"/>
    <cellStyle name="style1411451082533" xfId="434" xr:uid="{00000000-0005-0000-0000-0000B4010000}"/>
    <cellStyle name="style1411451082735" xfId="435" xr:uid="{00000000-0005-0000-0000-0000B5010000}"/>
    <cellStyle name="style1411451082754" xfId="436" xr:uid="{00000000-0005-0000-0000-0000B6010000}"/>
    <cellStyle name="style1411451082774" xfId="437" xr:uid="{00000000-0005-0000-0000-0000B7010000}"/>
    <cellStyle name="style1411451082793" xfId="438" xr:uid="{00000000-0005-0000-0000-0000B8010000}"/>
    <cellStyle name="style1411451082814" xfId="439" xr:uid="{00000000-0005-0000-0000-0000B9010000}"/>
    <cellStyle name="style1411451082834" xfId="440" xr:uid="{00000000-0005-0000-0000-0000BA010000}"/>
    <cellStyle name="style1411451082853" xfId="441" xr:uid="{00000000-0005-0000-0000-0000BB010000}"/>
    <cellStyle name="style1411451082873" xfId="442" xr:uid="{00000000-0005-0000-0000-0000BC010000}"/>
    <cellStyle name="style1411451082893" xfId="443" xr:uid="{00000000-0005-0000-0000-0000BD010000}"/>
    <cellStyle name="style1411451082912" xfId="444" xr:uid="{00000000-0005-0000-0000-0000BE010000}"/>
    <cellStyle name="style1411451082933" xfId="445" xr:uid="{00000000-0005-0000-0000-0000BF010000}"/>
    <cellStyle name="style1411451082954" xfId="446" xr:uid="{00000000-0005-0000-0000-0000C0010000}"/>
    <cellStyle name="style1411451082974" xfId="447" xr:uid="{00000000-0005-0000-0000-0000C1010000}"/>
    <cellStyle name="style1411451082993" xfId="448" xr:uid="{00000000-0005-0000-0000-0000C2010000}"/>
    <cellStyle name="style1411451083012" xfId="449" xr:uid="{00000000-0005-0000-0000-0000C3010000}"/>
    <cellStyle name="style1411542382001" xfId="450" xr:uid="{00000000-0005-0000-0000-0000C4010000}"/>
    <cellStyle name="style1411542382059" xfId="451" xr:uid="{00000000-0005-0000-0000-0000C5010000}"/>
    <cellStyle name="style1411542382094" xfId="452" xr:uid="{00000000-0005-0000-0000-0000C6010000}"/>
    <cellStyle name="style1411542382123" xfId="453" xr:uid="{00000000-0005-0000-0000-0000C7010000}"/>
    <cellStyle name="style1411542382156" xfId="454" xr:uid="{00000000-0005-0000-0000-0000C8010000}"/>
    <cellStyle name="style1411542382190" xfId="455" xr:uid="{00000000-0005-0000-0000-0000C9010000}"/>
    <cellStyle name="style1411542382225" xfId="456" xr:uid="{00000000-0005-0000-0000-0000CA010000}"/>
    <cellStyle name="style1411542382311" xfId="457" xr:uid="{00000000-0005-0000-0000-0000CB010000}"/>
    <cellStyle name="style1411542382346" xfId="458" xr:uid="{00000000-0005-0000-0000-0000CC010000}"/>
    <cellStyle name="style1411542382378" xfId="459" xr:uid="{00000000-0005-0000-0000-0000CD010000}"/>
    <cellStyle name="style1411542382409" xfId="460" xr:uid="{00000000-0005-0000-0000-0000CE010000}"/>
    <cellStyle name="style1411542382440" xfId="461" xr:uid="{00000000-0005-0000-0000-0000CF010000}"/>
    <cellStyle name="style1411542382466" xfId="462" xr:uid="{00000000-0005-0000-0000-0000D0010000}"/>
    <cellStyle name="style1411542382491" xfId="463" xr:uid="{00000000-0005-0000-0000-0000D1010000}"/>
    <cellStyle name="style1411542382523" xfId="464" xr:uid="{00000000-0005-0000-0000-0000D2010000}"/>
    <cellStyle name="style1411542382556" xfId="465" xr:uid="{00000000-0005-0000-0000-0000D3010000}"/>
    <cellStyle name="style1411542382585" xfId="466" xr:uid="{00000000-0005-0000-0000-0000D4010000}"/>
    <cellStyle name="style1411542382613" xfId="467" xr:uid="{00000000-0005-0000-0000-0000D5010000}"/>
    <cellStyle name="style1411542382701" xfId="468" xr:uid="{00000000-0005-0000-0000-0000D6010000}"/>
    <cellStyle name="style1411542382751" xfId="469" xr:uid="{00000000-0005-0000-0000-0000D7010000}"/>
    <cellStyle name="style1411542382774" xfId="470" xr:uid="{00000000-0005-0000-0000-0000D8010000}"/>
    <cellStyle name="style1411542382797" xfId="471" xr:uid="{00000000-0005-0000-0000-0000D9010000}"/>
    <cellStyle name="style1411542382821" xfId="472" xr:uid="{00000000-0005-0000-0000-0000DA010000}"/>
    <cellStyle name="style1411542382844" xfId="473" xr:uid="{00000000-0005-0000-0000-0000DB010000}"/>
    <cellStyle name="style1411542382872" xfId="474" xr:uid="{00000000-0005-0000-0000-0000DC010000}"/>
    <cellStyle name="style1411542382898" xfId="475" xr:uid="{00000000-0005-0000-0000-0000DD010000}"/>
    <cellStyle name="style1411542382921" xfId="476" xr:uid="{00000000-0005-0000-0000-0000DE010000}"/>
    <cellStyle name="style1411542382949" xfId="477" xr:uid="{00000000-0005-0000-0000-0000DF010000}"/>
    <cellStyle name="style1411542382977" xfId="478" xr:uid="{00000000-0005-0000-0000-0000E0010000}"/>
    <cellStyle name="style1411542383005" xfId="479" xr:uid="{00000000-0005-0000-0000-0000E1010000}"/>
    <cellStyle name="style1411542383036" xfId="480" xr:uid="{00000000-0005-0000-0000-0000E2010000}"/>
    <cellStyle name="style1411542383066" xfId="481" xr:uid="{00000000-0005-0000-0000-0000E3010000}"/>
    <cellStyle name="style1411542383094" xfId="482" xr:uid="{00000000-0005-0000-0000-0000E4010000}"/>
    <cellStyle name="style1411542383116" xfId="483" xr:uid="{00000000-0005-0000-0000-0000E5010000}"/>
    <cellStyle name="style1411542383137" xfId="484" xr:uid="{00000000-0005-0000-0000-0000E6010000}"/>
    <cellStyle name="style1411542383160" xfId="485" xr:uid="{00000000-0005-0000-0000-0000E7010000}"/>
    <cellStyle name="style1411542383184" xfId="486" xr:uid="{00000000-0005-0000-0000-0000E8010000}"/>
    <cellStyle name="style1411542383249" xfId="487" xr:uid="{00000000-0005-0000-0000-0000E9010000}"/>
    <cellStyle name="style1411542383276" xfId="488" xr:uid="{00000000-0005-0000-0000-0000EA010000}"/>
    <cellStyle name="style1411542383303" xfId="489" xr:uid="{00000000-0005-0000-0000-0000EB010000}"/>
    <cellStyle name="style1411542383332" xfId="490" xr:uid="{00000000-0005-0000-0000-0000EC010000}"/>
    <cellStyle name="style1411542383355" xfId="491" xr:uid="{00000000-0005-0000-0000-0000ED010000}"/>
    <cellStyle name="style1411542383382" xfId="492" xr:uid="{00000000-0005-0000-0000-0000EE010000}"/>
    <cellStyle name="style1411542383409" xfId="493" xr:uid="{00000000-0005-0000-0000-0000EF010000}"/>
    <cellStyle name="style1411542383430" xfId="494" xr:uid="{00000000-0005-0000-0000-0000F0010000}"/>
    <cellStyle name="style1411542383457" xfId="495" xr:uid="{00000000-0005-0000-0000-0000F1010000}"/>
    <cellStyle name="style1411542383483" xfId="496" xr:uid="{00000000-0005-0000-0000-0000F2010000}"/>
    <cellStyle name="style1411542383510" xfId="497" xr:uid="{00000000-0005-0000-0000-0000F3010000}"/>
    <cellStyle name="style1411542383530" xfId="498" xr:uid="{00000000-0005-0000-0000-0000F4010000}"/>
    <cellStyle name="style1411542383552" xfId="499" xr:uid="{00000000-0005-0000-0000-0000F5010000}"/>
    <cellStyle name="style1411542383579" xfId="500" xr:uid="{00000000-0005-0000-0000-0000F6010000}"/>
    <cellStyle name="style1411542383606" xfId="501" xr:uid="{00000000-0005-0000-0000-0000F7010000}"/>
    <cellStyle name="style1411542383632" xfId="502" xr:uid="{00000000-0005-0000-0000-0000F8010000}"/>
    <cellStyle name="style1411542383654" xfId="503" xr:uid="{00000000-0005-0000-0000-0000F9010000}"/>
    <cellStyle name="style1411542383684" xfId="504" xr:uid="{00000000-0005-0000-0000-0000FA010000}"/>
    <cellStyle name="style1411542383710" xfId="505" xr:uid="{00000000-0005-0000-0000-0000FB010000}"/>
    <cellStyle name="style1411542383732" xfId="506" xr:uid="{00000000-0005-0000-0000-0000FC010000}"/>
    <cellStyle name="style1411542383756" xfId="507" xr:uid="{00000000-0005-0000-0000-0000FD010000}"/>
    <cellStyle name="style1411542383790" xfId="508" xr:uid="{00000000-0005-0000-0000-0000FE010000}"/>
    <cellStyle name="style1411542383813" xfId="509" xr:uid="{00000000-0005-0000-0000-0000FF010000}"/>
    <cellStyle name="style1411542383835" xfId="510" xr:uid="{00000000-0005-0000-0000-000000020000}"/>
    <cellStyle name="style1411542383858" xfId="511" xr:uid="{00000000-0005-0000-0000-000001020000}"/>
    <cellStyle name="style1411542383881" xfId="512" xr:uid="{00000000-0005-0000-0000-000002020000}"/>
    <cellStyle name="style1411542383904" xfId="513" xr:uid="{00000000-0005-0000-0000-000003020000}"/>
    <cellStyle name="style1411542383967" xfId="514" xr:uid="{00000000-0005-0000-0000-000004020000}"/>
    <cellStyle name="style1411542383989" xfId="515" xr:uid="{00000000-0005-0000-0000-000005020000}"/>
    <cellStyle name="style1411542384009" xfId="516" xr:uid="{00000000-0005-0000-0000-000006020000}"/>
    <cellStyle name="style1411542384030" xfId="517" xr:uid="{00000000-0005-0000-0000-000007020000}"/>
    <cellStyle name="style1411542384052" xfId="518" xr:uid="{00000000-0005-0000-0000-000008020000}"/>
    <cellStyle name="style1411542384115" xfId="519" xr:uid="{00000000-0005-0000-0000-000009020000}"/>
    <cellStyle name="style1411542384148" xfId="520" xr:uid="{00000000-0005-0000-0000-00000A020000}"/>
    <cellStyle name="style1411542384169" xfId="521" xr:uid="{00000000-0005-0000-0000-00000B020000}"/>
    <cellStyle name="style1411542384188" xfId="522" xr:uid="{00000000-0005-0000-0000-00000C020000}"/>
    <cellStyle name="style1411542384208" xfId="523" xr:uid="{00000000-0005-0000-0000-00000D020000}"/>
    <cellStyle name="style1411542384227" xfId="524" xr:uid="{00000000-0005-0000-0000-00000E020000}"/>
    <cellStyle name="style1411542384246" xfId="525" xr:uid="{00000000-0005-0000-0000-00000F020000}"/>
    <cellStyle name="style1411542384273" xfId="526" xr:uid="{00000000-0005-0000-0000-000010020000}"/>
    <cellStyle name="style1411542384293" xfId="527" xr:uid="{00000000-0005-0000-0000-000011020000}"/>
  </cellStyles>
  <dxfs count="0"/>
  <tableStyles count="0" defaultTableStyle="TableStyleMedium2" defaultPivotStyle="PivotStyleMedium9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ndhra%20Pradesh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SVA_cur"/>
      <sheetName val="GSVA_const"/>
      <sheetName val="NSVA_cur"/>
      <sheetName val="NSVA_const"/>
    </sheetNames>
    <sheetDataSet>
      <sheetData sheetId="0">
        <row r="3">
          <cell r="I3" t="str">
            <v>01.08.2025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L39"/>
  <sheetViews>
    <sheetView zoomScale="106" zoomScaleNormal="106" zoomScaleSheetLayoutView="100" workbookViewId="0">
      <pane xSplit="2" ySplit="5" topLeftCell="C20" activePane="bottomRight" state="frozen"/>
      <selection activeCell="N7" sqref="N7:O11"/>
      <selection pane="topRight" activeCell="N7" sqref="N7:O11"/>
      <selection pane="bottomLeft" activeCell="N7" sqref="N7:O11"/>
      <selection pane="bottomRight" activeCell="B36" sqref="B36"/>
    </sheetView>
  </sheetViews>
  <sheetFormatPr defaultColWidth="8.85546875" defaultRowHeight="15" x14ac:dyDescent="0.25"/>
  <cols>
    <col min="1" max="1" width="11" style="2" customWidth="1"/>
    <col min="2" max="2" width="44" style="2" customWidth="1"/>
    <col min="3" max="7" width="10.7109375" style="2" customWidth="1"/>
    <col min="8" max="16" width="11.85546875" style="5" customWidth="1"/>
    <col min="17" max="17" width="11.5703125" style="5" customWidth="1"/>
    <col min="18" max="19" width="9.140625" style="2" customWidth="1"/>
    <col min="20" max="20" width="11.85546875" style="2" customWidth="1"/>
    <col min="21" max="21" width="11.28515625" style="2" customWidth="1"/>
    <col min="22" max="22" width="11.7109375" style="5" customWidth="1"/>
    <col min="23" max="23" width="9.140625" style="2" customWidth="1"/>
    <col min="24" max="24" width="10.85546875" style="2" customWidth="1"/>
    <col min="25" max="25" width="10.85546875" style="5" customWidth="1"/>
    <col min="26" max="26" width="11" style="2" customWidth="1"/>
    <col min="27" max="29" width="11.42578125" style="2" customWidth="1"/>
    <col min="30" max="57" width="9.140625" style="2" customWidth="1"/>
    <col min="58" max="58" width="12.42578125" style="2" customWidth="1"/>
    <col min="59" max="80" width="9.140625" style="2" customWidth="1"/>
    <col min="81" max="81" width="12.140625" style="2" customWidth="1"/>
    <col min="82" max="85" width="9.140625" style="2" customWidth="1"/>
    <col min="86" max="90" width="9.140625" style="2" hidden="1" customWidth="1"/>
    <col min="91" max="91" width="9.140625" style="2" customWidth="1"/>
    <col min="92" max="96" width="9.140625" style="2" hidden="1" customWidth="1"/>
    <col min="97" max="97" width="9.140625" style="2" customWidth="1"/>
    <col min="98" max="102" width="9.140625" style="2" hidden="1" customWidth="1"/>
    <col min="103" max="103" width="9.140625" style="2" customWidth="1"/>
    <col min="104" max="108" width="9.140625" style="2" hidden="1" customWidth="1"/>
    <col min="109" max="109" width="9.140625" style="2" customWidth="1"/>
    <col min="110" max="114" width="9.140625" style="2" hidden="1" customWidth="1"/>
    <col min="115" max="115" width="9.140625" style="5" customWidth="1"/>
    <col min="116" max="120" width="9.140625" style="5" hidden="1" customWidth="1"/>
    <col min="121" max="121" width="9.140625" style="5" customWidth="1"/>
    <col min="122" max="126" width="9.140625" style="5" hidden="1" customWidth="1"/>
    <col min="127" max="127" width="9.140625" style="5" customWidth="1"/>
    <col min="128" max="132" width="9.140625" style="5" hidden="1" customWidth="1"/>
    <col min="133" max="133" width="9.140625" style="5" customWidth="1"/>
    <col min="134" max="163" width="9.140625" style="2" customWidth="1"/>
    <col min="164" max="164" width="9.140625" style="2" hidden="1" customWidth="1"/>
    <col min="165" max="172" width="9.140625" style="2" customWidth="1"/>
    <col min="173" max="173" width="9.140625" style="2" hidden="1" customWidth="1"/>
    <col min="174" max="178" width="9.140625" style="2" customWidth="1"/>
    <col min="179" max="179" width="9.140625" style="2" hidden="1" customWidth="1"/>
    <col min="180" max="189" width="9.140625" style="2" customWidth="1"/>
    <col min="190" max="193" width="8.85546875" style="2"/>
    <col min="194" max="194" width="12.7109375" style="2" bestFit="1" customWidth="1"/>
    <col min="195" max="16384" width="8.85546875" style="2"/>
  </cols>
  <sheetData>
    <row r="1" spans="1:194" ht="18.75" x14ac:dyDescent="0.3">
      <c r="A1" s="2" t="s">
        <v>53</v>
      </c>
      <c r="B1" s="17" t="s">
        <v>66</v>
      </c>
      <c r="X1" s="6"/>
    </row>
    <row r="2" spans="1:194" ht="15.75" x14ac:dyDescent="0.25">
      <c r="A2" s="10" t="s">
        <v>48</v>
      </c>
    </row>
    <row r="3" spans="1:194" ht="15.75" x14ac:dyDescent="0.25">
      <c r="A3" s="10"/>
      <c r="H3" s="5" t="str">
        <f>[1]GSVA_cur!$I$3</f>
        <v>01.08.2025</v>
      </c>
    </row>
    <row r="4" spans="1:194" ht="15.75" x14ac:dyDescent="0.25">
      <c r="A4" s="10"/>
      <c r="E4" s="9"/>
      <c r="F4" s="9" t="s">
        <v>57</v>
      </c>
      <c r="G4" s="9"/>
    </row>
    <row r="5" spans="1:194" ht="15.75" x14ac:dyDescent="0.25">
      <c r="A5" s="11" t="s">
        <v>0</v>
      </c>
      <c r="B5" s="34" t="s">
        <v>1</v>
      </c>
      <c r="C5" s="3" t="s">
        <v>21</v>
      </c>
      <c r="D5" s="3" t="s">
        <v>22</v>
      </c>
      <c r="E5" s="3" t="s">
        <v>23</v>
      </c>
      <c r="F5" s="3" t="s">
        <v>56</v>
      </c>
      <c r="G5" s="3" t="s">
        <v>65</v>
      </c>
      <c r="H5" s="16" t="s">
        <v>67</v>
      </c>
      <c r="I5" s="16" t="s">
        <v>68</v>
      </c>
      <c r="J5" s="16" t="s">
        <v>69</v>
      </c>
      <c r="K5" s="16" t="s">
        <v>70</v>
      </c>
      <c r="L5" s="16" t="s">
        <v>71</v>
      </c>
      <c r="M5" s="16" t="s">
        <v>72</v>
      </c>
      <c r="N5" s="16" t="s">
        <v>73</v>
      </c>
      <c r="O5" s="16" t="s">
        <v>74</v>
      </c>
      <c r="P5" s="16" t="s">
        <v>76</v>
      </c>
    </row>
    <row r="6" spans="1:194" s="24" customFormat="1" ht="15.75" x14ac:dyDescent="0.25">
      <c r="A6" s="21" t="s">
        <v>26</v>
      </c>
      <c r="B6" s="22" t="s">
        <v>2</v>
      </c>
      <c r="C6" s="35">
        <f>SUM(C7:C10)</f>
        <v>2848113</v>
      </c>
      <c r="D6" s="35">
        <f t="shared" ref="D6:P6" si="0">SUM(D7:D10)</f>
        <v>3391548</v>
      </c>
      <c r="E6" s="35">
        <f t="shared" si="0"/>
        <v>3692959</v>
      </c>
      <c r="F6" s="35">
        <f t="shared" si="0"/>
        <v>3959543</v>
      </c>
      <c r="G6" s="35">
        <f t="shared" si="0"/>
        <v>4373933</v>
      </c>
      <c r="H6" s="35">
        <f t="shared" si="0"/>
        <v>4576441</v>
      </c>
      <c r="I6" s="35">
        <f t="shared" si="0"/>
        <v>4755643</v>
      </c>
      <c r="J6" s="35">
        <f t="shared" si="0"/>
        <v>5035434</v>
      </c>
      <c r="K6" s="35">
        <f t="shared" si="0"/>
        <v>7579337</v>
      </c>
      <c r="L6" s="35">
        <f t="shared" si="0"/>
        <v>8191966</v>
      </c>
      <c r="M6" s="35">
        <f t="shared" si="0"/>
        <v>8003433</v>
      </c>
      <c r="N6" s="35">
        <f t="shared" si="0"/>
        <v>10516808.550978232</v>
      </c>
      <c r="O6" s="35">
        <f t="shared" si="0"/>
        <v>11821965.542170884</v>
      </c>
      <c r="P6" s="35">
        <f t="shared" si="0"/>
        <v>12741791</v>
      </c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  <c r="EY6" s="23"/>
      <c r="EZ6" s="23"/>
      <c r="FA6" s="23"/>
      <c r="FB6" s="23"/>
      <c r="FC6" s="23"/>
      <c r="FD6" s="23"/>
      <c r="FE6" s="23"/>
      <c r="FF6" s="23"/>
      <c r="FG6" s="23"/>
      <c r="FH6" s="23"/>
      <c r="FI6" s="23"/>
      <c r="FJ6" s="23"/>
      <c r="FK6" s="23"/>
      <c r="FL6" s="23"/>
      <c r="FM6" s="23"/>
      <c r="FN6" s="23"/>
      <c r="FO6" s="23"/>
      <c r="FP6" s="23"/>
      <c r="FQ6" s="23"/>
      <c r="FR6" s="23"/>
      <c r="FS6" s="23"/>
      <c r="FT6" s="23"/>
      <c r="FU6" s="23"/>
      <c r="FV6" s="23"/>
      <c r="FW6" s="23"/>
      <c r="FX6" s="23"/>
      <c r="FY6" s="23"/>
      <c r="FZ6" s="23"/>
      <c r="GA6" s="23"/>
      <c r="GB6" s="23"/>
      <c r="GC6" s="23"/>
      <c r="GD6" s="23"/>
      <c r="GE6" s="23"/>
      <c r="GF6" s="23"/>
      <c r="GG6" s="23"/>
      <c r="GH6" s="23"/>
      <c r="GL6" s="25"/>
    </row>
    <row r="7" spans="1:194" ht="15.75" x14ac:dyDescent="0.25">
      <c r="A7" s="13">
        <v>1.1000000000000001</v>
      </c>
      <c r="B7" s="19" t="s">
        <v>59</v>
      </c>
      <c r="C7" s="36">
        <v>2061487</v>
      </c>
      <c r="D7" s="37">
        <v>2496905</v>
      </c>
      <c r="E7" s="37">
        <v>2720261</v>
      </c>
      <c r="F7" s="37">
        <v>2942082</v>
      </c>
      <c r="G7" s="38">
        <v>3210429</v>
      </c>
      <c r="H7" s="39">
        <v>3419844</v>
      </c>
      <c r="I7" s="39">
        <v>3447408</v>
      </c>
      <c r="J7" s="39">
        <v>3685044</v>
      </c>
      <c r="K7" s="39">
        <v>4176675</v>
      </c>
      <c r="L7" s="39">
        <v>4933169</v>
      </c>
      <c r="M7" s="39">
        <v>5035373</v>
      </c>
      <c r="N7" s="40">
        <v>6327265.2996849027</v>
      </c>
      <c r="O7" s="40">
        <v>7273719.1822920777</v>
      </c>
      <c r="P7" s="40">
        <v>7758991</v>
      </c>
      <c r="Q7" s="6"/>
      <c r="R7" s="7"/>
      <c r="S7" s="7"/>
      <c r="T7" s="7"/>
      <c r="U7" s="7"/>
      <c r="V7" s="6"/>
      <c r="W7" s="7"/>
      <c r="X7" s="7"/>
      <c r="Y7" s="6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5"/>
      <c r="GJ7" s="5"/>
      <c r="GK7" s="5"/>
    </row>
    <row r="8" spans="1:194" ht="15.75" x14ac:dyDescent="0.25">
      <c r="A8" s="13">
        <v>1.2</v>
      </c>
      <c r="B8" s="19" t="s">
        <v>60</v>
      </c>
      <c r="C8" s="36">
        <v>159289</v>
      </c>
      <c r="D8" s="37">
        <v>179160</v>
      </c>
      <c r="E8" s="37">
        <v>155267</v>
      </c>
      <c r="F8" s="37">
        <v>173606</v>
      </c>
      <c r="G8" s="38">
        <v>271183</v>
      </c>
      <c r="H8" s="39">
        <v>250298</v>
      </c>
      <c r="I8" s="39">
        <v>331703</v>
      </c>
      <c r="J8" s="39">
        <v>350498</v>
      </c>
      <c r="K8" s="39">
        <v>738534</v>
      </c>
      <c r="L8" s="40">
        <v>906627</v>
      </c>
      <c r="M8" s="40">
        <v>948638</v>
      </c>
      <c r="N8" s="40">
        <v>1366928.4798000001</v>
      </c>
      <c r="O8" s="40">
        <v>1481098</v>
      </c>
      <c r="P8" s="40">
        <v>1592180</v>
      </c>
      <c r="Q8" s="6"/>
      <c r="R8" s="7"/>
      <c r="S8" s="7"/>
      <c r="T8" s="7"/>
      <c r="U8" s="7"/>
      <c r="V8" s="6"/>
      <c r="W8" s="7"/>
      <c r="X8" s="7"/>
      <c r="Y8" s="6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5"/>
      <c r="GJ8" s="5"/>
      <c r="GK8" s="5"/>
    </row>
    <row r="9" spans="1:194" ht="15.75" x14ac:dyDescent="0.25">
      <c r="A9" s="13">
        <v>1.3</v>
      </c>
      <c r="B9" s="19" t="s">
        <v>61</v>
      </c>
      <c r="C9" s="36">
        <v>231388</v>
      </c>
      <c r="D9" s="37">
        <v>246368</v>
      </c>
      <c r="E9" s="37">
        <v>311458</v>
      </c>
      <c r="F9" s="37">
        <v>307004</v>
      </c>
      <c r="G9" s="38">
        <v>321284</v>
      </c>
      <c r="H9" s="39">
        <v>269621</v>
      </c>
      <c r="I9" s="39">
        <v>296298</v>
      </c>
      <c r="J9" s="39">
        <v>309904</v>
      </c>
      <c r="K9" s="39">
        <v>1224117</v>
      </c>
      <c r="L9" s="39">
        <v>740400</v>
      </c>
      <c r="M9" s="40">
        <v>543650</v>
      </c>
      <c r="N9" s="40">
        <v>1147820.3894705765</v>
      </c>
      <c r="O9" s="40">
        <v>1150302.4342165706</v>
      </c>
      <c r="P9" s="40">
        <v>1176054</v>
      </c>
      <c r="Q9" s="6"/>
      <c r="R9" s="7"/>
      <c r="S9" s="7"/>
      <c r="T9" s="7"/>
      <c r="U9" s="7"/>
      <c r="V9" s="6"/>
      <c r="W9" s="7"/>
      <c r="X9" s="7"/>
      <c r="Y9" s="6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5"/>
      <c r="GJ9" s="5"/>
      <c r="GK9" s="5"/>
    </row>
    <row r="10" spans="1:194" ht="15.75" x14ac:dyDescent="0.25">
      <c r="A10" s="13">
        <v>1.4</v>
      </c>
      <c r="B10" s="19" t="s">
        <v>62</v>
      </c>
      <c r="C10" s="36">
        <v>395949</v>
      </c>
      <c r="D10" s="37">
        <v>469115</v>
      </c>
      <c r="E10" s="37">
        <v>505973</v>
      </c>
      <c r="F10" s="37">
        <v>536851</v>
      </c>
      <c r="G10" s="38">
        <v>571037</v>
      </c>
      <c r="H10" s="39">
        <v>636678</v>
      </c>
      <c r="I10" s="39">
        <v>680234</v>
      </c>
      <c r="J10" s="39">
        <v>689988</v>
      </c>
      <c r="K10" s="41">
        <v>1440011</v>
      </c>
      <c r="L10" s="40">
        <v>1611770</v>
      </c>
      <c r="M10" s="40">
        <v>1475772</v>
      </c>
      <c r="N10" s="40">
        <v>1674794.3820227536</v>
      </c>
      <c r="O10" s="40">
        <v>1916845.9256622365</v>
      </c>
      <c r="P10" s="40">
        <v>2214566</v>
      </c>
      <c r="Q10" s="6"/>
      <c r="R10" s="7"/>
      <c r="S10" s="7"/>
      <c r="T10" s="7"/>
      <c r="U10" s="7"/>
      <c r="V10" s="6"/>
      <c r="W10" s="7"/>
      <c r="X10" s="7"/>
      <c r="Y10" s="6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5"/>
      <c r="GJ10" s="5"/>
      <c r="GK10" s="5"/>
    </row>
    <row r="11" spans="1:194" ht="15.75" x14ac:dyDescent="0.25">
      <c r="A11" s="14" t="s">
        <v>31</v>
      </c>
      <c r="B11" s="19" t="s">
        <v>3</v>
      </c>
      <c r="C11" s="39">
        <v>1464989</v>
      </c>
      <c r="D11" s="39">
        <v>1448306</v>
      </c>
      <c r="E11" s="39">
        <v>1423477</v>
      </c>
      <c r="F11" s="39">
        <v>1481001</v>
      </c>
      <c r="G11" s="39">
        <v>2746865</v>
      </c>
      <c r="H11" s="42">
        <v>2780892</v>
      </c>
      <c r="I11" s="42">
        <v>3017341</v>
      </c>
      <c r="J11" s="42">
        <v>3623744</v>
      </c>
      <c r="K11" s="42">
        <v>3374885</v>
      </c>
      <c r="L11" s="42">
        <v>2442722</v>
      </c>
      <c r="M11" s="42">
        <v>5961794</v>
      </c>
      <c r="N11" s="40">
        <v>7071959.3976898836</v>
      </c>
      <c r="O11" s="40">
        <v>7556372</v>
      </c>
      <c r="P11" s="42">
        <v>8218769</v>
      </c>
      <c r="Q11" s="6"/>
      <c r="R11" s="7"/>
      <c r="S11" s="7"/>
      <c r="T11" s="7"/>
      <c r="U11" s="7"/>
      <c r="V11" s="6"/>
      <c r="W11" s="7"/>
      <c r="X11" s="7"/>
      <c r="Y11" s="6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5"/>
      <c r="GJ11" s="5"/>
      <c r="GK11" s="5"/>
    </row>
    <row r="12" spans="1:194" s="25" customFormat="1" ht="15.75" x14ac:dyDescent="0.25">
      <c r="A12" s="26"/>
      <c r="B12" s="27" t="s">
        <v>28</v>
      </c>
      <c r="C12" s="43">
        <f>C6+C11</f>
        <v>4313102</v>
      </c>
      <c r="D12" s="43">
        <f t="shared" ref="D12:G12" si="1">D6+D11</f>
        <v>4839854</v>
      </c>
      <c r="E12" s="43">
        <f t="shared" si="1"/>
        <v>5116436</v>
      </c>
      <c r="F12" s="43">
        <f t="shared" si="1"/>
        <v>5440544</v>
      </c>
      <c r="G12" s="43">
        <f t="shared" si="1"/>
        <v>7120798</v>
      </c>
      <c r="H12" s="43">
        <f t="shared" ref="H12:P12" si="2">H6+H11</f>
        <v>7357333</v>
      </c>
      <c r="I12" s="43">
        <f t="shared" si="2"/>
        <v>7772984</v>
      </c>
      <c r="J12" s="43">
        <f t="shared" si="2"/>
        <v>8659178</v>
      </c>
      <c r="K12" s="43">
        <f t="shared" si="2"/>
        <v>10954222</v>
      </c>
      <c r="L12" s="43">
        <f t="shared" si="2"/>
        <v>10634688</v>
      </c>
      <c r="M12" s="43">
        <f t="shared" si="2"/>
        <v>13965227</v>
      </c>
      <c r="N12" s="43">
        <f t="shared" si="2"/>
        <v>17588767.948668115</v>
      </c>
      <c r="O12" s="43">
        <f t="shared" si="2"/>
        <v>19378337.542170882</v>
      </c>
      <c r="P12" s="43">
        <f t="shared" si="2"/>
        <v>20960560</v>
      </c>
      <c r="Q12" s="6"/>
      <c r="R12" s="7"/>
      <c r="S12" s="7"/>
      <c r="T12" s="7"/>
      <c r="U12" s="7"/>
      <c r="V12" s="6"/>
      <c r="W12" s="7"/>
      <c r="X12" s="7"/>
      <c r="Y12" s="6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  <c r="CA12" s="28"/>
      <c r="CB12" s="28"/>
      <c r="CC12" s="28"/>
      <c r="CD12" s="28"/>
      <c r="CE12" s="28"/>
      <c r="CF12" s="28"/>
      <c r="CG12" s="28"/>
      <c r="CH12" s="28"/>
      <c r="CI12" s="28"/>
      <c r="CJ12" s="28"/>
      <c r="CK12" s="28"/>
      <c r="CL12" s="28"/>
      <c r="CM12" s="28"/>
      <c r="CN12" s="28"/>
      <c r="CO12" s="28"/>
      <c r="CP12" s="28"/>
      <c r="CQ12" s="28"/>
      <c r="CR12" s="28"/>
      <c r="CS12" s="28"/>
      <c r="CT12" s="28"/>
      <c r="CU12" s="28"/>
      <c r="CV12" s="28"/>
      <c r="CW12" s="28"/>
      <c r="CX12" s="28"/>
      <c r="CY12" s="28"/>
      <c r="CZ12" s="28"/>
      <c r="DA12" s="28"/>
      <c r="DB12" s="28"/>
      <c r="DC12" s="28"/>
      <c r="DD12" s="28"/>
      <c r="DE12" s="28"/>
      <c r="DF12" s="28"/>
      <c r="DG12" s="28"/>
      <c r="DH12" s="28"/>
      <c r="DI12" s="28"/>
      <c r="DJ12" s="28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8"/>
      <c r="EE12" s="28"/>
      <c r="EF12" s="28"/>
      <c r="EG12" s="28"/>
      <c r="EH12" s="28"/>
      <c r="EI12" s="28"/>
      <c r="EJ12" s="28"/>
      <c r="EK12" s="28"/>
      <c r="EL12" s="28"/>
      <c r="EM12" s="28"/>
      <c r="EN12" s="28"/>
      <c r="EO12" s="28"/>
      <c r="EP12" s="28"/>
      <c r="EQ12" s="28"/>
      <c r="ER12" s="28"/>
      <c r="ES12" s="28"/>
      <c r="ET12" s="28"/>
      <c r="EU12" s="28"/>
      <c r="EV12" s="28"/>
      <c r="EW12" s="28"/>
      <c r="EX12" s="28"/>
      <c r="EY12" s="28"/>
      <c r="EZ12" s="28"/>
      <c r="FA12" s="28"/>
      <c r="FB12" s="28"/>
      <c r="FC12" s="28"/>
      <c r="FD12" s="28"/>
      <c r="FE12" s="28"/>
      <c r="FF12" s="28"/>
      <c r="FG12" s="28"/>
      <c r="FH12" s="28"/>
      <c r="FI12" s="28"/>
      <c r="FJ12" s="28"/>
      <c r="FK12" s="28"/>
      <c r="FL12" s="28"/>
      <c r="FM12" s="28"/>
      <c r="FN12" s="28"/>
      <c r="FO12" s="28"/>
      <c r="FP12" s="28"/>
      <c r="FQ12" s="28"/>
      <c r="FR12" s="28"/>
      <c r="FS12" s="28"/>
      <c r="FT12" s="28"/>
      <c r="FU12" s="28"/>
      <c r="FV12" s="28"/>
      <c r="FW12" s="28"/>
      <c r="FX12" s="28"/>
      <c r="FY12" s="28"/>
      <c r="FZ12" s="28"/>
      <c r="GA12" s="28"/>
      <c r="GB12" s="28"/>
      <c r="GC12" s="28"/>
      <c r="GD12" s="28"/>
      <c r="GE12" s="28"/>
      <c r="GF12" s="28"/>
      <c r="GG12" s="28"/>
      <c r="GH12" s="28"/>
      <c r="GI12" s="24"/>
      <c r="GJ12" s="24"/>
      <c r="GK12" s="24"/>
    </row>
    <row r="13" spans="1:194" s="5" customFormat="1" ht="15.75" x14ac:dyDescent="0.25">
      <c r="A13" s="12" t="s">
        <v>32</v>
      </c>
      <c r="B13" s="18" t="s">
        <v>4</v>
      </c>
      <c r="C13" s="1">
        <v>1540255</v>
      </c>
      <c r="D13" s="1">
        <v>1531538</v>
      </c>
      <c r="E13" s="1">
        <v>1904299</v>
      </c>
      <c r="F13" s="1">
        <v>2092300</v>
      </c>
      <c r="G13" s="1">
        <v>2616441</v>
      </c>
      <c r="H13" s="1">
        <v>3170604</v>
      </c>
      <c r="I13" s="1">
        <v>3365031</v>
      </c>
      <c r="J13" s="1">
        <v>3651565</v>
      </c>
      <c r="K13" s="1">
        <v>3619149</v>
      </c>
      <c r="L13" s="1">
        <v>4028446</v>
      </c>
      <c r="M13" s="1">
        <v>4522489</v>
      </c>
      <c r="N13" s="1">
        <v>4984902.6542853406</v>
      </c>
      <c r="O13" s="1">
        <v>5439872.7196241152</v>
      </c>
      <c r="P13" s="1">
        <v>5960465</v>
      </c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L13" s="2"/>
    </row>
    <row r="14" spans="1:194" ht="30" x14ac:dyDescent="0.25">
      <c r="A14" s="14" t="s">
        <v>33</v>
      </c>
      <c r="B14" s="19" t="s">
        <v>5</v>
      </c>
      <c r="C14" s="4">
        <v>191883</v>
      </c>
      <c r="D14" s="4">
        <v>210901</v>
      </c>
      <c r="E14" s="4">
        <v>257083</v>
      </c>
      <c r="F14" s="4">
        <v>344289</v>
      </c>
      <c r="G14" s="4">
        <v>393251</v>
      </c>
      <c r="H14" s="1">
        <v>468703</v>
      </c>
      <c r="I14" s="1">
        <v>664534</v>
      </c>
      <c r="J14" s="1">
        <v>684608</v>
      </c>
      <c r="K14" s="1">
        <v>676782</v>
      </c>
      <c r="L14" s="1">
        <v>613962</v>
      </c>
      <c r="M14" s="1">
        <v>853663</v>
      </c>
      <c r="N14" s="1">
        <v>868012.79600010999</v>
      </c>
      <c r="O14" s="1">
        <v>1181343.2894567107</v>
      </c>
      <c r="P14" s="1">
        <v>1368923</v>
      </c>
      <c r="Q14" s="6"/>
      <c r="R14" s="7"/>
      <c r="S14" s="7"/>
      <c r="T14" s="7"/>
      <c r="U14" s="7"/>
      <c r="V14" s="6"/>
      <c r="W14" s="7"/>
      <c r="X14" s="7"/>
      <c r="Y14" s="6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6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6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6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5"/>
      <c r="GJ14" s="5"/>
      <c r="GK14" s="5"/>
    </row>
    <row r="15" spans="1:194" ht="15.75" x14ac:dyDescent="0.25">
      <c r="A15" s="14" t="s">
        <v>34</v>
      </c>
      <c r="B15" s="19" t="s">
        <v>6</v>
      </c>
      <c r="C15" s="4">
        <v>1188747</v>
      </c>
      <c r="D15" s="4">
        <v>1270304</v>
      </c>
      <c r="E15" s="4">
        <v>1537481</v>
      </c>
      <c r="F15" s="4">
        <v>1678700</v>
      </c>
      <c r="G15" s="4">
        <v>1615093</v>
      </c>
      <c r="H15" s="1">
        <v>1968864</v>
      </c>
      <c r="I15" s="1">
        <v>2164602</v>
      </c>
      <c r="J15" s="1">
        <v>2093851</v>
      </c>
      <c r="K15" s="1">
        <v>2129336</v>
      </c>
      <c r="L15" s="1">
        <v>2166735</v>
      </c>
      <c r="M15" s="1">
        <v>2916037</v>
      </c>
      <c r="N15" s="1">
        <v>3539234.4064866062</v>
      </c>
      <c r="O15" s="1">
        <v>4581523</v>
      </c>
      <c r="P15" s="1">
        <v>5800397</v>
      </c>
      <c r="Q15" s="6"/>
      <c r="R15" s="7"/>
      <c r="S15" s="7"/>
      <c r="T15" s="7"/>
      <c r="U15" s="7"/>
      <c r="V15" s="6"/>
      <c r="W15" s="7"/>
      <c r="X15" s="7"/>
      <c r="Y15" s="6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6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6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6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5"/>
      <c r="GJ15" s="5"/>
      <c r="GK15" s="5"/>
    </row>
    <row r="16" spans="1:194" s="25" customFormat="1" ht="15.75" x14ac:dyDescent="0.25">
      <c r="A16" s="26"/>
      <c r="B16" s="27" t="s">
        <v>29</v>
      </c>
      <c r="C16" s="43">
        <f>+C13+C14+C15</f>
        <v>2920885</v>
      </c>
      <c r="D16" s="43">
        <f t="shared" ref="D16:E16" si="3">+D13+D14+D15</f>
        <v>3012743</v>
      </c>
      <c r="E16" s="43">
        <f t="shared" si="3"/>
        <v>3698863</v>
      </c>
      <c r="F16" s="43">
        <f t="shared" ref="F16:K16" si="4">+F13+F14+F15</f>
        <v>4115289</v>
      </c>
      <c r="G16" s="43">
        <f t="shared" si="4"/>
        <v>4624785</v>
      </c>
      <c r="H16" s="43">
        <f t="shared" si="4"/>
        <v>5608171</v>
      </c>
      <c r="I16" s="43">
        <f t="shared" si="4"/>
        <v>6194167</v>
      </c>
      <c r="J16" s="43">
        <f t="shared" si="4"/>
        <v>6430024</v>
      </c>
      <c r="K16" s="43">
        <f t="shared" si="4"/>
        <v>6425267</v>
      </c>
      <c r="L16" s="43">
        <f t="shared" ref="L16:O16" si="5">+L13+L14+L15</f>
        <v>6809143</v>
      </c>
      <c r="M16" s="43">
        <f t="shared" si="5"/>
        <v>8292189</v>
      </c>
      <c r="N16" s="43">
        <f t="shared" si="5"/>
        <v>9392149.8567720577</v>
      </c>
      <c r="O16" s="43">
        <f t="shared" si="5"/>
        <v>11202739.009080825</v>
      </c>
      <c r="P16" s="43">
        <f t="shared" ref="P16" si="6">+P13+P14+P15</f>
        <v>13129785</v>
      </c>
      <c r="Q16" s="6"/>
      <c r="R16" s="7"/>
      <c r="S16" s="7"/>
      <c r="T16" s="7"/>
      <c r="U16" s="7"/>
      <c r="V16" s="6"/>
      <c r="W16" s="7"/>
      <c r="X16" s="7"/>
      <c r="Y16" s="6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8"/>
      <c r="CQ16" s="28"/>
      <c r="CR16" s="28"/>
      <c r="CS16" s="28"/>
      <c r="CT16" s="28"/>
      <c r="CU16" s="28"/>
      <c r="CV16" s="28"/>
      <c r="CW16" s="28"/>
      <c r="CX16" s="28"/>
      <c r="CY16" s="23"/>
      <c r="CZ16" s="28"/>
      <c r="DA16" s="28"/>
      <c r="DB16" s="28"/>
      <c r="DC16" s="28"/>
      <c r="DD16" s="28"/>
      <c r="DE16" s="28"/>
      <c r="DF16" s="28"/>
      <c r="DG16" s="28"/>
      <c r="DH16" s="28"/>
      <c r="DI16" s="28"/>
      <c r="DJ16" s="28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28"/>
      <c r="EQ16" s="28"/>
      <c r="ER16" s="28"/>
      <c r="ES16" s="28"/>
      <c r="ET16" s="28"/>
      <c r="EU16" s="23"/>
      <c r="EV16" s="28"/>
      <c r="EW16" s="28"/>
      <c r="EX16" s="28"/>
      <c r="EY16" s="28"/>
      <c r="EZ16" s="28"/>
      <c r="FA16" s="28"/>
      <c r="FB16" s="28"/>
      <c r="FC16" s="28"/>
      <c r="FD16" s="28"/>
      <c r="FE16" s="28"/>
      <c r="FF16" s="28"/>
      <c r="FG16" s="28"/>
      <c r="FH16" s="28"/>
      <c r="FI16" s="28"/>
      <c r="FJ16" s="28"/>
      <c r="FK16" s="28"/>
      <c r="FL16" s="28"/>
      <c r="FM16" s="28"/>
      <c r="FN16" s="28"/>
      <c r="FO16" s="28"/>
      <c r="FP16" s="28"/>
      <c r="FQ16" s="28"/>
      <c r="FR16" s="28"/>
      <c r="FS16" s="23"/>
      <c r="FT16" s="28"/>
      <c r="FU16" s="28"/>
      <c r="FV16" s="28"/>
      <c r="FW16" s="28"/>
      <c r="FX16" s="28"/>
      <c r="FY16" s="28"/>
      <c r="FZ16" s="28"/>
      <c r="GA16" s="28"/>
      <c r="GB16" s="28"/>
      <c r="GC16" s="28"/>
      <c r="GD16" s="28"/>
      <c r="GE16" s="28"/>
      <c r="GF16" s="28"/>
      <c r="GG16" s="28"/>
      <c r="GH16" s="28"/>
      <c r="GI16" s="24"/>
      <c r="GJ16" s="24"/>
      <c r="GK16" s="24"/>
    </row>
    <row r="17" spans="1:194" s="24" customFormat="1" ht="15.75" x14ac:dyDescent="0.25">
      <c r="A17" s="21" t="s">
        <v>35</v>
      </c>
      <c r="B17" s="22" t="s">
        <v>7</v>
      </c>
      <c r="C17" s="35">
        <f>C18+C19</f>
        <v>2045676</v>
      </c>
      <c r="D17" s="35">
        <f t="shared" ref="D17:E17" si="7">D18+D19</f>
        <v>2284041</v>
      </c>
      <c r="E17" s="35">
        <f t="shared" si="7"/>
        <v>2573962</v>
      </c>
      <c r="F17" s="35">
        <f t="shared" ref="F17:K17" si="8">F18+F19</f>
        <v>2940861</v>
      </c>
      <c r="G17" s="35">
        <f t="shared" si="8"/>
        <v>2841530</v>
      </c>
      <c r="H17" s="35">
        <f t="shared" si="8"/>
        <v>3541639</v>
      </c>
      <c r="I17" s="35">
        <f t="shared" si="8"/>
        <v>3863733</v>
      </c>
      <c r="J17" s="35">
        <f t="shared" si="8"/>
        <v>4367349</v>
      </c>
      <c r="K17" s="35">
        <f t="shared" si="8"/>
        <v>4682682</v>
      </c>
      <c r="L17" s="35">
        <f t="shared" ref="L17:O17" si="9">L18+L19</f>
        <v>3778776</v>
      </c>
      <c r="M17" s="35">
        <f t="shared" si="9"/>
        <v>4344830</v>
      </c>
      <c r="N17" s="35">
        <f t="shared" si="9"/>
        <v>5202503.7882694015</v>
      </c>
      <c r="O17" s="35">
        <f t="shared" si="9"/>
        <v>6134944.1054238947</v>
      </c>
      <c r="P17" s="35">
        <f t="shared" ref="P17" si="10">P18+P19</f>
        <v>6990819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3"/>
      <c r="EY17" s="23"/>
      <c r="EZ17" s="23"/>
      <c r="FA17" s="23"/>
      <c r="FB17" s="23"/>
      <c r="FC17" s="23"/>
      <c r="FD17" s="23"/>
      <c r="FE17" s="23"/>
      <c r="FF17" s="23"/>
      <c r="FG17" s="23"/>
      <c r="FH17" s="23"/>
      <c r="FI17" s="23"/>
      <c r="FJ17" s="23"/>
      <c r="FK17" s="23"/>
      <c r="FL17" s="23"/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/>
      <c r="GG17" s="23"/>
      <c r="GH17" s="23"/>
      <c r="GL17" s="25"/>
    </row>
    <row r="18" spans="1:194" ht="15.75" x14ac:dyDescent="0.25">
      <c r="A18" s="13">
        <v>6.1</v>
      </c>
      <c r="B18" s="19" t="s">
        <v>8</v>
      </c>
      <c r="C18" s="36">
        <v>1961211</v>
      </c>
      <c r="D18" s="44">
        <v>2191727</v>
      </c>
      <c r="E18" s="44">
        <v>2473790</v>
      </c>
      <c r="F18" s="44">
        <v>2832073</v>
      </c>
      <c r="G18" s="38">
        <v>2727336</v>
      </c>
      <c r="H18" s="45">
        <v>3412068</v>
      </c>
      <c r="I18" s="45">
        <v>3725420</v>
      </c>
      <c r="J18" s="45">
        <v>4212501</v>
      </c>
      <c r="K18" s="45">
        <v>4511359</v>
      </c>
      <c r="L18" s="39">
        <v>3700357</v>
      </c>
      <c r="M18" s="46">
        <v>4225166</v>
      </c>
      <c r="N18" s="46">
        <v>4957031.3617749065</v>
      </c>
      <c r="O18" s="46">
        <v>5854128</v>
      </c>
      <c r="P18" s="46">
        <v>6623473</v>
      </c>
      <c r="Q18" s="6"/>
      <c r="R18" s="7"/>
      <c r="S18" s="7"/>
      <c r="T18" s="7"/>
      <c r="U18" s="7"/>
      <c r="V18" s="6"/>
      <c r="W18" s="7"/>
      <c r="X18" s="7"/>
      <c r="Y18" s="6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5"/>
      <c r="GJ18" s="5"/>
      <c r="GK18" s="5"/>
    </row>
    <row r="19" spans="1:194" ht="15.75" x14ac:dyDescent="0.25">
      <c r="A19" s="13">
        <v>6.2</v>
      </c>
      <c r="B19" s="19" t="s">
        <v>9</v>
      </c>
      <c r="C19" s="36">
        <v>84465</v>
      </c>
      <c r="D19" s="37">
        <v>92314</v>
      </c>
      <c r="E19" s="37">
        <v>100172</v>
      </c>
      <c r="F19" s="37">
        <v>108788</v>
      </c>
      <c r="G19" s="38">
        <v>114194</v>
      </c>
      <c r="H19" s="45">
        <v>129571</v>
      </c>
      <c r="I19" s="45">
        <v>138313</v>
      </c>
      <c r="J19" s="45">
        <v>154848</v>
      </c>
      <c r="K19" s="45">
        <v>171323</v>
      </c>
      <c r="L19" s="39">
        <v>78419</v>
      </c>
      <c r="M19" s="46">
        <v>119664</v>
      </c>
      <c r="N19" s="46">
        <v>245472.42649449527</v>
      </c>
      <c r="O19" s="46">
        <v>280816.10542389448</v>
      </c>
      <c r="P19" s="46">
        <v>367346</v>
      </c>
      <c r="Q19" s="6"/>
      <c r="R19" s="7"/>
      <c r="S19" s="7"/>
      <c r="T19" s="7"/>
      <c r="U19" s="7"/>
      <c r="V19" s="6"/>
      <c r="W19" s="7"/>
      <c r="X19" s="7"/>
      <c r="Y19" s="6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5"/>
      <c r="GJ19" s="5"/>
      <c r="GK19" s="5"/>
    </row>
    <row r="20" spans="1:194" s="24" customFormat="1" ht="30" x14ac:dyDescent="0.25">
      <c r="A20" s="29" t="s">
        <v>36</v>
      </c>
      <c r="B20" s="30" t="s">
        <v>10</v>
      </c>
      <c r="C20" s="35">
        <f>SUM(C21:C27)</f>
        <v>810091</v>
      </c>
      <c r="D20" s="35">
        <f t="shared" ref="D20:E20" si="11">SUM(D21:D27)</f>
        <v>929196</v>
      </c>
      <c r="E20" s="35">
        <f t="shared" si="11"/>
        <v>1086729</v>
      </c>
      <c r="F20" s="35">
        <f t="shared" ref="F20:P20" si="12">SUM(F21:F27)</f>
        <v>1141031</v>
      </c>
      <c r="G20" s="35">
        <f t="shared" si="12"/>
        <v>1450602</v>
      </c>
      <c r="H20" s="35">
        <f t="shared" si="12"/>
        <v>1437617</v>
      </c>
      <c r="I20" s="35">
        <f t="shared" si="12"/>
        <v>1521029</v>
      </c>
      <c r="J20" s="35">
        <f t="shared" si="12"/>
        <v>1635792</v>
      </c>
      <c r="K20" s="35">
        <f t="shared" si="12"/>
        <v>2021589</v>
      </c>
      <c r="L20" s="35">
        <f t="shared" si="12"/>
        <v>1915364</v>
      </c>
      <c r="M20" s="35">
        <f t="shared" si="12"/>
        <v>2224542</v>
      </c>
      <c r="N20" s="35">
        <f t="shared" si="12"/>
        <v>2545996.7131482475</v>
      </c>
      <c r="O20" s="35">
        <f t="shared" si="12"/>
        <v>2850792.1239092061</v>
      </c>
      <c r="P20" s="35">
        <f t="shared" si="12"/>
        <v>3392521</v>
      </c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3"/>
      <c r="EY20" s="23"/>
      <c r="EZ20" s="23"/>
      <c r="FA20" s="23"/>
      <c r="FB20" s="23"/>
      <c r="FC20" s="23"/>
      <c r="FD20" s="23"/>
      <c r="FE20" s="23"/>
      <c r="FF20" s="23"/>
      <c r="FG20" s="23"/>
      <c r="FH20" s="23"/>
      <c r="FI20" s="23"/>
      <c r="FJ20" s="23"/>
      <c r="FK20" s="23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D20" s="23"/>
      <c r="GE20" s="23"/>
      <c r="GF20" s="23"/>
      <c r="GG20" s="23"/>
      <c r="GH20" s="23"/>
      <c r="GL20" s="25"/>
    </row>
    <row r="21" spans="1:194" ht="15.75" x14ac:dyDescent="0.25">
      <c r="A21" s="13">
        <v>7.1</v>
      </c>
      <c r="B21" s="19" t="s">
        <v>11</v>
      </c>
      <c r="C21" s="4">
        <v>158334</v>
      </c>
      <c r="D21" s="4">
        <v>186316</v>
      </c>
      <c r="E21" s="4">
        <v>215234</v>
      </c>
      <c r="F21" s="4">
        <v>252509</v>
      </c>
      <c r="G21" s="4">
        <v>312914</v>
      </c>
      <c r="H21" s="1">
        <v>269623</v>
      </c>
      <c r="I21" s="1">
        <v>281927</v>
      </c>
      <c r="J21" s="1">
        <v>303310</v>
      </c>
      <c r="K21" s="1">
        <v>583011</v>
      </c>
      <c r="L21" s="1">
        <v>549967</v>
      </c>
      <c r="M21" s="1">
        <v>386047</v>
      </c>
      <c r="N21" s="1">
        <v>440423</v>
      </c>
      <c r="O21" s="1">
        <v>465162</v>
      </c>
      <c r="P21" s="1">
        <v>642341</v>
      </c>
      <c r="Q21" s="6"/>
      <c r="R21" s="7"/>
      <c r="S21" s="7"/>
      <c r="T21" s="7"/>
      <c r="U21" s="7"/>
      <c r="V21" s="6"/>
      <c r="W21" s="7"/>
      <c r="X21" s="7"/>
      <c r="Y21" s="6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5"/>
      <c r="GJ21" s="5"/>
      <c r="GK21" s="5"/>
    </row>
    <row r="22" spans="1:194" ht="15.75" x14ac:dyDescent="0.25">
      <c r="A22" s="13">
        <v>7.2</v>
      </c>
      <c r="B22" s="19" t="s">
        <v>12</v>
      </c>
      <c r="C22" s="4">
        <v>356262</v>
      </c>
      <c r="D22" s="4">
        <v>422930</v>
      </c>
      <c r="E22" s="4">
        <v>474743</v>
      </c>
      <c r="F22" s="4">
        <v>519253</v>
      </c>
      <c r="G22" s="4">
        <v>556176</v>
      </c>
      <c r="H22" s="1">
        <v>607321</v>
      </c>
      <c r="I22" s="1">
        <v>644659</v>
      </c>
      <c r="J22" s="1">
        <v>724845</v>
      </c>
      <c r="K22" s="1">
        <v>715493</v>
      </c>
      <c r="L22" s="1">
        <v>579847</v>
      </c>
      <c r="M22" s="1">
        <v>932972</v>
      </c>
      <c r="N22" s="1">
        <v>1035678.7186433999</v>
      </c>
      <c r="O22" s="1">
        <v>1155241</v>
      </c>
      <c r="P22" s="1">
        <v>1268211</v>
      </c>
      <c r="Q22" s="6"/>
      <c r="R22" s="7"/>
      <c r="S22" s="7"/>
      <c r="T22" s="7"/>
      <c r="U22" s="7"/>
      <c r="V22" s="6"/>
      <c r="W22" s="7"/>
      <c r="X22" s="7"/>
      <c r="Y22" s="6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5"/>
      <c r="GJ22" s="5"/>
      <c r="GK22" s="5"/>
    </row>
    <row r="23" spans="1:194" ht="15.75" x14ac:dyDescent="0.25">
      <c r="A23" s="13">
        <v>7.3</v>
      </c>
      <c r="B23" s="19" t="s">
        <v>13</v>
      </c>
      <c r="C23" s="4">
        <v>43626</v>
      </c>
      <c r="D23" s="4">
        <v>47129</v>
      </c>
      <c r="E23" s="4">
        <v>25033</v>
      </c>
      <c r="F23" s="4">
        <v>4395</v>
      </c>
      <c r="G23" s="4">
        <v>27714</v>
      </c>
      <c r="H23" s="1">
        <v>29185</v>
      </c>
      <c r="I23" s="1">
        <v>31877</v>
      </c>
      <c r="J23" s="1">
        <v>35950</v>
      </c>
      <c r="K23" s="1">
        <v>41931</v>
      </c>
      <c r="L23" s="1">
        <v>46450</v>
      </c>
      <c r="M23" s="1">
        <v>54949</v>
      </c>
      <c r="N23" s="1">
        <v>59288.305410499968</v>
      </c>
      <c r="O23" s="1">
        <v>59548.061069895943</v>
      </c>
      <c r="P23" s="1">
        <v>116067</v>
      </c>
      <c r="Q23" s="6"/>
      <c r="R23" s="7"/>
      <c r="S23" s="7"/>
      <c r="T23" s="7"/>
      <c r="U23" s="7"/>
      <c r="V23" s="6"/>
      <c r="W23" s="7"/>
      <c r="X23" s="7"/>
      <c r="Y23" s="6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5"/>
      <c r="GJ23" s="5"/>
      <c r="GK23" s="5"/>
    </row>
    <row r="24" spans="1:194" ht="15.75" x14ac:dyDescent="0.25">
      <c r="A24" s="13">
        <v>7.4</v>
      </c>
      <c r="B24" s="19" t="s">
        <v>14</v>
      </c>
      <c r="C24" s="4" t="s">
        <v>77</v>
      </c>
      <c r="D24" s="4">
        <v>255</v>
      </c>
      <c r="E24" s="4">
        <v>9711</v>
      </c>
      <c r="F24" s="4">
        <v>16949</v>
      </c>
      <c r="G24" s="4">
        <v>30620</v>
      </c>
      <c r="H24" s="1">
        <v>37284</v>
      </c>
      <c r="I24" s="1">
        <v>40040</v>
      </c>
      <c r="J24" s="1">
        <v>24624</v>
      </c>
      <c r="K24" s="1">
        <v>43280</v>
      </c>
      <c r="L24" s="1">
        <v>27246</v>
      </c>
      <c r="M24" s="1">
        <v>24111</v>
      </c>
      <c r="N24" s="1">
        <v>35192.285855509741</v>
      </c>
      <c r="O24" s="1">
        <v>64962.578972695279</v>
      </c>
      <c r="P24" s="1">
        <v>69795</v>
      </c>
      <c r="Q24" s="6"/>
      <c r="R24" s="7"/>
      <c r="S24" s="7"/>
      <c r="T24" s="7"/>
      <c r="U24" s="7"/>
      <c r="V24" s="6"/>
      <c r="W24" s="7"/>
      <c r="X24" s="7"/>
      <c r="Y24" s="6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5"/>
      <c r="GJ24" s="5"/>
      <c r="GK24" s="5"/>
    </row>
    <row r="25" spans="1:194" ht="15.75" x14ac:dyDescent="0.25">
      <c r="A25" s="13">
        <v>7.5</v>
      </c>
      <c r="B25" s="19" t="s">
        <v>15</v>
      </c>
      <c r="C25" s="4">
        <v>36400</v>
      </c>
      <c r="D25" s="4">
        <v>39855</v>
      </c>
      <c r="E25" s="4">
        <v>36798</v>
      </c>
      <c r="F25" s="4">
        <v>36254</v>
      </c>
      <c r="G25" s="4">
        <v>66172</v>
      </c>
      <c r="H25" s="1">
        <v>27361</v>
      </c>
      <c r="I25" s="1">
        <v>29640</v>
      </c>
      <c r="J25" s="1">
        <v>37690</v>
      </c>
      <c r="K25" s="1">
        <v>37492</v>
      </c>
      <c r="L25" s="1">
        <v>15300</v>
      </c>
      <c r="M25" s="1">
        <v>18807</v>
      </c>
      <c r="N25" s="1">
        <v>33426.342080525079</v>
      </c>
      <c r="O25" s="1">
        <v>43007.826273283128</v>
      </c>
      <c r="P25" s="1">
        <v>43176</v>
      </c>
      <c r="Q25" s="6"/>
      <c r="R25" s="7"/>
      <c r="S25" s="7"/>
      <c r="T25" s="7"/>
      <c r="U25" s="7"/>
      <c r="V25" s="6"/>
      <c r="W25" s="7"/>
      <c r="X25" s="7"/>
      <c r="Y25" s="6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5"/>
      <c r="GJ25" s="5"/>
      <c r="GK25" s="5"/>
    </row>
    <row r="26" spans="1:194" ht="15.75" x14ac:dyDescent="0.25">
      <c r="A26" s="13">
        <v>7.6</v>
      </c>
      <c r="B26" s="19" t="s">
        <v>16</v>
      </c>
      <c r="C26" s="4">
        <v>6594</v>
      </c>
      <c r="D26" s="4">
        <v>7277</v>
      </c>
      <c r="E26" s="4">
        <v>8377</v>
      </c>
      <c r="F26" s="4">
        <v>8874</v>
      </c>
      <c r="G26" s="4">
        <v>9501</v>
      </c>
      <c r="H26" s="1">
        <v>10525</v>
      </c>
      <c r="I26" s="1">
        <v>11071</v>
      </c>
      <c r="J26" s="1">
        <v>19009</v>
      </c>
      <c r="K26" s="1">
        <v>19929</v>
      </c>
      <c r="L26" s="1">
        <v>20800</v>
      </c>
      <c r="M26" s="1">
        <v>22527</v>
      </c>
      <c r="N26" s="1">
        <v>25328.061158312739</v>
      </c>
      <c r="O26" s="1">
        <v>29716.657593331849</v>
      </c>
      <c r="P26" s="1">
        <v>35649</v>
      </c>
      <c r="Q26" s="6"/>
      <c r="R26" s="7"/>
      <c r="S26" s="7"/>
      <c r="T26" s="7"/>
      <c r="U26" s="7"/>
      <c r="V26" s="6"/>
      <c r="W26" s="7"/>
      <c r="X26" s="7"/>
      <c r="Y26" s="6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5"/>
      <c r="GJ26" s="5"/>
      <c r="GK26" s="5"/>
    </row>
    <row r="27" spans="1:194" ht="30" x14ac:dyDescent="0.25">
      <c r="A27" s="13">
        <v>7.7</v>
      </c>
      <c r="B27" s="19" t="s">
        <v>17</v>
      </c>
      <c r="C27" s="4">
        <v>208875</v>
      </c>
      <c r="D27" s="4">
        <v>225434</v>
      </c>
      <c r="E27" s="4">
        <v>316833</v>
      </c>
      <c r="F27" s="4">
        <v>302797</v>
      </c>
      <c r="G27" s="4">
        <v>447505</v>
      </c>
      <c r="H27" s="1">
        <v>456318</v>
      </c>
      <c r="I27" s="1">
        <v>481815</v>
      </c>
      <c r="J27" s="1">
        <v>490364</v>
      </c>
      <c r="K27" s="1">
        <v>580453</v>
      </c>
      <c r="L27" s="1">
        <v>675754</v>
      </c>
      <c r="M27" s="1">
        <v>785129</v>
      </c>
      <c r="N27" s="1">
        <v>916660</v>
      </c>
      <c r="O27" s="1">
        <v>1033154</v>
      </c>
      <c r="P27" s="1">
        <v>1217282</v>
      </c>
      <c r="Q27" s="6"/>
      <c r="R27" s="7"/>
      <c r="S27" s="7"/>
      <c r="T27" s="7"/>
      <c r="U27" s="7"/>
      <c r="V27" s="6"/>
      <c r="W27" s="7"/>
      <c r="X27" s="7"/>
      <c r="Y27" s="6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5"/>
      <c r="GJ27" s="5"/>
      <c r="GK27" s="5"/>
    </row>
    <row r="28" spans="1:194" ht="15.75" x14ac:dyDescent="0.25">
      <c r="A28" s="14" t="s">
        <v>37</v>
      </c>
      <c r="B28" s="19" t="s">
        <v>18</v>
      </c>
      <c r="C28" s="4">
        <v>427077</v>
      </c>
      <c r="D28" s="4">
        <v>457213</v>
      </c>
      <c r="E28" s="4">
        <v>515905</v>
      </c>
      <c r="F28" s="4">
        <v>543651</v>
      </c>
      <c r="G28" s="4">
        <v>647536</v>
      </c>
      <c r="H28" s="1">
        <v>665033</v>
      </c>
      <c r="I28" s="1">
        <v>795261</v>
      </c>
      <c r="J28" s="1">
        <v>871795</v>
      </c>
      <c r="K28" s="1">
        <v>1012700</v>
      </c>
      <c r="L28" s="1">
        <v>1014591</v>
      </c>
      <c r="M28" s="1">
        <v>1115297</v>
      </c>
      <c r="N28" s="1">
        <v>1355422.22</v>
      </c>
      <c r="O28" s="1">
        <v>1567528.52</v>
      </c>
      <c r="P28" s="1">
        <v>1868219</v>
      </c>
      <c r="Q28" s="6"/>
      <c r="R28" s="7"/>
      <c r="S28" s="7"/>
      <c r="T28" s="7"/>
      <c r="U28" s="7"/>
      <c r="V28" s="6"/>
      <c r="W28" s="7"/>
      <c r="X28" s="7"/>
      <c r="Y28" s="6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5"/>
      <c r="GJ28" s="5"/>
      <c r="GK28" s="5"/>
    </row>
    <row r="29" spans="1:194" ht="30" x14ac:dyDescent="0.25">
      <c r="A29" s="14" t="s">
        <v>38</v>
      </c>
      <c r="B29" s="19" t="s">
        <v>19</v>
      </c>
      <c r="C29" s="4">
        <v>1112543</v>
      </c>
      <c r="D29" s="4">
        <v>1225917</v>
      </c>
      <c r="E29" s="4">
        <v>1316472</v>
      </c>
      <c r="F29" s="4">
        <v>1395607</v>
      </c>
      <c r="G29" s="4">
        <v>1379694</v>
      </c>
      <c r="H29" s="1">
        <v>1448680</v>
      </c>
      <c r="I29" s="1">
        <v>1532750</v>
      </c>
      <c r="J29" s="1">
        <v>1636719</v>
      </c>
      <c r="K29" s="1">
        <v>1684935</v>
      </c>
      <c r="L29" s="1">
        <v>1731168</v>
      </c>
      <c r="M29" s="1">
        <v>1889239</v>
      </c>
      <c r="N29" s="1">
        <v>2102675.2757296767</v>
      </c>
      <c r="O29" s="1">
        <v>2283086.1713872915</v>
      </c>
      <c r="P29" s="1">
        <v>2476456</v>
      </c>
      <c r="Q29" s="6"/>
      <c r="R29" s="7"/>
      <c r="S29" s="7"/>
      <c r="T29" s="7"/>
      <c r="U29" s="7"/>
      <c r="V29" s="6"/>
      <c r="W29" s="7"/>
      <c r="X29" s="7"/>
      <c r="Y29" s="6"/>
      <c r="Z29" s="8"/>
      <c r="AA29" s="8"/>
      <c r="AB29" s="8"/>
      <c r="AC29" s="8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5"/>
      <c r="GJ29" s="5"/>
      <c r="GK29" s="5"/>
    </row>
    <row r="30" spans="1:194" ht="15.75" x14ac:dyDescent="0.25">
      <c r="A30" s="14" t="s">
        <v>39</v>
      </c>
      <c r="B30" s="19" t="s">
        <v>54</v>
      </c>
      <c r="C30" s="4">
        <v>821723</v>
      </c>
      <c r="D30" s="4">
        <v>929477</v>
      </c>
      <c r="E30" s="4">
        <v>982734</v>
      </c>
      <c r="F30" s="4">
        <v>1177074</v>
      </c>
      <c r="G30" s="4">
        <v>1712363</v>
      </c>
      <c r="H30" s="1">
        <v>1358632</v>
      </c>
      <c r="I30" s="1">
        <v>1944603</v>
      </c>
      <c r="J30" s="1">
        <v>1643045</v>
      </c>
      <c r="K30" s="1">
        <v>1923175</v>
      </c>
      <c r="L30" s="1">
        <v>1941718</v>
      </c>
      <c r="M30" s="1">
        <v>2235080</v>
      </c>
      <c r="N30" s="1">
        <v>2407148.7155889948</v>
      </c>
      <c r="O30" s="1">
        <v>3380815.1767140892</v>
      </c>
      <c r="P30" s="1">
        <v>4043973</v>
      </c>
      <c r="Q30" s="6"/>
      <c r="R30" s="7"/>
      <c r="S30" s="7"/>
      <c r="T30" s="7"/>
      <c r="U30" s="7"/>
      <c r="V30" s="6"/>
      <c r="W30" s="7"/>
      <c r="X30" s="7"/>
      <c r="Y30" s="6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5"/>
      <c r="GJ30" s="5"/>
      <c r="GK30" s="5"/>
    </row>
    <row r="31" spans="1:194" ht="15.75" x14ac:dyDescent="0.25">
      <c r="A31" s="14" t="s">
        <v>40</v>
      </c>
      <c r="B31" s="19" t="s">
        <v>20</v>
      </c>
      <c r="C31" s="4">
        <v>1077923</v>
      </c>
      <c r="D31" s="4">
        <v>1182533</v>
      </c>
      <c r="E31" s="4">
        <v>1493924</v>
      </c>
      <c r="F31" s="4">
        <v>1675355</v>
      </c>
      <c r="G31" s="4">
        <v>1740134</v>
      </c>
      <c r="H31" s="1">
        <v>2314436</v>
      </c>
      <c r="I31" s="1">
        <v>2646052</v>
      </c>
      <c r="J31" s="1">
        <v>2970898</v>
      </c>
      <c r="K31" s="1">
        <v>3192541</v>
      </c>
      <c r="L31" s="1">
        <v>3071384</v>
      </c>
      <c r="M31" s="1">
        <v>3817675</v>
      </c>
      <c r="N31" s="1">
        <v>4079056.6322010779</v>
      </c>
      <c r="O31" s="1">
        <v>5272246</v>
      </c>
      <c r="P31" s="1">
        <v>5937809</v>
      </c>
      <c r="Q31" s="6"/>
      <c r="R31" s="7"/>
      <c r="S31" s="7"/>
      <c r="T31" s="7"/>
      <c r="U31" s="7"/>
      <c r="V31" s="6"/>
      <c r="W31" s="7"/>
      <c r="X31" s="7"/>
      <c r="Y31" s="6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5"/>
      <c r="GJ31" s="5"/>
      <c r="GK31" s="5"/>
    </row>
    <row r="32" spans="1:194" s="25" customFormat="1" ht="15.75" x14ac:dyDescent="0.25">
      <c r="A32" s="26"/>
      <c r="B32" s="27" t="s">
        <v>30</v>
      </c>
      <c r="C32" s="43">
        <f>C17+C20+C28+C29+C30+C31</f>
        <v>6295033</v>
      </c>
      <c r="D32" s="43">
        <f t="shared" ref="D32:J32" si="13">D17+D20+D28+D29+D30+D31</f>
        <v>7008377</v>
      </c>
      <c r="E32" s="43">
        <f t="shared" si="13"/>
        <v>7969726</v>
      </c>
      <c r="F32" s="43">
        <f t="shared" si="13"/>
        <v>8873579</v>
      </c>
      <c r="G32" s="43">
        <f t="shared" si="13"/>
        <v>9771859</v>
      </c>
      <c r="H32" s="43">
        <f t="shared" si="13"/>
        <v>10766037</v>
      </c>
      <c r="I32" s="43">
        <f t="shared" si="13"/>
        <v>12303428</v>
      </c>
      <c r="J32" s="43">
        <f t="shared" si="13"/>
        <v>13125598</v>
      </c>
      <c r="K32" s="43">
        <f t="shared" ref="K32" si="14">K17+K20+K28+K29+K30+K31</f>
        <v>14517622</v>
      </c>
      <c r="L32" s="43">
        <f t="shared" ref="L32:N32" si="15">L17+L20+L28+L29+L30+L31</f>
        <v>13453001</v>
      </c>
      <c r="M32" s="43">
        <f t="shared" si="15"/>
        <v>15626663</v>
      </c>
      <c r="N32" s="43">
        <f t="shared" si="15"/>
        <v>17692803.344937399</v>
      </c>
      <c r="O32" s="43">
        <f t="shared" ref="O32:P32" si="16">O17+O20+O28+O29+O30+O31</f>
        <v>21489412.09743448</v>
      </c>
      <c r="P32" s="43">
        <f t="shared" si="16"/>
        <v>24709797</v>
      </c>
      <c r="Q32" s="6"/>
      <c r="R32" s="7"/>
      <c r="S32" s="7"/>
      <c r="T32" s="7"/>
      <c r="U32" s="7"/>
      <c r="V32" s="6"/>
      <c r="W32" s="7"/>
      <c r="X32" s="7"/>
      <c r="Y32" s="6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28"/>
      <c r="CB32" s="28"/>
      <c r="CC32" s="28"/>
      <c r="CD32" s="28"/>
      <c r="CE32" s="28"/>
      <c r="CF32" s="28"/>
      <c r="CG32" s="28"/>
      <c r="CH32" s="28"/>
      <c r="CI32" s="28"/>
      <c r="CJ32" s="28"/>
      <c r="CK32" s="28"/>
      <c r="CL32" s="28"/>
      <c r="CM32" s="28"/>
      <c r="CN32" s="28"/>
      <c r="CO32" s="28"/>
      <c r="CP32" s="28"/>
      <c r="CQ32" s="28"/>
      <c r="CR32" s="28"/>
      <c r="CS32" s="28"/>
      <c r="CT32" s="28"/>
      <c r="CU32" s="28"/>
      <c r="CV32" s="28"/>
      <c r="CW32" s="28"/>
      <c r="CX32" s="28"/>
      <c r="CY32" s="28"/>
      <c r="CZ32" s="28"/>
      <c r="DA32" s="28"/>
      <c r="DB32" s="28"/>
      <c r="DC32" s="28"/>
      <c r="DD32" s="28"/>
      <c r="DE32" s="28"/>
      <c r="DF32" s="28"/>
      <c r="DG32" s="28"/>
      <c r="DH32" s="28"/>
      <c r="DI32" s="28"/>
      <c r="DJ32" s="28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8"/>
      <c r="EE32" s="28"/>
      <c r="EF32" s="28"/>
      <c r="EG32" s="28"/>
      <c r="EH32" s="28"/>
      <c r="EI32" s="28"/>
      <c r="EJ32" s="28"/>
      <c r="EK32" s="28"/>
      <c r="EL32" s="28"/>
      <c r="EM32" s="28"/>
      <c r="EN32" s="28"/>
      <c r="EO32" s="28"/>
      <c r="EP32" s="28"/>
      <c r="EQ32" s="28"/>
      <c r="ER32" s="28"/>
      <c r="ES32" s="28"/>
      <c r="ET32" s="28"/>
      <c r="EU32" s="28"/>
      <c r="EV32" s="28"/>
      <c r="EW32" s="28"/>
      <c r="EX32" s="28"/>
      <c r="EY32" s="28"/>
      <c r="EZ32" s="28"/>
      <c r="FA32" s="28"/>
      <c r="FB32" s="28"/>
      <c r="FC32" s="28"/>
      <c r="FD32" s="28"/>
      <c r="FE32" s="28"/>
      <c r="FF32" s="28"/>
      <c r="FG32" s="28"/>
      <c r="FH32" s="28"/>
      <c r="FI32" s="28"/>
      <c r="FJ32" s="28"/>
      <c r="FK32" s="28"/>
      <c r="FL32" s="28"/>
      <c r="FM32" s="28"/>
      <c r="FN32" s="28"/>
      <c r="FO32" s="28"/>
      <c r="FP32" s="28"/>
      <c r="FQ32" s="28"/>
      <c r="FR32" s="28"/>
      <c r="FS32" s="28"/>
      <c r="FT32" s="28"/>
      <c r="FU32" s="28"/>
      <c r="FV32" s="28"/>
      <c r="FW32" s="28"/>
      <c r="FX32" s="28"/>
      <c r="FY32" s="28"/>
      <c r="FZ32" s="28"/>
      <c r="GA32" s="28"/>
      <c r="GB32" s="28"/>
      <c r="GC32" s="28"/>
      <c r="GD32" s="28"/>
      <c r="GE32" s="28"/>
      <c r="GF32" s="28"/>
      <c r="GG32" s="28"/>
      <c r="GH32" s="28"/>
      <c r="GI32" s="24"/>
      <c r="GJ32" s="24"/>
      <c r="GK32" s="24"/>
    </row>
    <row r="33" spans="1:194" s="24" customFormat="1" ht="15.75" x14ac:dyDescent="0.25">
      <c r="A33" s="21" t="s">
        <v>27</v>
      </c>
      <c r="B33" s="31" t="s">
        <v>41</v>
      </c>
      <c r="C33" s="35">
        <f>C6+C11+C13+C14+C15+C17+C20+C28+C29+C30+C31</f>
        <v>13529020</v>
      </c>
      <c r="D33" s="35">
        <f t="shared" ref="D33:J33" si="17">D6+D11+D13+D14+D15+D17+D20+D28+D29+D30+D31</f>
        <v>14860974</v>
      </c>
      <c r="E33" s="35">
        <f t="shared" si="17"/>
        <v>16785025</v>
      </c>
      <c r="F33" s="35">
        <f t="shared" si="17"/>
        <v>18429412</v>
      </c>
      <c r="G33" s="35">
        <f t="shared" si="17"/>
        <v>21517442</v>
      </c>
      <c r="H33" s="35">
        <f t="shared" si="17"/>
        <v>23731541</v>
      </c>
      <c r="I33" s="35">
        <f t="shared" si="17"/>
        <v>26270579</v>
      </c>
      <c r="J33" s="35">
        <f t="shared" si="17"/>
        <v>28214800</v>
      </c>
      <c r="K33" s="35">
        <f t="shared" ref="K33" si="18">K6+K11+K13+K14+K15+K17+K20+K28+K29+K30+K31</f>
        <v>31897111</v>
      </c>
      <c r="L33" s="35">
        <f t="shared" ref="L33:N33" si="19">L6+L11+L13+L14+L15+L17+L20+L28+L29+L30+L31</f>
        <v>30896832</v>
      </c>
      <c r="M33" s="35">
        <f t="shared" si="19"/>
        <v>37884079</v>
      </c>
      <c r="N33" s="35">
        <f t="shared" si="19"/>
        <v>44673721.150377572</v>
      </c>
      <c r="O33" s="35">
        <f t="shared" ref="O33:P33" si="20">O6+O11+O13+O14+O15+O17+O20+O28+O29+O30+O31</f>
        <v>52070488.6486862</v>
      </c>
      <c r="P33" s="35">
        <f t="shared" si="20"/>
        <v>58800142</v>
      </c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3"/>
      <c r="EY33" s="23"/>
      <c r="EZ33" s="23"/>
      <c r="FA33" s="23"/>
      <c r="FB33" s="23"/>
      <c r="FC33" s="23"/>
      <c r="FD33" s="23"/>
      <c r="FE33" s="23"/>
      <c r="FF33" s="23"/>
      <c r="FG33" s="23"/>
      <c r="FH33" s="23"/>
      <c r="FI33" s="23"/>
      <c r="FJ33" s="23"/>
      <c r="FK33" s="23"/>
      <c r="FL33" s="23"/>
      <c r="FM33" s="23"/>
      <c r="FN33" s="23"/>
      <c r="FO33" s="23"/>
      <c r="FP33" s="23"/>
      <c r="FQ33" s="23"/>
      <c r="FR33" s="23"/>
      <c r="FS33" s="23"/>
      <c r="FT33" s="23"/>
      <c r="FU33" s="23"/>
      <c r="FV33" s="23"/>
      <c r="FW33" s="23"/>
      <c r="FX33" s="23"/>
      <c r="FY33" s="23"/>
      <c r="FZ33" s="23"/>
      <c r="GA33" s="23"/>
      <c r="GB33" s="23"/>
      <c r="GC33" s="23"/>
      <c r="GD33" s="23"/>
      <c r="GE33" s="23"/>
      <c r="GF33" s="23"/>
      <c r="GG33" s="23"/>
      <c r="GH33" s="23"/>
      <c r="GL33" s="25"/>
    </row>
    <row r="34" spans="1:194" ht="15.75" x14ac:dyDescent="0.25">
      <c r="A34" s="15" t="s">
        <v>43</v>
      </c>
      <c r="B34" s="20" t="s">
        <v>25</v>
      </c>
      <c r="C34" s="3">
        <v>1203476</v>
      </c>
      <c r="D34" s="3">
        <v>1346785</v>
      </c>
      <c r="E34" s="3">
        <v>1519305</v>
      </c>
      <c r="F34" s="3">
        <v>1725309</v>
      </c>
      <c r="G34" s="3">
        <v>1773533</v>
      </c>
      <c r="H34" s="16">
        <v>2061573</v>
      </c>
      <c r="I34" s="16">
        <v>2355537</v>
      </c>
      <c r="J34" s="16">
        <v>3076218</v>
      </c>
      <c r="K34" s="16">
        <v>3163297</v>
      </c>
      <c r="L34" s="16">
        <v>3822543</v>
      </c>
      <c r="M34" s="16">
        <v>4264219.1022893963</v>
      </c>
      <c r="N34" s="16">
        <v>4861518.5625548856</v>
      </c>
      <c r="O34" s="16">
        <v>5538746.4412835846</v>
      </c>
      <c r="P34" s="16">
        <v>7140316</v>
      </c>
      <c r="Q34" s="6"/>
      <c r="R34" s="7"/>
      <c r="S34" s="7"/>
      <c r="T34" s="7"/>
      <c r="U34" s="7"/>
      <c r="V34" s="6"/>
      <c r="W34" s="7"/>
      <c r="X34" s="7"/>
      <c r="Y34" s="6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</row>
    <row r="35" spans="1:194" ht="15.75" x14ac:dyDescent="0.25">
      <c r="A35" s="15" t="s">
        <v>44</v>
      </c>
      <c r="B35" s="20" t="s">
        <v>24</v>
      </c>
      <c r="C35" s="3">
        <v>415005</v>
      </c>
      <c r="D35" s="3">
        <v>521335</v>
      </c>
      <c r="E35" s="3">
        <v>529808</v>
      </c>
      <c r="F35" s="3">
        <v>582406</v>
      </c>
      <c r="G35" s="3">
        <v>495093</v>
      </c>
      <c r="H35" s="16">
        <v>354878</v>
      </c>
      <c r="I35" s="16">
        <v>309625</v>
      </c>
      <c r="J35" s="16">
        <v>357386</v>
      </c>
      <c r="K35" s="16">
        <v>375340</v>
      </c>
      <c r="L35" s="16">
        <v>739077</v>
      </c>
      <c r="M35" s="16">
        <v>1075942</v>
      </c>
      <c r="N35" s="16">
        <v>1036747.0000000001</v>
      </c>
      <c r="O35" s="16">
        <v>680506</v>
      </c>
      <c r="P35" s="16">
        <v>1573789</v>
      </c>
      <c r="Q35" s="6"/>
      <c r="R35" s="7"/>
      <c r="S35" s="7"/>
      <c r="T35" s="7"/>
      <c r="U35" s="7"/>
      <c r="V35" s="6"/>
      <c r="W35" s="7"/>
      <c r="X35" s="7"/>
      <c r="Y35" s="6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</row>
    <row r="36" spans="1:194" s="25" customFormat="1" ht="15.75" x14ac:dyDescent="0.25">
      <c r="A36" s="32" t="s">
        <v>45</v>
      </c>
      <c r="B36" s="33" t="s">
        <v>55</v>
      </c>
      <c r="C36" s="43">
        <f>C33+C34-C35</f>
        <v>14317491</v>
      </c>
      <c r="D36" s="43">
        <f t="shared" ref="D36:E36" si="21">D33+D34-D35</f>
        <v>15686424</v>
      </c>
      <c r="E36" s="43">
        <f t="shared" si="21"/>
        <v>17774522</v>
      </c>
      <c r="F36" s="43">
        <f t="shared" ref="F36:P36" si="22">F33+F34-F35</f>
        <v>19572315</v>
      </c>
      <c r="G36" s="43">
        <f t="shared" si="22"/>
        <v>22795882</v>
      </c>
      <c r="H36" s="43">
        <f t="shared" si="22"/>
        <v>25438236</v>
      </c>
      <c r="I36" s="43">
        <f t="shared" si="22"/>
        <v>28316491</v>
      </c>
      <c r="J36" s="43">
        <f t="shared" si="22"/>
        <v>30933632</v>
      </c>
      <c r="K36" s="43">
        <f t="shared" si="22"/>
        <v>34685068</v>
      </c>
      <c r="L36" s="43">
        <f t="shared" si="22"/>
        <v>33980298</v>
      </c>
      <c r="M36" s="43">
        <f t="shared" si="22"/>
        <v>41072356.102289394</v>
      </c>
      <c r="N36" s="43">
        <f t="shared" si="22"/>
        <v>48498492.71293246</v>
      </c>
      <c r="O36" s="43">
        <f t="shared" si="22"/>
        <v>56928729.089969784</v>
      </c>
      <c r="P36" s="43">
        <f t="shared" si="22"/>
        <v>64366669</v>
      </c>
      <c r="Q36" s="6"/>
      <c r="R36" s="7"/>
      <c r="S36" s="7"/>
      <c r="T36" s="7"/>
      <c r="U36" s="7"/>
      <c r="V36" s="6"/>
      <c r="W36" s="7"/>
      <c r="X36" s="7"/>
      <c r="Y36" s="6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8"/>
      <c r="BS36" s="28"/>
      <c r="BT36" s="28"/>
      <c r="BU36" s="28"/>
      <c r="BV36" s="28"/>
      <c r="BW36" s="28"/>
      <c r="BX36" s="28"/>
      <c r="BY36" s="28"/>
      <c r="BZ36" s="28"/>
      <c r="CA36" s="28"/>
      <c r="CB36" s="28"/>
      <c r="CC36" s="28"/>
      <c r="CD36" s="28"/>
      <c r="CE36" s="28"/>
      <c r="CF36" s="28"/>
      <c r="CG36" s="28"/>
      <c r="CH36" s="28"/>
      <c r="CI36" s="28"/>
      <c r="CJ36" s="28"/>
      <c r="CK36" s="28"/>
      <c r="CL36" s="28"/>
      <c r="CM36" s="28"/>
      <c r="CN36" s="28"/>
      <c r="CO36" s="28"/>
      <c r="CP36" s="28"/>
      <c r="CQ36" s="28"/>
      <c r="CR36" s="28"/>
      <c r="CS36" s="28"/>
      <c r="CT36" s="28"/>
      <c r="CU36" s="28"/>
      <c r="CV36" s="28"/>
      <c r="CW36" s="28"/>
      <c r="CX36" s="28"/>
      <c r="CY36" s="28"/>
      <c r="CZ36" s="28"/>
      <c r="DA36" s="28"/>
      <c r="DB36" s="28"/>
      <c r="DC36" s="28"/>
      <c r="DD36" s="28"/>
      <c r="DE36" s="28"/>
      <c r="DF36" s="28"/>
      <c r="DG36" s="28"/>
      <c r="DH36" s="28"/>
      <c r="DI36" s="28"/>
      <c r="DJ36" s="28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8"/>
      <c r="EE36" s="28"/>
      <c r="EF36" s="28"/>
      <c r="EG36" s="28"/>
      <c r="EH36" s="28"/>
      <c r="EI36" s="28"/>
      <c r="EJ36" s="28"/>
      <c r="EK36" s="28"/>
      <c r="EL36" s="28"/>
      <c r="EM36" s="28"/>
      <c r="EN36" s="28"/>
      <c r="EO36" s="28"/>
      <c r="EP36" s="28"/>
      <c r="EQ36" s="28"/>
      <c r="ER36" s="28"/>
      <c r="ES36" s="28"/>
      <c r="ET36" s="28"/>
      <c r="EU36" s="28"/>
      <c r="EV36" s="28"/>
      <c r="EW36" s="28"/>
      <c r="EX36" s="28"/>
      <c r="EY36" s="28"/>
      <c r="EZ36" s="28"/>
      <c r="FA36" s="28"/>
      <c r="FB36" s="28"/>
      <c r="FC36" s="28"/>
      <c r="FD36" s="28"/>
      <c r="FE36" s="28"/>
      <c r="FF36" s="28"/>
      <c r="FG36" s="28"/>
      <c r="FH36" s="28"/>
      <c r="FI36" s="28"/>
      <c r="FJ36" s="28"/>
      <c r="FK36" s="28"/>
      <c r="FL36" s="28"/>
      <c r="FM36" s="28"/>
      <c r="FN36" s="28"/>
      <c r="FO36" s="28"/>
      <c r="FP36" s="28"/>
      <c r="FQ36" s="28"/>
      <c r="FR36" s="28"/>
      <c r="FS36" s="28"/>
      <c r="FT36" s="28"/>
      <c r="FU36" s="28"/>
      <c r="FV36" s="28"/>
      <c r="FW36" s="28"/>
      <c r="FX36" s="28"/>
      <c r="FY36" s="28"/>
      <c r="FZ36" s="28"/>
      <c r="GA36" s="28"/>
      <c r="GB36" s="28"/>
      <c r="GC36" s="28"/>
      <c r="GD36" s="28"/>
      <c r="GE36" s="28"/>
      <c r="GF36" s="28"/>
      <c r="GG36" s="28"/>
    </row>
    <row r="37" spans="1:194" ht="15.75" x14ac:dyDescent="0.25">
      <c r="A37" s="15" t="s">
        <v>46</v>
      </c>
      <c r="B37" s="20" t="s">
        <v>42</v>
      </c>
      <c r="C37" s="3">
        <v>314410</v>
      </c>
      <c r="D37" s="3">
        <v>318480</v>
      </c>
      <c r="E37" s="3">
        <v>322600</v>
      </c>
      <c r="F37" s="3">
        <v>326780</v>
      </c>
      <c r="G37" s="3">
        <v>331010</v>
      </c>
      <c r="H37" s="16">
        <v>335290</v>
      </c>
      <c r="I37" s="16">
        <v>337620</v>
      </c>
      <c r="J37" s="16">
        <v>341370</v>
      </c>
      <c r="K37" s="1">
        <v>345120</v>
      </c>
      <c r="L37" s="1">
        <v>348870</v>
      </c>
      <c r="M37" s="1">
        <v>352390</v>
      </c>
      <c r="N37" s="1">
        <v>355730</v>
      </c>
      <c r="O37" s="1">
        <v>359080</v>
      </c>
      <c r="P37" s="1">
        <v>362420</v>
      </c>
      <c r="Z37" s="5"/>
      <c r="AA37" s="5"/>
      <c r="AB37" s="5"/>
      <c r="AC37" s="5"/>
    </row>
    <row r="38" spans="1:194" s="25" customFormat="1" ht="15.75" x14ac:dyDescent="0.25">
      <c r="A38" s="32" t="s">
        <v>47</v>
      </c>
      <c r="B38" s="33" t="s">
        <v>58</v>
      </c>
      <c r="C38" s="43">
        <f>C36/C37*1000</f>
        <v>45537.645113068924</v>
      </c>
      <c r="D38" s="43">
        <f t="shared" ref="D38:E38" si="23">D36/D37*1000</f>
        <v>49254.031650339108</v>
      </c>
      <c r="E38" s="43">
        <f t="shared" si="23"/>
        <v>55097.712337259763</v>
      </c>
      <c r="F38" s="43">
        <f t="shared" ref="F38:P38" si="24">F36/F37*1000</f>
        <v>59894.470285819203</v>
      </c>
      <c r="G38" s="43">
        <f t="shared" si="24"/>
        <v>68867.653545210123</v>
      </c>
      <c r="H38" s="43">
        <f t="shared" si="24"/>
        <v>75869.354886814413</v>
      </c>
      <c r="I38" s="43">
        <f t="shared" si="24"/>
        <v>83870.893312007582</v>
      </c>
      <c r="J38" s="43">
        <f t="shared" si="24"/>
        <v>90616.140844245252</v>
      </c>
      <c r="K38" s="43">
        <f t="shared" si="24"/>
        <v>100501.47195178489</v>
      </c>
      <c r="L38" s="43">
        <f t="shared" si="24"/>
        <v>97401.031903001116</v>
      </c>
      <c r="M38" s="43">
        <f t="shared" si="24"/>
        <v>116553.69364138991</v>
      </c>
      <c r="N38" s="43">
        <f t="shared" si="24"/>
        <v>136335.12133621695</v>
      </c>
      <c r="O38" s="43">
        <f t="shared" si="24"/>
        <v>158540.5176839974</v>
      </c>
      <c r="P38" s="43">
        <f t="shared" si="24"/>
        <v>177602.41984437944</v>
      </c>
      <c r="Q38" s="6"/>
      <c r="R38" s="2"/>
      <c r="S38" s="2"/>
      <c r="T38" s="2"/>
      <c r="U38" s="2"/>
      <c r="V38" s="5"/>
      <c r="W38" s="2"/>
      <c r="X38" s="2"/>
      <c r="Y38" s="6"/>
      <c r="Z38" s="6"/>
      <c r="AA38" s="6"/>
      <c r="AB38" s="6"/>
      <c r="AC38" s="6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CD38" s="28"/>
      <c r="CE38" s="28"/>
      <c r="CF38" s="28"/>
      <c r="CG38" s="28"/>
      <c r="DK38" s="24"/>
      <c r="DL38" s="24"/>
      <c r="DM38" s="24"/>
      <c r="DN38" s="24"/>
      <c r="DO38" s="24"/>
      <c r="DP38" s="24"/>
      <c r="DQ38" s="24"/>
      <c r="DR38" s="24"/>
      <c r="DS38" s="24"/>
      <c r="DT38" s="24"/>
      <c r="DU38" s="24"/>
      <c r="DV38" s="24"/>
      <c r="DW38" s="24"/>
      <c r="DX38" s="24"/>
      <c r="DY38" s="24"/>
      <c r="DZ38" s="24"/>
      <c r="EA38" s="24"/>
      <c r="EB38" s="24"/>
      <c r="EC38" s="24"/>
    </row>
    <row r="39" spans="1:194" x14ac:dyDescent="0.25">
      <c r="A39" s="2" t="s">
        <v>75</v>
      </c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9" max="1048575" man="1"/>
    <brk id="41" max="1048575" man="1"/>
    <brk id="57" max="1048575" man="1"/>
    <brk id="121" max="95" man="1"/>
    <brk id="157" max="1048575" man="1"/>
    <brk id="181" max="1048575" man="1"/>
    <brk id="189" max="9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H39"/>
  <sheetViews>
    <sheetView zoomScale="91" zoomScaleNormal="91" zoomScaleSheetLayoutView="100" workbookViewId="0">
      <pane xSplit="2" ySplit="5" topLeftCell="C18" activePane="bottomRight" state="frozen"/>
      <selection activeCell="S29" sqref="S29"/>
      <selection pane="topRight" activeCell="S29" sqref="S29"/>
      <selection pane="bottomLeft" activeCell="S29" sqref="S29"/>
      <selection pane="bottomRight" activeCell="B36" sqref="B36"/>
    </sheetView>
  </sheetViews>
  <sheetFormatPr defaultColWidth="8.85546875" defaultRowHeight="15" x14ac:dyDescent="0.25"/>
  <cols>
    <col min="1" max="1" width="11" style="2" customWidth="1"/>
    <col min="2" max="2" width="36.140625" style="2" customWidth="1"/>
    <col min="3" max="7" width="11.140625" style="2" customWidth="1"/>
    <col min="8" max="16" width="11.85546875" style="5" customWidth="1"/>
    <col min="17" max="17" width="11.28515625" style="2" customWidth="1"/>
    <col min="18" max="18" width="11.7109375" style="5" customWidth="1"/>
    <col min="19" max="19" width="9.140625" style="2" customWidth="1"/>
    <col min="20" max="20" width="10.85546875" style="2" customWidth="1"/>
    <col min="21" max="21" width="10.85546875" style="5" customWidth="1"/>
    <col min="22" max="22" width="11" style="2" customWidth="1"/>
    <col min="23" max="25" width="11.42578125" style="2" customWidth="1"/>
    <col min="26" max="53" width="9.140625" style="2" customWidth="1"/>
    <col min="54" max="54" width="12.42578125" style="2" customWidth="1"/>
    <col min="55" max="76" width="9.140625" style="2" customWidth="1"/>
    <col min="77" max="77" width="12.140625" style="2" customWidth="1"/>
    <col min="78" max="81" width="9.140625" style="2" customWidth="1"/>
    <col min="82" max="86" width="9.140625" style="2" hidden="1" customWidth="1"/>
    <col min="87" max="87" width="9.140625" style="2" customWidth="1"/>
    <col min="88" max="92" width="9.140625" style="2" hidden="1" customWidth="1"/>
    <col min="93" max="93" width="9.140625" style="2" customWidth="1"/>
    <col min="94" max="98" width="9.140625" style="2" hidden="1" customWidth="1"/>
    <col min="99" max="99" width="9.140625" style="2" customWidth="1"/>
    <col min="100" max="104" width="9.140625" style="2" hidden="1" customWidth="1"/>
    <col min="105" max="105" width="9.140625" style="2" customWidth="1"/>
    <col min="106" max="110" width="9.140625" style="2" hidden="1" customWidth="1"/>
    <col min="111" max="111" width="9.140625" style="5" customWidth="1"/>
    <col min="112" max="116" width="9.140625" style="5" hidden="1" customWidth="1"/>
    <col min="117" max="117" width="9.140625" style="5" customWidth="1"/>
    <col min="118" max="122" width="9.140625" style="5" hidden="1" customWidth="1"/>
    <col min="123" max="123" width="9.140625" style="5" customWidth="1"/>
    <col min="124" max="128" width="9.140625" style="5" hidden="1" customWidth="1"/>
    <col min="129" max="129" width="9.140625" style="5" customWidth="1"/>
    <col min="130" max="159" width="9.140625" style="2" customWidth="1"/>
    <col min="160" max="160" width="9.140625" style="2" hidden="1" customWidth="1"/>
    <col min="161" max="168" width="9.140625" style="2" customWidth="1"/>
    <col min="169" max="169" width="9.140625" style="2" hidden="1" customWidth="1"/>
    <col min="170" max="174" width="9.140625" style="2" customWidth="1"/>
    <col min="175" max="175" width="9.140625" style="2" hidden="1" customWidth="1"/>
    <col min="176" max="185" width="9.140625" style="2" customWidth="1"/>
    <col min="186" max="186" width="9.140625" style="2"/>
    <col min="187" max="189" width="8.85546875" style="2"/>
    <col min="190" max="190" width="12.7109375" style="2" bestFit="1" customWidth="1"/>
    <col min="191" max="16384" width="8.85546875" style="2"/>
  </cols>
  <sheetData>
    <row r="1" spans="1:190" ht="18.75" x14ac:dyDescent="0.3">
      <c r="A1" s="2" t="s">
        <v>53</v>
      </c>
      <c r="B1" s="17" t="s">
        <v>66</v>
      </c>
      <c r="T1" s="6"/>
    </row>
    <row r="2" spans="1:190" ht="15.75" x14ac:dyDescent="0.25">
      <c r="A2" s="10" t="s">
        <v>49</v>
      </c>
    </row>
    <row r="3" spans="1:190" ht="15.75" x14ac:dyDescent="0.25">
      <c r="A3" s="10"/>
      <c r="H3" s="5" t="str">
        <f>[1]GSVA_cur!$I$3</f>
        <v>01.08.2025</v>
      </c>
    </row>
    <row r="4" spans="1:190" ht="15.75" x14ac:dyDescent="0.25">
      <c r="A4" s="10"/>
      <c r="E4" s="9"/>
      <c r="F4" s="9" t="s">
        <v>57</v>
      </c>
      <c r="G4" s="9"/>
    </row>
    <row r="5" spans="1:190" ht="15.75" x14ac:dyDescent="0.25">
      <c r="A5" s="11" t="s">
        <v>0</v>
      </c>
      <c r="B5" s="34" t="s">
        <v>1</v>
      </c>
      <c r="C5" s="3" t="s">
        <v>21</v>
      </c>
      <c r="D5" s="3" t="s">
        <v>22</v>
      </c>
      <c r="E5" s="3" t="s">
        <v>23</v>
      </c>
      <c r="F5" s="3" t="s">
        <v>56</v>
      </c>
      <c r="G5" s="3" t="s">
        <v>65</v>
      </c>
      <c r="H5" s="16" t="s">
        <v>67</v>
      </c>
      <c r="I5" s="16" t="s">
        <v>68</v>
      </c>
      <c r="J5" s="16" t="s">
        <v>69</v>
      </c>
      <c r="K5" s="16" t="s">
        <v>70</v>
      </c>
      <c r="L5" s="16" t="s">
        <v>71</v>
      </c>
      <c r="M5" s="16" t="s">
        <v>72</v>
      </c>
      <c r="N5" s="16" t="s">
        <v>73</v>
      </c>
      <c r="O5" s="16" t="s">
        <v>74</v>
      </c>
      <c r="P5" s="16" t="s">
        <v>76</v>
      </c>
    </row>
    <row r="6" spans="1:190" s="24" customFormat="1" ht="15.75" x14ac:dyDescent="0.25">
      <c r="A6" s="21" t="s">
        <v>26</v>
      </c>
      <c r="B6" s="22" t="s">
        <v>2</v>
      </c>
      <c r="C6" s="35">
        <f>SUM(C7:C10)</f>
        <v>2848113</v>
      </c>
      <c r="D6" s="35">
        <f t="shared" ref="D6:P6" si="0">SUM(D7:D10)</f>
        <v>3314074</v>
      </c>
      <c r="E6" s="35">
        <f t="shared" si="0"/>
        <v>3209159</v>
      </c>
      <c r="F6" s="35">
        <f t="shared" si="0"/>
        <v>3295165.1349999998</v>
      </c>
      <c r="G6" s="35">
        <f t="shared" si="0"/>
        <v>3433874</v>
      </c>
      <c r="H6" s="35">
        <f t="shared" si="0"/>
        <v>3500559</v>
      </c>
      <c r="I6" s="35">
        <f t="shared" si="0"/>
        <v>3614529</v>
      </c>
      <c r="J6" s="35">
        <f t="shared" si="0"/>
        <v>3638721</v>
      </c>
      <c r="K6" s="35">
        <f t="shared" si="0"/>
        <v>3929547</v>
      </c>
      <c r="L6" s="35">
        <f t="shared" si="0"/>
        <v>3867451</v>
      </c>
      <c r="M6" s="35">
        <f t="shared" si="0"/>
        <v>4008829</v>
      </c>
      <c r="N6" s="35">
        <f t="shared" si="0"/>
        <v>5661864.1821475001</v>
      </c>
      <c r="O6" s="35">
        <f t="shared" si="0"/>
        <v>6066374.7769044107</v>
      </c>
      <c r="P6" s="35">
        <f t="shared" si="0"/>
        <v>6213195.0005718563</v>
      </c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  <c r="EY6" s="23"/>
      <c r="EZ6" s="23"/>
      <c r="FA6" s="23"/>
      <c r="FB6" s="23"/>
      <c r="FC6" s="23"/>
      <c r="FD6" s="23"/>
      <c r="FE6" s="23"/>
      <c r="FF6" s="23"/>
      <c r="FG6" s="23"/>
      <c r="FH6" s="23"/>
      <c r="FI6" s="23"/>
      <c r="FJ6" s="23"/>
      <c r="FK6" s="23"/>
      <c r="FL6" s="23"/>
      <c r="FM6" s="23"/>
      <c r="FN6" s="23"/>
      <c r="FO6" s="23"/>
      <c r="FP6" s="23"/>
      <c r="FQ6" s="23"/>
      <c r="FR6" s="23"/>
      <c r="FS6" s="23"/>
      <c r="FT6" s="23"/>
      <c r="FU6" s="23"/>
      <c r="FV6" s="23"/>
      <c r="FW6" s="23"/>
      <c r="FX6" s="23"/>
      <c r="FY6" s="23"/>
      <c r="FZ6" s="23"/>
      <c r="GA6" s="23"/>
      <c r="GB6" s="23"/>
      <c r="GC6" s="23"/>
      <c r="GD6" s="23"/>
      <c r="GH6" s="25"/>
    </row>
    <row r="7" spans="1:190" ht="15.75" x14ac:dyDescent="0.25">
      <c r="A7" s="13">
        <v>1.1000000000000001</v>
      </c>
      <c r="B7" s="19" t="s">
        <v>59</v>
      </c>
      <c r="C7" s="4">
        <v>2061487</v>
      </c>
      <c r="D7" s="4">
        <v>2496905</v>
      </c>
      <c r="E7" s="4">
        <v>2372688</v>
      </c>
      <c r="F7" s="4">
        <v>2442685</v>
      </c>
      <c r="G7" s="4">
        <v>2559454</v>
      </c>
      <c r="H7" s="1">
        <v>2625728</v>
      </c>
      <c r="I7" s="1">
        <v>2663201</v>
      </c>
      <c r="J7" s="1">
        <v>2719183</v>
      </c>
      <c r="K7" s="1">
        <v>2589529</v>
      </c>
      <c r="L7" s="1">
        <v>2522695</v>
      </c>
      <c r="M7" s="1">
        <v>2617986</v>
      </c>
      <c r="N7" s="1">
        <v>3961632</v>
      </c>
      <c r="O7" s="1">
        <v>4177923</v>
      </c>
      <c r="P7" s="1">
        <v>4234742.7527999999</v>
      </c>
      <c r="Q7" s="7"/>
      <c r="R7" s="6"/>
      <c r="S7" s="7"/>
      <c r="T7" s="7"/>
      <c r="U7" s="6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5"/>
      <c r="GF7" s="5"/>
      <c r="GG7" s="5"/>
    </row>
    <row r="8" spans="1:190" ht="15.75" x14ac:dyDescent="0.25">
      <c r="A8" s="13">
        <v>1.2</v>
      </c>
      <c r="B8" s="19" t="s">
        <v>60</v>
      </c>
      <c r="C8" s="4">
        <v>159289</v>
      </c>
      <c r="D8" s="4">
        <v>172234</v>
      </c>
      <c r="E8" s="4">
        <v>162088</v>
      </c>
      <c r="F8" s="4">
        <v>168554</v>
      </c>
      <c r="G8" s="4">
        <v>173148</v>
      </c>
      <c r="H8" s="1">
        <v>186202</v>
      </c>
      <c r="I8" s="1">
        <v>225962</v>
      </c>
      <c r="J8" s="1">
        <v>170997</v>
      </c>
      <c r="K8" s="1">
        <v>404275</v>
      </c>
      <c r="L8" s="1">
        <v>480836</v>
      </c>
      <c r="M8" s="1">
        <v>497010</v>
      </c>
      <c r="N8" s="1">
        <v>709619.64140122477</v>
      </c>
      <c r="O8" s="1">
        <v>752507.78736531991</v>
      </c>
      <c r="P8" s="1">
        <v>777566.29668458505</v>
      </c>
      <c r="Q8" s="7"/>
      <c r="R8" s="6"/>
      <c r="S8" s="7"/>
      <c r="T8" s="7"/>
      <c r="U8" s="6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5"/>
      <c r="GF8" s="5"/>
      <c r="GG8" s="5"/>
    </row>
    <row r="9" spans="1:190" ht="15.75" x14ac:dyDescent="0.25">
      <c r="A9" s="13">
        <v>1.3</v>
      </c>
      <c r="B9" s="19" t="s">
        <v>61</v>
      </c>
      <c r="C9" s="4">
        <v>231388</v>
      </c>
      <c r="D9" s="4">
        <v>231855</v>
      </c>
      <c r="E9" s="4">
        <v>232953</v>
      </c>
      <c r="F9" s="4">
        <v>221406</v>
      </c>
      <c r="G9" s="4">
        <v>225456</v>
      </c>
      <c r="H9" s="1">
        <v>167815</v>
      </c>
      <c r="I9" s="1">
        <v>168032</v>
      </c>
      <c r="J9" s="1">
        <v>173932</v>
      </c>
      <c r="K9" s="1">
        <v>294137</v>
      </c>
      <c r="L9" s="1">
        <v>194351</v>
      </c>
      <c r="M9" s="1">
        <v>171765</v>
      </c>
      <c r="N9" s="1">
        <v>220314.72687127499</v>
      </c>
      <c r="O9" s="1">
        <v>217721.42417159062</v>
      </c>
      <c r="P9" s="1">
        <v>223621.67476664073</v>
      </c>
      <c r="Q9" s="7"/>
      <c r="R9" s="6"/>
      <c r="S9" s="7"/>
      <c r="T9" s="7"/>
      <c r="U9" s="6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5"/>
      <c r="GF9" s="5"/>
      <c r="GG9" s="5"/>
    </row>
    <row r="10" spans="1:190" ht="15.75" x14ac:dyDescent="0.25">
      <c r="A10" s="13">
        <v>1.4</v>
      </c>
      <c r="B10" s="19" t="s">
        <v>62</v>
      </c>
      <c r="C10" s="4">
        <v>395949</v>
      </c>
      <c r="D10" s="4">
        <v>413080</v>
      </c>
      <c r="E10" s="4">
        <v>441430</v>
      </c>
      <c r="F10" s="4">
        <v>462520.13500000001</v>
      </c>
      <c r="G10" s="4">
        <v>475816</v>
      </c>
      <c r="H10" s="1">
        <v>520814</v>
      </c>
      <c r="I10" s="1">
        <v>557334</v>
      </c>
      <c r="J10" s="1">
        <v>574609</v>
      </c>
      <c r="K10" s="1">
        <v>641606</v>
      </c>
      <c r="L10" s="1">
        <v>669569</v>
      </c>
      <c r="M10" s="1">
        <v>722068</v>
      </c>
      <c r="N10" s="1">
        <v>770297.81387500011</v>
      </c>
      <c r="O10" s="1">
        <v>918222.56536750018</v>
      </c>
      <c r="P10" s="1">
        <v>977264.27632063045</v>
      </c>
      <c r="Q10" s="7"/>
      <c r="R10" s="6"/>
      <c r="S10" s="7"/>
      <c r="T10" s="7"/>
      <c r="U10" s="6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5"/>
      <c r="GF10" s="5"/>
      <c r="GG10" s="5"/>
    </row>
    <row r="11" spans="1:190" ht="15.75" x14ac:dyDescent="0.25">
      <c r="A11" s="14" t="s">
        <v>31</v>
      </c>
      <c r="B11" s="19" t="s">
        <v>3</v>
      </c>
      <c r="C11" s="4">
        <v>1464989</v>
      </c>
      <c r="D11" s="4">
        <v>1349018</v>
      </c>
      <c r="E11" s="4">
        <v>1251079</v>
      </c>
      <c r="F11" s="4">
        <v>1276493</v>
      </c>
      <c r="G11" s="4">
        <v>2477702</v>
      </c>
      <c r="H11" s="1">
        <v>2437241</v>
      </c>
      <c r="I11" s="1">
        <v>2667679</v>
      </c>
      <c r="J11" s="1">
        <v>3024828</v>
      </c>
      <c r="K11" s="1">
        <v>2817099</v>
      </c>
      <c r="L11" s="1">
        <v>1987997</v>
      </c>
      <c r="M11" s="1">
        <v>3705930</v>
      </c>
      <c r="N11" s="1">
        <v>4398274.7997535421</v>
      </c>
      <c r="O11" s="1">
        <v>4748297</v>
      </c>
      <c r="P11" s="1">
        <v>5056936.3049999997</v>
      </c>
      <c r="Q11" s="7"/>
      <c r="R11" s="6"/>
      <c r="S11" s="7"/>
      <c r="T11" s="7"/>
      <c r="U11" s="6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5"/>
      <c r="GF11" s="5"/>
      <c r="GG11" s="5"/>
    </row>
    <row r="12" spans="1:190" s="25" customFormat="1" ht="15.75" x14ac:dyDescent="0.25">
      <c r="A12" s="26"/>
      <c r="B12" s="27" t="s">
        <v>28</v>
      </c>
      <c r="C12" s="43">
        <f>C6+C11</f>
        <v>4313102</v>
      </c>
      <c r="D12" s="43">
        <f t="shared" ref="D12:P12" si="1">D6+D11</f>
        <v>4663092</v>
      </c>
      <c r="E12" s="43">
        <f t="shared" si="1"/>
        <v>4460238</v>
      </c>
      <c r="F12" s="43">
        <f t="shared" si="1"/>
        <v>4571658.1349999998</v>
      </c>
      <c r="G12" s="43">
        <f t="shared" si="1"/>
        <v>5911576</v>
      </c>
      <c r="H12" s="43">
        <f t="shared" si="1"/>
        <v>5937800</v>
      </c>
      <c r="I12" s="43">
        <f t="shared" si="1"/>
        <v>6282208</v>
      </c>
      <c r="J12" s="43">
        <f t="shared" si="1"/>
        <v>6663549</v>
      </c>
      <c r="K12" s="43">
        <f t="shared" si="1"/>
        <v>6746646</v>
      </c>
      <c r="L12" s="43">
        <f t="shared" si="1"/>
        <v>5855448</v>
      </c>
      <c r="M12" s="43">
        <f t="shared" si="1"/>
        <v>7714759</v>
      </c>
      <c r="N12" s="43">
        <f t="shared" si="1"/>
        <v>10060138.981901042</v>
      </c>
      <c r="O12" s="43">
        <f t="shared" si="1"/>
        <v>10814671.776904412</v>
      </c>
      <c r="P12" s="43">
        <f t="shared" si="1"/>
        <v>11270131.305571856</v>
      </c>
      <c r="Q12" s="7"/>
      <c r="R12" s="6"/>
      <c r="S12" s="7"/>
      <c r="T12" s="7"/>
      <c r="U12" s="6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  <c r="CA12" s="28"/>
      <c r="CB12" s="28"/>
      <c r="CC12" s="28"/>
      <c r="CD12" s="28"/>
      <c r="CE12" s="28"/>
      <c r="CF12" s="28"/>
      <c r="CG12" s="28"/>
      <c r="CH12" s="28"/>
      <c r="CI12" s="28"/>
      <c r="CJ12" s="28"/>
      <c r="CK12" s="28"/>
      <c r="CL12" s="28"/>
      <c r="CM12" s="28"/>
      <c r="CN12" s="28"/>
      <c r="CO12" s="28"/>
      <c r="CP12" s="28"/>
      <c r="CQ12" s="28"/>
      <c r="CR12" s="28"/>
      <c r="CS12" s="28"/>
      <c r="CT12" s="28"/>
      <c r="CU12" s="28"/>
      <c r="CV12" s="28"/>
      <c r="CW12" s="28"/>
      <c r="CX12" s="28"/>
      <c r="CY12" s="28"/>
      <c r="CZ12" s="28"/>
      <c r="DA12" s="28"/>
      <c r="DB12" s="28"/>
      <c r="DC12" s="28"/>
      <c r="DD12" s="28"/>
      <c r="DE12" s="28"/>
      <c r="DF12" s="28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8"/>
      <c r="EA12" s="28"/>
      <c r="EB12" s="28"/>
      <c r="EC12" s="28"/>
      <c r="ED12" s="28"/>
      <c r="EE12" s="28"/>
      <c r="EF12" s="28"/>
      <c r="EG12" s="28"/>
      <c r="EH12" s="28"/>
      <c r="EI12" s="28"/>
      <c r="EJ12" s="28"/>
      <c r="EK12" s="28"/>
      <c r="EL12" s="28"/>
      <c r="EM12" s="28"/>
      <c r="EN12" s="28"/>
      <c r="EO12" s="28"/>
      <c r="EP12" s="28"/>
      <c r="EQ12" s="28"/>
      <c r="ER12" s="28"/>
      <c r="ES12" s="28"/>
      <c r="ET12" s="28"/>
      <c r="EU12" s="28"/>
      <c r="EV12" s="28"/>
      <c r="EW12" s="28"/>
      <c r="EX12" s="28"/>
      <c r="EY12" s="28"/>
      <c r="EZ12" s="28"/>
      <c r="FA12" s="28"/>
      <c r="FB12" s="28"/>
      <c r="FC12" s="28"/>
      <c r="FD12" s="28"/>
      <c r="FE12" s="28"/>
      <c r="FF12" s="28"/>
      <c r="FG12" s="28"/>
      <c r="FH12" s="28"/>
      <c r="FI12" s="28"/>
      <c r="FJ12" s="28"/>
      <c r="FK12" s="28"/>
      <c r="FL12" s="28"/>
      <c r="FM12" s="28"/>
      <c r="FN12" s="28"/>
      <c r="FO12" s="28"/>
      <c r="FP12" s="28"/>
      <c r="FQ12" s="28"/>
      <c r="FR12" s="28"/>
      <c r="FS12" s="28"/>
      <c r="FT12" s="28"/>
      <c r="FU12" s="28"/>
      <c r="FV12" s="28"/>
      <c r="FW12" s="28"/>
      <c r="FX12" s="28"/>
      <c r="FY12" s="28"/>
      <c r="FZ12" s="28"/>
      <c r="GA12" s="28"/>
      <c r="GB12" s="28"/>
      <c r="GC12" s="28"/>
      <c r="GD12" s="28"/>
      <c r="GE12" s="24"/>
      <c r="GF12" s="24"/>
      <c r="GG12" s="24"/>
    </row>
    <row r="13" spans="1:190" s="5" customFormat="1" ht="15.75" x14ac:dyDescent="0.25">
      <c r="A13" s="12" t="s">
        <v>32</v>
      </c>
      <c r="B13" s="18" t="s">
        <v>4</v>
      </c>
      <c r="C13" s="1">
        <v>1540255</v>
      </c>
      <c r="D13" s="1">
        <v>1426544</v>
      </c>
      <c r="E13" s="1">
        <v>1673668</v>
      </c>
      <c r="F13" s="1">
        <v>1802930</v>
      </c>
      <c r="G13" s="1">
        <v>2531956.0952428533</v>
      </c>
      <c r="H13" s="1">
        <v>2944863</v>
      </c>
      <c r="I13" s="1">
        <v>3343622</v>
      </c>
      <c r="J13" s="1">
        <v>3363102</v>
      </c>
      <c r="K13" s="1">
        <v>3469328</v>
      </c>
      <c r="L13" s="1">
        <v>3961311</v>
      </c>
      <c r="M13" s="1">
        <v>4362342</v>
      </c>
      <c r="N13" s="1">
        <v>4111931.5271759359</v>
      </c>
      <c r="O13" s="1">
        <v>4400278.3244597791</v>
      </c>
      <c r="P13" s="1">
        <v>4754940.7574112369</v>
      </c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H13" s="2"/>
    </row>
    <row r="14" spans="1:190" ht="30" x14ac:dyDescent="0.25">
      <c r="A14" s="14" t="s">
        <v>33</v>
      </c>
      <c r="B14" s="19" t="s">
        <v>5</v>
      </c>
      <c r="C14" s="4">
        <v>191883</v>
      </c>
      <c r="D14" s="4">
        <v>198124</v>
      </c>
      <c r="E14" s="4">
        <v>215835</v>
      </c>
      <c r="F14" s="4">
        <v>271628</v>
      </c>
      <c r="G14" s="4">
        <v>296011</v>
      </c>
      <c r="H14" s="1">
        <v>343775</v>
      </c>
      <c r="I14" s="1">
        <v>495984</v>
      </c>
      <c r="J14" s="1">
        <v>482251</v>
      </c>
      <c r="K14" s="1">
        <v>423412</v>
      </c>
      <c r="L14" s="1">
        <v>379140</v>
      </c>
      <c r="M14" s="1">
        <v>512342</v>
      </c>
      <c r="N14" s="1">
        <v>514743.81305239495</v>
      </c>
      <c r="O14" s="1">
        <v>591778.78749082959</v>
      </c>
      <c r="P14" s="1">
        <v>644651.6852773868</v>
      </c>
      <c r="Q14" s="7"/>
      <c r="R14" s="6"/>
      <c r="S14" s="7"/>
      <c r="T14" s="7"/>
      <c r="U14" s="6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6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6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6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5"/>
      <c r="GF14" s="5"/>
      <c r="GG14" s="5"/>
    </row>
    <row r="15" spans="1:190" ht="15.75" x14ac:dyDescent="0.25">
      <c r="A15" s="14" t="s">
        <v>34</v>
      </c>
      <c r="B15" s="19" t="s">
        <v>6</v>
      </c>
      <c r="C15" s="4">
        <v>1188747</v>
      </c>
      <c r="D15" s="4">
        <v>1183219</v>
      </c>
      <c r="E15" s="4">
        <v>1351276</v>
      </c>
      <c r="F15" s="4">
        <v>1446532</v>
      </c>
      <c r="G15" s="4">
        <v>1509561</v>
      </c>
      <c r="H15" s="1">
        <v>1725258</v>
      </c>
      <c r="I15" s="1">
        <v>1849704</v>
      </c>
      <c r="J15" s="1">
        <v>1817144</v>
      </c>
      <c r="K15" s="1">
        <v>2056402</v>
      </c>
      <c r="L15" s="1">
        <v>1823309</v>
      </c>
      <c r="M15" s="1">
        <v>2432034</v>
      </c>
      <c r="N15" s="1">
        <v>2899063.5586384898</v>
      </c>
      <c r="O15" s="1">
        <v>3741821.335134699</v>
      </c>
      <c r="P15" s="1">
        <v>4673909.0297167525</v>
      </c>
      <c r="Q15" s="7"/>
      <c r="R15" s="6"/>
      <c r="S15" s="7"/>
      <c r="T15" s="7"/>
      <c r="U15" s="6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6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6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6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5"/>
      <c r="GF15" s="5"/>
      <c r="GG15" s="5"/>
    </row>
    <row r="16" spans="1:190" s="25" customFormat="1" ht="15.75" x14ac:dyDescent="0.25">
      <c r="A16" s="26"/>
      <c r="B16" s="27" t="s">
        <v>29</v>
      </c>
      <c r="C16" s="43">
        <f>+C13+C14+C15</f>
        <v>2920885</v>
      </c>
      <c r="D16" s="43">
        <f t="shared" ref="D16:K16" si="2">+D13+D14+D15</f>
        <v>2807887</v>
      </c>
      <c r="E16" s="43">
        <f t="shared" si="2"/>
        <v>3240779</v>
      </c>
      <c r="F16" s="43">
        <f t="shared" si="2"/>
        <v>3521090</v>
      </c>
      <c r="G16" s="43">
        <f t="shared" si="2"/>
        <v>4337528.0952428533</v>
      </c>
      <c r="H16" s="43">
        <f t="shared" si="2"/>
        <v>5013896</v>
      </c>
      <c r="I16" s="43">
        <f t="shared" si="2"/>
        <v>5689310</v>
      </c>
      <c r="J16" s="43">
        <f t="shared" si="2"/>
        <v>5662497</v>
      </c>
      <c r="K16" s="43">
        <f t="shared" si="2"/>
        <v>5949142</v>
      </c>
      <c r="L16" s="43">
        <f t="shared" ref="L16:O16" si="3">+L13+L14+L15</f>
        <v>6163760</v>
      </c>
      <c r="M16" s="43">
        <f t="shared" si="3"/>
        <v>7306718</v>
      </c>
      <c r="N16" s="43">
        <f t="shared" si="3"/>
        <v>7525738.8988668211</v>
      </c>
      <c r="O16" s="43">
        <f t="shared" si="3"/>
        <v>8733878.4470853079</v>
      </c>
      <c r="P16" s="43">
        <f t="shared" ref="P16" si="4">+P13+P14+P15</f>
        <v>10073501.472405376</v>
      </c>
      <c r="Q16" s="7"/>
      <c r="R16" s="6"/>
      <c r="S16" s="7"/>
      <c r="T16" s="7"/>
      <c r="U16" s="6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8"/>
      <c r="CQ16" s="28"/>
      <c r="CR16" s="28"/>
      <c r="CS16" s="28"/>
      <c r="CT16" s="28"/>
      <c r="CU16" s="23"/>
      <c r="CV16" s="28"/>
      <c r="CW16" s="28"/>
      <c r="CX16" s="28"/>
      <c r="CY16" s="28"/>
      <c r="CZ16" s="28"/>
      <c r="DA16" s="28"/>
      <c r="DB16" s="28"/>
      <c r="DC16" s="28"/>
      <c r="DD16" s="28"/>
      <c r="DE16" s="28"/>
      <c r="DF16" s="28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28"/>
      <c r="EQ16" s="23"/>
      <c r="ER16" s="28"/>
      <c r="ES16" s="28"/>
      <c r="ET16" s="28"/>
      <c r="EU16" s="28"/>
      <c r="EV16" s="28"/>
      <c r="EW16" s="28"/>
      <c r="EX16" s="28"/>
      <c r="EY16" s="28"/>
      <c r="EZ16" s="28"/>
      <c r="FA16" s="28"/>
      <c r="FB16" s="28"/>
      <c r="FC16" s="28"/>
      <c r="FD16" s="28"/>
      <c r="FE16" s="28"/>
      <c r="FF16" s="28"/>
      <c r="FG16" s="28"/>
      <c r="FH16" s="28"/>
      <c r="FI16" s="28"/>
      <c r="FJ16" s="28"/>
      <c r="FK16" s="28"/>
      <c r="FL16" s="28"/>
      <c r="FM16" s="28"/>
      <c r="FN16" s="28"/>
      <c r="FO16" s="23"/>
      <c r="FP16" s="28"/>
      <c r="FQ16" s="28"/>
      <c r="FR16" s="28"/>
      <c r="FS16" s="28"/>
      <c r="FT16" s="28"/>
      <c r="FU16" s="28"/>
      <c r="FV16" s="28"/>
      <c r="FW16" s="28"/>
      <c r="FX16" s="28"/>
      <c r="FY16" s="28"/>
      <c r="FZ16" s="28"/>
      <c r="GA16" s="28"/>
      <c r="GB16" s="28"/>
      <c r="GC16" s="28"/>
      <c r="GD16" s="28"/>
      <c r="GE16" s="24"/>
      <c r="GF16" s="24"/>
      <c r="GG16" s="24"/>
    </row>
    <row r="17" spans="1:190" s="24" customFormat="1" ht="15.75" x14ac:dyDescent="0.25">
      <c r="A17" s="21" t="s">
        <v>35</v>
      </c>
      <c r="B17" s="22" t="s">
        <v>7</v>
      </c>
      <c r="C17" s="35">
        <f>C18+C19</f>
        <v>2045676</v>
      </c>
      <c r="D17" s="35">
        <f t="shared" ref="D17:K17" si="5">D18+D19</f>
        <v>2127460</v>
      </c>
      <c r="E17" s="35">
        <f t="shared" si="5"/>
        <v>2262227</v>
      </c>
      <c r="F17" s="35">
        <f t="shared" si="5"/>
        <v>2534132</v>
      </c>
      <c r="G17" s="35">
        <f t="shared" si="5"/>
        <v>2223850</v>
      </c>
      <c r="H17" s="35">
        <f t="shared" si="5"/>
        <v>2206094</v>
      </c>
      <c r="I17" s="35">
        <f t="shared" si="5"/>
        <v>2372154</v>
      </c>
      <c r="J17" s="35">
        <f t="shared" si="5"/>
        <v>2313574</v>
      </c>
      <c r="K17" s="35">
        <f t="shared" si="5"/>
        <v>2410026</v>
      </c>
      <c r="L17" s="35">
        <f t="shared" ref="L17:O17" si="6">L18+L19</f>
        <v>3778776</v>
      </c>
      <c r="M17" s="35">
        <f t="shared" si="6"/>
        <v>1839162</v>
      </c>
      <c r="N17" s="35">
        <f t="shared" si="6"/>
        <v>2020860.637576639</v>
      </c>
      <c r="O17" s="35">
        <f t="shared" si="6"/>
        <v>2203697.8419222292</v>
      </c>
      <c r="P17" s="35">
        <f t="shared" ref="P17" si="7">P18+P19</f>
        <v>2390247.1535241441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3"/>
      <c r="EY17" s="23"/>
      <c r="EZ17" s="23"/>
      <c r="FA17" s="23"/>
      <c r="FB17" s="23"/>
      <c r="FC17" s="23"/>
      <c r="FD17" s="23"/>
      <c r="FE17" s="23"/>
      <c r="FF17" s="23"/>
      <c r="FG17" s="23"/>
      <c r="FH17" s="23"/>
      <c r="FI17" s="23"/>
      <c r="FJ17" s="23"/>
      <c r="FK17" s="23"/>
      <c r="FL17" s="23"/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H17" s="25"/>
    </row>
    <row r="18" spans="1:190" ht="15.75" x14ac:dyDescent="0.25">
      <c r="A18" s="13">
        <v>6.1</v>
      </c>
      <c r="B18" s="19" t="s">
        <v>8</v>
      </c>
      <c r="C18" s="4">
        <v>1961211</v>
      </c>
      <c r="D18" s="4">
        <v>2041474</v>
      </c>
      <c r="E18" s="4">
        <v>2174187</v>
      </c>
      <c r="F18" s="4">
        <v>2440390</v>
      </c>
      <c r="G18" s="4">
        <v>2133298</v>
      </c>
      <c r="H18" s="1">
        <v>2127332</v>
      </c>
      <c r="I18" s="1">
        <v>2286085</v>
      </c>
      <c r="J18" s="1">
        <v>2225097</v>
      </c>
      <c r="K18" s="1">
        <v>2321852</v>
      </c>
      <c r="L18" s="1">
        <v>3700357</v>
      </c>
      <c r="M18" s="1">
        <v>1788506</v>
      </c>
      <c r="N18" s="1">
        <v>1925509.6923194935</v>
      </c>
      <c r="O18" s="1">
        <v>2103426.7878898149</v>
      </c>
      <c r="P18" s="1">
        <v>2284952.5196847059</v>
      </c>
      <c r="Q18" s="7"/>
      <c r="R18" s="6"/>
      <c r="S18" s="7"/>
      <c r="T18" s="7"/>
      <c r="U18" s="6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5"/>
      <c r="GF18" s="5"/>
      <c r="GG18" s="5"/>
    </row>
    <row r="19" spans="1:190" ht="15.75" x14ac:dyDescent="0.25">
      <c r="A19" s="13">
        <v>6.2</v>
      </c>
      <c r="B19" s="19" t="s">
        <v>9</v>
      </c>
      <c r="C19" s="4">
        <v>84465</v>
      </c>
      <c r="D19" s="4">
        <v>85986</v>
      </c>
      <c r="E19" s="4">
        <v>88040</v>
      </c>
      <c r="F19" s="4">
        <v>93742</v>
      </c>
      <c r="G19" s="4">
        <v>90552</v>
      </c>
      <c r="H19" s="1">
        <v>78762</v>
      </c>
      <c r="I19" s="1">
        <v>86069</v>
      </c>
      <c r="J19" s="1">
        <v>88477</v>
      </c>
      <c r="K19" s="1">
        <v>88174</v>
      </c>
      <c r="L19" s="1">
        <v>78419</v>
      </c>
      <c r="M19" s="1">
        <v>50656</v>
      </c>
      <c r="N19" s="1">
        <v>95350.945257145504</v>
      </c>
      <c r="O19" s="1">
        <v>100271.05403241421</v>
      </c>
      <c r="P19" s="1">
        <v>105294.63383943816</v>
      </c>
      <c r="Q19" s="7"/>
      <c r="R19" s="6"/>
      <c r="S19" s="7"/>
      <c r="T19" s="7"/>
      <c r="U19" s="6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5"/>
      <c r="GF19" s="5"/>
      <c r="GG19" s="5"/>
    </row>
    <row r="20" spans="1:190" s="24" customFormat="1" ht="30" x14ac:dyDescent="0.25">
      <c r="A20" s="29" t="s">
        <v>36</v>
      </c>
      <c r="B20" s="30" t="s">
        <v>10</v>
      </c>
      <c r="C20" s="35">
        <f>SUM(C21:C27)</f>
        <v>810091</v>
      </c>
      <c r="D20" s="35">
        <f t="shared" ref="D20:P20" si="8">SUM(D21:D27)</f>
        <v>867559</v>
      </c>
      <c r="E20" s="35">
        <f t="shared" si="8"/>
        <v>963007</v>
      </c>
      <c r="F20" s="35">
        <f t="shared" si="8"/>
        <v>1028904.7411583802</v>
      </c>
      <c r="G20" s="35">
        <f t="shared" si="8"/>
        <v>1224030</v>
      </c>
      <c r="H20" s="35">
        <f t="shared" si="8"/>
        <v>1152819</v>
      </c>
      <c r="I20" s="35">
        <f t="shared" si="8"/>
        <v>1212499</v>
      </c>
      <c r="J20" s="35">
        <f t="shared" si="8"/>
        <v>1268736</v>
      </c>
      <c r="K20" s="35">
        <f t="shared" si="8"/>
        <v>1435660</v>
      </c>
      <c r="L20" s="35">
        <f t="shared" si="8"/>
        <v>1251098</v>
      </c>
      <c r="M20" s="35">
        <f t="shared" si="8"/>
        <v>1289946</v>
      </c>
      <c r="N20" s="35">
        <f t="shared" si="8"/>
        <v>1532511.2718420639</v>
      </c>
      <c r="O20" s="35">
        <f t="shared" si="8"/>
        <v>1657609.1482508148</v>
      </c>
      <c r="P20" s="35">
        <f t="shared" si="8"/>
        <v>1755833.813488934</v>
      </c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3"/>
      <c r="EY20" s="23"/>
      <c r="EZ20" s="23"/>
      <c r="FA20" s="23"/>
      <c r="FB20" s="23"/>
      <c r="FC20" s="23"/>
      <c r="FD20" s="23"/>
      <c r="FE20" s="23"/>
      <c r="FF20" s="23"/>
      <c r="FG20" s="23"/>
      <c r="FH20" s="23"/>
      <c r="FI20" s="23"/>
      <c r="FJ20" s="23"/>
      <c r="FK20" s="23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D20" s="23"/>
      <c r="GH20" s="25"/>
    </row>
    <row r="21" spans="1:190" ht="15.75" x14ac:dyDescent="0.25">
      <c r="A21" s="13">
        <v>7.1</v>
      </c>
      <c r="B21" s="19" t="s">
        <v>11</v>
      </c>
      <c r="C21" s="4">
        <v>158334</v>
      </c>
      <c r="D21" s="4">
        <v>177728</v>
      </c>
      <c r="E21" s="4">
        <v>199736</v>
      </c>
      <c r="F21" s="4">
        <v>215650</v>
      </c>
      <c r="G21" s="4">
        <v>266230</v>
      </c>
      <c r="H21" s="1">
        <v>195682</v>
      </c>
      <c r="I21" s="1">
        <v>213137</v>
      </c>
      <c r="J21" s="1">
        <v>224354</v>
      </c>
      <c r="K21" s="1">
        <v>354179</v>
      </c>
      <c r="L21" s="1">
        <v>278785</v>
      </c>
      <c r="M21" s="1">
        <v>211803</v>
      </c>
      <c r="N21" s="1">
        <v>253848</v>
      </c>
      <c r="O21" s="1">
        <v>263791</v>
      </c>
      <c r="P21" s="1">
        <v>276584.86349999998</v>
      </c>
      <c r="Q21" s="7"/>
      <c r="R21" s="6"/>
      <c r="S21" s="7"/>
      <c r="T21" s="7"/>
      <c r="U21" s="6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5"/>
      <c r="GF21" s="5"/>
      <c r="GG21" s="5"/>
    </row>
    <row r="22" spans="1:190" ht="15.75" x14ac:dyDescent="0.25">
      <c r="A22" s="13">
        <v>7.2</v>
      </c>
      <c r="B22" s="19" t="s">
        <v>12</v>
      </c>
      <c r="C22" s="4">
        <v>356262</v>
      </c>
      <c r="D22" s="4">
        <v>392293</v>
      </c>
      <c r="E22" s="4">
        <v>412390</v>
      </c>
      <c r="F22" s="4">
        <v>443578.50674867583</v>
      </c>
      <c r="G22" s="4">
        <v>470846</v>
      </c>
      <c r="H22" s="1">
        <v>497682</v>
      </c>
      <c r="I22" s="1">
        <v>523195</v>
      </c>
      <c r="J22" s="1">
        <v>555766</v>
      </c>
      <c r="K22" s="1">
        <v>527313</v>
      </c>
      <c r="L22" s="1">
        <v>383824</v>
      </c>
      <c r="M22" s="1">
        <v>566476</v>
      </c>
      <c r="N22" s="1">
        <v>605331.18675252993</v>
      </c>
      <c r="O22" s="1">
        <v>638503.33578656858</v>
      </c>
      <c r="P22" s="1">
        <v>673174.06691977929</v>
      </c>
      <c r="Q22" s="7"/>
      <c r="R22" s="6"/>
      <c r="S22" s="7"/>
      <c r="T22" s="7"/>
      <c r="U22" s="6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5"/>
      <c r="GF22" s="5"/>
      <c r="GG22" s="5"/>
    </row>
    <row r="23" spans="1:190" ht="15.75" x14ac:dyDescent="0.25">
      <c r="A23" s="13">
        <v>7.3</v>
      </c>
      <c r="B23" s="19" t="s">
        <v>13</v>
      </c>
      <c r="C23" s="4">
        <v>43626</v>
      </c>
      <c r="D23" s="4">
        <v>43715</v>
      </c>
      <c r="E23" s="4">
        <v>21745</v>
      </c>
      <c r="F23" s="4">
        <v>3754.4848795489493</v>
      </c>
      <c r="G23" s="4">
        <v>23462</v>
      </c>
      <c r="H23" s="1">
        <v>23916</v>
      </c>
      <c r="I23" s="1">
        <v>25844</v>
      </c>
      <c r="J23" s="1">
        <v>27564</v>
      </c>
      <c r="K23" s="1">
        <v>30903</v>
      </c>
      <c r="L23" s="1">
        <v>30747</v>
      </c>
      <c r="M23" s="1">
        <v>33363</v>
      </c>
      <c r="N23" s="1">
        <v>34652.713891444349</v>
      </c>
      <c r="O23" s="1">
        <v>34449.371766444936</v>
      </c>
      <c r="P23" s="1">
        <v>37002.070214338506</v>
      </c>
      <c r="Q23" s="7"/>
      <c r="R23" s="6"/>
      <c r="S23" s="7"/>
      <c r="T23" s="7"/>
      <c r="U23" s="6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5"/>
      <c r="GF23" s="5"/>
      <c r="GG23" s="5"/>
    </row>
    <row r="24" spans="1:190" ht="15.75" x14ac:dyDescent="0.25">
      <c r="A24" s="13">
        <v>7.4</v>
      </c>
      <c r="B24" s="19" t="s">
        <v>14</v>
      </c>
      <c r="C24" s="4" t="s">
        <v>77</v>
      </c>
      <c r="D24" s="4">
        <v>237</v>
      </c>
      <c r="E24" s="4">
        <v>8436</v>
      </c>
      <c r="F24" s="4">
        <v>14478.899709550657</v>
      </c>
      <c r="G24" s="4">
        <v>25922</v>
      </c>
      <c r="H24" s="1">
        <v>30553</v>
      </c>
      <c r="I24" s="1">
        <v>32462</v>
      </c>
      <c r="J24" s="1">
        <v>18880</v>
      </c>
      <c r="K24" s="1">
        <v>31897</v>
      </c>
      <c r="L24" s="1">
        <v>18035</v>
      </c>
      <c r="M24" s="1">
        <v>14639</v>
      </c>
      <c r="N24" s="1">
        <v>20569.227230910765</v>
      </c>
      <c r="O24" s="1">
        <v>37581.442947296608</v>
      </c>
      <c r="P24" s="1">
        <v>41591.382909773158</v>
      </c>
      <c r="Q24" s="7"/>
      <c r="R24" s="6"/>
      <c r="S24" s="7"/>
      <c r="T24" s="7"/>
      <c r="U24" s="6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5"/>
      <c r="GF24" s="5"/>
      <c r="GG24" s="5"/>
    </row>
    <row r="25" spans="1:190" ht="15.75" x14ac:dyDescent="0.25">
      <c r="A25" s="13">
        <v>7.5</v>
      </c>
      <c r="B25" s="19" t="s">
        <v>15</v>
      </c>
      <c r="C25" s="4">
        <v>36400</v>
      </c>
      <c r="D25" s="4">
        <v>36968</v>
      </c>
      <c r="E25" s="4">
        <v>31965</v>
      </c>
      <c r="F25" s="4">
        <v>30970.442508115495</v>
      </c>
      <c r="G25" s="4">
        <v>56020</v>
      </c>
      <c r="H25" s="1">
        <v>22422</v>
      </c>
      <c r="I25" s="1">
        <v>24030</v>
      </c>
      <c r="J25" s="1">
        <v>28898</v>
      </c>
      <c r="K25" s="1">
        <v>27631</v>
      </c>
      <c r="L25" s="1">
        <v>10128</v>
      </c>
      <c r="M25" s="1">
        <v>11419</v>
      </c>
      <c r="N25" s="1">
        <v>19537.143514259431</v>
      </c>
      <c r="O25" s="1">
        <v>24880.322929103419</v>
      </c>
      <c r="P25" s="1">
        <v>28283.951105804765</v>
      </c>
      <c r="Q25" s="7"/>
      <c r="R25" s="6"/>
      <c r="S25" s="7"/>
      <c r="T25" s="7"/>
      <c r="U25" s="6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5"/>
      <c r="GF25" s="5"/>
      <c r="GG25" s="5"/>
    </row>
    <row r="26" spans="1:190" ht="15.75" x14ac:dyDescent="0.25">
      <c r="A26" s="13">
        <v>7.6</v>
      </c>
      <c r="B26" s="19" t="s">
        <v>16</v>
      </c>
      <c r="C26" s="4">
        <v>6594</v>
      </c>
      <c r="D26" s="4">
        <v>6750</v>
      </c>
      <c r="E26" s="4">
        <v>7276</v>
      </c>
      <c r="F26" s="4">
        <v>7671.2796856313007</v>
      </c>
      <c r="G26" s="4">
        <v>8007</v>
      </c>
      <c r="H26" s="1">
        <v>8625</v>
      </c>
      <c r="I26" s="1">
        <v>8871</v>
      </c>
      <c r="J26" s="1">
        <v>14345</v>
      </c>
      <c r="K26" s="1">
        <v>14470</v>
      </c>
      <c r="L26" s="1">
        <v>13382</v>
      </c>
      <c r="M26" s="1">
        <v>13527</v>
      </c>
      <c r="N26" s="1">
        <v>14601.540938362466</v>
      </c>
      <c r="O26" s="1">
        <v>16932.17351753937</v>
      </c>
      <c r="P26" s="1">
        <v>18467.92165558019</v>
      </c>
      <c r="Q26" s="7"/>
      <c r="R26" s="6"/>
      <c r="S26" s="7"/>
      <c r="T26" s="7"/>
      <c r="U26" s="6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5"/>
      <c r="GF26" s="5"/>
      <c r="GG26" s="5"/>
    </row>
    <row r="27" spans="1:190" ht="30" x14ac:dyDescent="0.25">
      <c r="A27" s="13">
        <v>7.7</v>
      </c>
      <c r="B27" s="19" t="s">
        <v>17</v>
      </c>
      <c r="C27" s="4">
        <v>208875</v>
      </c>
      <c r="D27" s="4">
        <v>209868</v>
      </c>
      <c r="E27" s="4">
        <v>281459</v>
      </c>
      <c r="F27" s="4">
        <v>312801.12762685801</v>
      </c>
      <c r="G27" s="4">
        <v>373543</v>
      </c>
      <c r="H27" s="1">
        <v>373939</v>
      </c>
      <c r="I27" s="1">
        <v>384960</v>
      </c>
      <c r="J27" s="1">
        <v>398929</v>
      </c>
      <c r="K27" s="1">
        <v>449267</v>
      </c>
      <c r="L27" s="1">
        <v>516197</v>
      </c>
      <c r="M27" s="1">
        <v>438719</v>
      </c>
      <c r="N27" s="1">
        <v>583971.45951455692</v>
      </c>
      <c r="O27" s="1">
        <v>641471.50130386185</v>
      </c>
      <c r="P27" s="1">
        <v>680729.55718365824</v>
      </c>
      <c r="Q27" s="7"/>
      <c r="R27" s="6"/>
      <c r="S27" s="7"/>
      <c r="T27" s="7"/>
      <c r="U27" s="6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5"/>
      <c r="GF27" s="5"/>
      <c r="GG27" s="5"/>
    </row>
    <row r="28" spans="1:190" ht="15.75" x14ac:dyDescent="0.25">
      <c r="A28" s="14" t="s">
        <v>37</v>
      </c>
      <c r="B28" s="19" t="s">
        <v>18</v>
      </c>
      <c r="C28" s="4">
        <v>427077</v>
      </c>
      <c r="D28" s="4">
        <v>448132</v>
      </c>
      <c r="E28" s="4">
        <v>472252</v>
      </c>
      <c r="F28" s="4">
        <v>479116</v>
      </c>
      <c r="G28" s="4">
        <v>600139</v>
      </c>
      <c r="H28" s="1">
        <v>617944</v>
      </c>
      <c r="I28" s="1">
        <v>687214</v>
      </c>
      <c r="J28" s="1">
        <v>696411</v>
      </c>
      <c r="K28" s="1">
        <v>773476</v>
      </c>
      <c r="L28" s="1">
        <v>590222</v>
      </c>
      <c r="M28" s="1">
        <v>790250</v>
      </c>
      <c r="N28" s="1">
        <v>842888</v>
      </c>
      <c r="O28" s="1">
        <v>954212</v>
      </c>
      <c r="P28" s="1">
        <v>1017476.2556</v>
      </c>
      <c r="Q28" s="7"/>
      <c r="R28" s="6"/>
      <c r="S28" s="7"/>
      <c r="T28" s="7"/>
      <c r="U28" s="6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5"/>
      <c r="GF28" s="5"/>
      <c r="GG28" s="5"/>
    </row>
    <row r="29" spans="1:190" ht="30" x14ac:dyDescent="0.25">
      <c r="A29" s="14" t="s">
        <v>38</v>
      </c>
      <c r="B29" s="19" t="s">
        <v>19</v>
      </c>
      <c r="C29" s="4">
        <v>1112543</v>
      </c>
      <c r="D29" s="4">
        <v>1119995</v>
      </c>
      <c r="E29" s="4">
        <v>1105795</v>
      </c>
      <c r="F29" s="4">
        <v>1144127.7258566977</v>
      </c>
      <c r="G29" s="4">
        <v>1093453</v>
      </c>
      <c r="H29" s="1">
        <v>1094831</v>
      </c>
      <c r="I29" s="1">
        <v>1115335</v>
      </c>
      <c r="J29" s="1">
        <v>1132260</v>
      </c>
      <c r="K29" s="1">
        <v>1064663</v>
      </c>
      <c r="L29" s="1">
        <v>1065496</v>
      </c>
      <c r="M29" s="1">
        <v>1109625</v>
      </c>
      <c r="N29" s="1">
        <v>1173335.9944502253</v>
      </c>
      <c r="O29" s="1">
        <v>1223448.4966518155</v>
      </c>
      <c r="P29" s="1">
        <v>1257460.3648587361</v>
      </c>
      <c r="Q29" s="7"/>
      <c r="R29" s="6"/>
      <c r="S29" s="7"/>
      <c r="T29" s="7"/>
      <c r="U29" s="6"/>
      <c r="V29" s="8"/>
      <c r="W29" s="8"/>
      <c r="X29" s="8"/>
      <c r="Y29" s="8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5"/>
      <c r="GF29" s="5"/>
      <c r="GG29" s="5"/>
    </row>
    <row r="30" spans="1:190" ht="15.75" x14ac:dyDescent="0.25">
      <c r="A30" s="14" t="s">
        <v>39</v>
      </c>
      <c r="B30" s="19" t="s">
        <v>54</v>
      </c>
      <c r="C30" s="4">
        <v>821723</v>
      </c>
      <c r="D30" s="4">
        <v>857488</v>
      </c>
      <c r="E30" s="4">
        <v>840311</v>
      </c>
      <c r="F30" s="4">
        <v>959113</v>
      </c>
      <c r="G30" s="4">
        <v>1342663</v>
      </c>
      <c r="H30" s="1">
        <v>1041880</v>
      </c>
      <c r="I30" s="1">
        <v>1428880</v>
      </c>
      <c r="J30" s="1">
        <v>1143067</v>
      </c>
      <c r="K30" s="1">
        <v>1535915</v>
      </c>
      <c r="L30" s="1">
        <v>1129563</v>
      </c>
      <c r="M30" s="1">
        <v>1325387</v>
      </c>
      <c r="N30" s="1">
        <v>1370525.3625810079</v>
      </c>
      <c r="O30" s="1">
        <v>1803029.6621601968</v>
      </c>
      <c r="P30" s="1">
        <v>1936273.5541938352</v>
      </c>
      <c r="Q30" s="7"/>
      <c r="R30" s="6"/>
      <c r="S30" s="7"/>
      <c r="T30" s="7"/>
      <c r="U30" s="6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5"/>
      <c r="GF30" s="5"/>
      <c r="GG30" s="5"/>
    </row>
    <row r="31" spans="1:190" ht="15.75" x14ac:dyDescent="0.25">
      <c r="A31" s="14" t="s">
        <v>40</v>
      </c>
      <c r="B31" s="19" t="s">
        <v>20</v>
      </c>
      <c r="C31" s="4">
        <v>1077923</v>
      </c>
      <c r="D31" s="4">
        <v>1077970</v>
      </c>
      <c r="E31" s="4">
        <v>1249518</v>
      </c>
      <c r="F31" s="4">
        <v>1321779</v>
      </c>
      <c r="G31" s="4">
        <v>1334130</v>
      </c>
      <c r="H31" s="1">
        <v>1647032</v>
      </c>
      <c r="I31" s="1">
        <v>1893074</v>
      </c>
      <c r="J31" s="1">
        <v>2011991</v>
      </c>
      <c r="K31" s="1">
        <v>1997335</v>
      </c>
      <c r="L31" s="1">
        <v>1786688</v>
      </c>
      <c r="M31" s="1">
        <v>2179015</v>
      </c>
      <c r="N31" s="1">
        <v>2188264.0856153606</v>
      </c>
      <c r="O31" s="1">
        <v>2418031.8146049734</v>
      </c>
      <c r="P31" s="1">
        <v>2620904.6838503308</v>
      </c>
      <c r="Q31" s="7"/>
      <c r="R31" s="6"/>
      <c r="S31" s="7"/>
      <c r="T31" s="7"/>
      <c r="U31" s="6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5"/>
      <c r="GF31" s="5"/>
      <c r="GG31" s="5"/>
    </row>
    <row r="32" spans="1:190" s="25" customFormat="1" ht="15.75" x14ac:dyDescent="0.25">
      <c r="A32" s="26"/>
      <c r="B32" s="27" t="s">
        <v>30</v>
      </c>
      <c r="C32" s="43">
        <f>C17+C20+C28+C29+C30+C31</f>
        <v>6295033</v>
      </c>
      <c r="D32" s="43">
        <f t="shared" ref="D32:K32" si="9">D17+D20+D28+D29+D30+D31</f>
        <v>6498604</v>
      </c>
      <c r="E32" s="43">
        <f t="shared" si="9"/>
        <v>6893110</v>
      </c>
      <c r="F32" s="43">
        <f t="shared" si="9"/>
        <v>7467172.4670150783</v>
      </c>
      <c r="G32" s="43">
        <f t="shared" si="9"/>
        <v>7818265</v>
      </c>
      <c r="H32" s="43">
        <f t="shared" si="9"/>
        <v>7760600</v>
      </c>
      <c r="I32" s="43">
        <f t="shared" si="9"/>
        <v>8709156</v>
      </c>
      <c r="J32" s="43">
        <f t="shared" si="9"/>
        <v>8566039</v>
      </c>
      <c r="K32" s="43">
        <f t="shared" si="9"/>
        <v>9217075</v>
      </c>
      <c r="L32" s="43">
        <f t="shared" ref="L32:N32" si="10">L17+L20+L28+L29+L30+L31</f>
        <v>9601843</v>
      </c>
      <c r="M32" s="43">
        <f t="shared" si="10"/>
        <v>8533385</v>
      </c>
      <c r="N32" s="43">
        <f t="shared" si="10"/>
        <v>9128385.3520652968</v>
      </c>
      <c r="O32" s="43">
        <f t="shared" ref="O32:P32" si="11">O17+O20+O28+O29+O30+O31</f>
        <v>10260028.96359003</v>
      </c>
      <c r="P32" s="43">
        <f t="shared" si="11"/>
        <v>10978195.82551598</v>
      </c>
      <c r="Q32" s="7"/>
      <c r="R32" s="6"/>
      <c r="S32" s="7"/>
      <c r="T32" s="7"/>
      <c r="U32" s="6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28"/>
      <c r="CB32" s="28"/>
      <c r="CC32" s="28"/>
      <c r="CD32" s="28"/>
      <c r="CE32" s="28"/>
      <c r="CF32" s="28"/>
      <c r="CG32" s="28"/>
      <c r="CH32" s="28"/>
      <c r="CI32" s="28"/>
      <c r="CJ32" s="28"/>
      <c r="CK32" s="28"/>
      <c r="CL32" s="28"/>
      <c r="CM32" s="28"/>
      <c r="CN32" s="28"/>
      <c r="CO32" s="28"/>
      <c r="CP32" s="28"/>
      <c r="CQ32" s="28"/>
      <c r="CR32" s="28"/>
      <c r="CS32" s="28"/>
      <c r="CT32" s="28"/>
      <c r="CU32" s="28"/>
      <c r="CV32" s="28"/>
      <c r="CW32" s="28"/>
      <c r="CX32" s="28"/>
      <c r="CY32" s="28"/>
      <c r="CZ32" s="28"/>
      <c r="DA32" s="28"/>
      <c r="DB32" s="28"/>
      <c r="DC32" s="28"/>
      <c r="DD32" s="28"/>
      <c r="DE32" s="28"/>
      <c r="DF32" s="28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8"/>
      <c r="EA32" s="28"/>
      <c r="EB32" s="28"/>
      <c r="EC32" s="28"/>
      <c r="ED32" s="28"/>
      <c r="EE32" s="28"/>
      <c r="EF32" s="28"/>
      <c r="EG32" s="28"/>
      <c r="EH32" s="28"/>
      <c r="EI32" s="28"/>
      <c r="EJ32" s="28"/>
      <c r="EK32" s="28"/>
      <c r="EL32" s="28"/>
      <c r="EM32" s="28"/>
      <c r="EN32" s="28"/>
      <c r="EO32" s="28"/>
      <c r="EP32" s="28"/>
      <c r="EQ32" s="28"/>
      <c r="ER32" s="28"/>
      <c r="ES32" s="28"/>
      <c r="ET32" s="28"/>
      <c r="EU32" s="28"/>
      <c r="EV32" s="28"/>
      <c r="EW32" s="28"/>
      <c r="EX32" s="28"/>
      <c r="EY32" s="28"/>
      <c r="EZ32" s="28"/>
      <c r="FA32" s="28"/>
      <c r="FB32" s="28"/>
      <c r="FC32" s="28"/>
      <c r="FD32" s="28"/>
      <c r="FE32" s="28"/>
      <c r="FF32" s="28"/>
      <c r="FG32" s="28"/>
      <c r="FH32" s="28"/>
      <c r="FI32" s="28"/>
      <c r="FJ32" s="28"/>
      <c r="FK32" s="28"/>
      <c r="FL32" s="28"/>
      <c r="FM32" s="28"/>
      <c r="FN32" s="28"/>
      <c r="FO32" s="28"/>
      <c r="FP32" s="28"/>
      <c r="FQ32" s="28"/>
      <c r="FR32" s="28"/>
      <c r="FS32" s="28"/>
      <c r="FT32" s="28"/>
      <c r="FU32" s="28"/>
      <c r="FV32" s="28"/>
      <c r="FW32" s="28"/>
      <c r="FX32" s="28"/>
      <c r="FY32" s="28"/>
      <c r="FZ32" s="28"/>
      <c r="GA32" s="28"/>
      <c r="GB32" s="28"/>
      <c r="GC32" s="28"/>
      <c r="GD32" s="28"/>
      <c r="GE32" s="24"/>
      <c r="GF32" s="24"/>
      <c r="GG32" s="24"/>
    </row>
    <row r="33" spans="1:190" s="24" customFormat="1" ht="15.75" x14ac:dyDescent="0.25">
      <c r="A33" s="21" t="s">
        <v>27</v>
      </c>
      <c r="B33" s="31" t="s">
        <v>41</v>
      </c>
      <c r="C33" s="35">
        <f>C6+C11+C13+C14+C15+C17+C20+C28+C29+C30+C31</f>
        <v>13529020</v>
      </c>
      <c r="D33" s="35">
        <f>D6+D11+D13+D14+D15+D17+D20+D28+D29+D30+D31</f>
        <v>13969583</v>
      </c>
      <c r="E33" s="35">
        <f>E6+E11+E13+E14+E15+E17+E20+E28+E29+E30+E31</f>
        <v>14594127</v>
      </c>
      <c r="F33" s="35">
        <f>F6+F11+F13+F14+F15+F17+F20+F28+F29+F30+F31</f>
        <v>15559920.602015076</v>
      </c>
      <c r="G33" s="35">
        <f t="shared" ref="G33:K33" si="12">G6+G11+G13+G14+G15+G17+G20+G28+G29+G30+G31</f>
        <v>18067369.095242854</v>
      </c>
      <c r="H33" s="35">
        <f t="shared" si="12"/>
        <v>18712296</v>
      </c>
      <c r="I33" s="35">
        <f t="shared" si="12"/>
        <v>20680674</v>
      </c>
      <c r="J33" s="35">
        <f t="shared" si="12"/>
        <v>20892085</v>
      </c>
      <c r="K33" s="35">
        <f t="shared" si="12"/>
        <v>21912863</v>
      </c>
      <c r="L33" s="35">
        <f t="shared" ref="L33:N33" si="13">L6+L11+L13+L14+L15+L17+L20+L28+L29+L30+L31</f>
        <v>21621051</v>
      </c>
      <c r="M33" s="35">
        <f t="shared" si="13"/>
        <v>23554862</v>
      </c>
      <c r="N33" s="35">
        <f t="shared" si="13"/>
        <v>26714263.232833158</v>
      </c>
      <c r="O33" s="35">
        <f t="shared" ref="O33:P33" si="14">O6+O11+O13+O14+O15+O17+O20+O28+O29+O30+O31</f>
        <v>29808579.187579751</v>
      </c>
      <c r="P33" s="35">
        <f t="shared" si="14"/>
        <v>32321828.603493214</v>
      </c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3"/>
      <c r="EY33" s="23"/>
      <c r="EZ33" s="23"/>
      <c r="FA33" s="23"/>
      <c r="FB33" s="23"/>
      <c r="FC33" s="23"/>
      <c r="FD33" s="23"/>
      <c r="FE33" s="23"/>
      <c r="FF33" s="23"/>
      <c r="FG33" s="23"/>
      <c r="FH33" s="23"/>
      <c r="FI33" s="23"/>
      <c r="FJ33" s="23"/>
      <c r="FK33" s="23"/>
      <c r="FL33" s="23"/>
      <c r="FM33" s="23"/>
      <c r="FN33" s="23"/>
      <c r="FO33" s="23"/>
      <c r="FP33" s="23"/>
      <c r="FQ33" s="23"/>
      <c r="FR33" s="23"/>
      <c r="FS33" s="23"/>
      <c r="FT33" s="23"/>
      <c r="FU33" s="23"/>
      <c r="FV33" s="23"/>
      <c r="FW33" s="23"/>
      <c r="FX33" s="23"/>
      <c r="FY33" s="23"/>
      <c r="FZ33" s="23"/>
      <c r="GA33" s="23"/>
      <c r="GB33" s="23"/>
      <c r="GC33" s="23"/>
      <c r="GD33" s="23"/>
      <c r="GH33" s="25"/>
    </row>
    <row r="34" spans="1:190" ht="15.75" x14ac:dyDescent="0.25">
      <c r="A34" s="15" t="s">
        <v>43</v>
      </c>
      <c r="B34" s="20" t="s">
        <v>25</v>
      </c>
      <c r="C34" s="3">
        <v>1203476</v>
      </c>
      <c r="D34" s="3">
        <v>1247593</v>
      </c>
      <c r="E34" s="3">
        <v>1318035</v>
      </c>
      <c r="F34" s="3">
        <v>1451179</v>
      </c>
      <c r="G34" s="3">
        <v>1539995</v>
      </c>
      <c r="H34" s="16">
        <v>1806812</v>
      </c>
      <c r="I34" s="16">
        <v>1561486</v>
      </c>
      <c r="J34" s="16">
        <v>2502618</v>
      </c>
      <c r="K34" s="16">
        <v>2448372</v>
      </c>
      <c r="L34" s="16">
        <v>3752251</v>
      </c>
      <c r="M34" s="16">
        <v>3021483.1023094994</v>
      </c>
      <c r="N34" s="16">
        <v>3143998.9191795872</v>
      </c>
      <c r="O34" s="16">
        <v>3240457.1828881302</v>
      </c>
      <c r="P34" s="16">
        <v>3418034.2365103997</v>
      </c>
      <c r="Q34" s="7"/>
      <c r="R34" s="6"/>
      <c r="S34" s="7"/>
      <c r="T34" s="7"/>
      <c r="U34" s="6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</row>
    <row r="35" spans="1:190" ht="15.75" x14ac:dyDescent="0.25">
      <c r="A35" s="15" t="s">
        <v>44</v>
      </c>
      <c r="B35" s="20" t="s">
        <v>24</v>
      </c>
      <c r="C35" s="3">
        <v>415005</v>
      </c>
      <c r="D35" s="3">
        <v>482938</v>
      </c>
      <c r="E35" s="3">
        <v>459622</v>
      </c>
      <c r="F35" s="3">
        <v>489869</v>
      </c>
      <c r="G35" s="3">
        <v>496465</v>
      </c>
      <c r="H35" s="16">
        <v>311024</v>
      </c>
      <c r="I35" s="16">
        <v>250222</v>
      </c>
      <c r="J35" s="16">
        <v>290747</v>
      </c>
      <c r="K35" s="16">
        <v>290511</v>
      </c>
      <c r="L35" s="16">
        <v>591379</v>
      </c>
      <c r="M35" s="16">
        <v>762376.53227520722</v>
      </c>
      <c r="N35" s="16">
        <v>878943.90406008647</v>
      </c>
      <c r="O35" s="16">
        <v>593456</v>
      </c>
      <c r="P35" s="16">
        <v>758436.76800000004</v>
      </c>
      <c r="Q35" s="7"/>
      <c r="R35" s="6"/>
      <c r="S35" s="7"/>
      <c r="T35" s="7"/>
      <c r="U35" s="6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</row>
    <row r="36" spans="1:190" s="25" customFormat="1" ht="15.75" x14ac:dyDescent="0.25">
      <c r="A36" s="32" t="s">
        <v>45</v>
      </c>
      <c r="B36" s="33" t="s">
        <v>55</v>
      </c>
      <c r="C36" s="43">
        <f>C33+C34-C35</f>
        <v>14317491</v>
      </c>
      <c r="D36" s="43">
        <f t="shared" ref="D36:O36" si="15">D33+D34-D35</f>
        <v>14734238</v>
      </c>
      <c r="E36" s="43">
        <f t="shared" si="15"/>
        <v>15452540</v>
      </c>
      <c r="F36" s="43">
        <f t="shared" si="15"/>
        <v>16521230.602015078</v>
      </c>
      <c r="G36" s="43">
        <f t="shared" si="15"/>
        <v>19110899.095242854</v>
      </c>
      <c r="H36" s="43">
        <f t="shared" si="15"/>
        <v>20208084</v>
      </c>
      <c r="I36" s="43">
        <f t="shared" si="15"/>
        <v>21991938</v>
      </c>
      <c r="J36" s="43">
        <f t="shared" si="15"/>
        <v>23103956</v>
      </c>
      <c r="K36" s="43">
        <f t="shared" si="15"/>
        <v>24070724</v>
      </c>
      <c r="L36" s="43">
        <f t="shared" si="15"/>
        <v>24781923</v>
      </c>
      <c r="M36" s="43">
        <f t="shared" si="15"/>
        <v>25813968.570034292</v>
      </c>
      <c r="N36" s="43">
        <f t="shared" si="15"/>
        <v>28979318.247952659</v>
      </c>
      <c r="O36" s="43">
        <f t="shared" si="15"/>
        <v>32455580.370467883</v>
      </c>
      <c r="P36" s="43">
        <f t="shared" ref="P36" si="16">P33+P34-P35</f>
        <v>34981426.07200361</v>
      </c>
      <c r="Q36" s="7"/>
      <c r="R36" s="6"/>
      <c r="S36" s="7"/>
      <c r="T36" s="7"/>
      <c r="U36" s="6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8"/>
      <c r="BS36" s="28"/>
      <c r="BT36" s="28"/>
      <c r="BU36" s="28"/>
      <c r="BV36" s="28"/>
      <c r="BW36" s="28"/>
      <c r="BX36" s="28"/>
      <c r="BY36" s="28"/>
      <c r="BZ36" s="28"/>
      <c r="CA36" s="28"/>
      <c r="CB36" s="28"/>
      <c r="CC36" s="28"/>
      <c r="CD36" s="28"/>
      <c r="CE36" s="28"/>
      <c r="CF36" s="28"/>
      <c r="CG36" s="28"/>
      <c r="CH36" s="28"/>
      <c r="CI36" s="28"/>
      <c r="CJ36" s="28"/>
      <c r="CK36" s="28"/>
      <c r="CL36" s="28"/>
      <c r="CM36" s="28"/>
      <c r="CN36" s="28"/>
      <c r="CO36" s="28"/>
      <c r="CP36" s="28"/>
      <c r="CQ36" s="28"/>
      <c r="CR36" s="28"/>
      <c r="CS36" s="28"/>
      <c r="CT36" s="28"/>
      <c r="CU36" s="28"/>
      <c r="CV36" s="28"/>
      <c r="CW36" s="28"/>
      <c r="CX36" s="28"/>
      <c r="CY36" s="28"/>
      <c r="CZ36" s="28"/>
      <c r="DA36" s="28"/>
      <c r="DB36" s="28"/>
      <c r="DC36" s="28"/>
      <c r="DD36" s="28"/>
      <c r="DE36" s="28"/>
      <c r="DF36" s="28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8"/>
      <c r="EA36" s="28"/>
      <c r="EB36" s="28"/>
      <c r="EC36" s="28"/>
      <c r="ED36" s="28"/>
      <c r="EE36" s="28"/>
      <c r="EF36" s="28"/>
      <c r="EG36" s="28"/>
      <c r="EH36" s="28"/>
      <c r="EI36" s="28"/>
      <c r="EJ36" s="28"/>
      <c r="EK36" s="28"/>
      <c r="EL36" s="28"/>
      <c r="EM36" s="28"/>
      <c r="EN36" s="28"/>
      <c r="EO36" s="28"/>
      <c r="EP36" s="28"/>
      <c r="EQ36" s="28"/>
      <c r="ER36" s="28"/>
      <c r="ES36" s="28"/>
      <c r="ET36" s="28"/>
      <c r="EU36" s="28"/>
      <c r="EV36" s="28"/>
      <c r="EW36" s="28"/>
      <c r="EX36" s="28"/>
      <c r="EY36" s="28"/>
      <c r="EZ36" s="28"/>
      <c r="FA36" s="28"/>
      <c r="FB36" s="28"/>
      <c r="FC36" s="28"/>
      <c r="FD36" s="28"/>
      <c r="FE36" s="28"/>
      <c r="FF36" s="28"/>
      <c r="FG36" s="28"/>
      <c r="FH36" s="28"/>
      <c r="FI36" s="28"/>
      <c r="FJ36" s="28"/>
      <c r="FK36" s="28"/>
      <c r="FL36" s="28"/>
      <c r="FM36" s="28"/>
      <c r="FN36" s="28"/>
      <c r="FO36" s="28"/>
      <c r="FP36" s="28"/>
      <c r="FQ36" s="28"/>
      <c r="FR36" s="28"/>
      <c r="FS36" s="28"/>
      <c r="FT36" s="28"/>
      <c r="FU36" s="28"/>
      <c r="FV36" s="28"/>
      <c r="FW36" s="28"/>
      <c r="FX36" s="28"/>
      <c r="FY36" s="28"/>
      <c r="FZ36" s="28"/>
      <c r="GA36" s="28"/>
      <c r="GB36" s="28"/>
      <c r="GC36" s="28"/>
    </row>
    <row r="37" spans="1:190" s="25" customFormat="1" ht="15.75" x14ac:dyDescent="0.25">
      <c r="A37" s="32" t="s">
        <v>46</v>
      </c>
      <c r="B37" s="33" t="s">
        <v>42</v>
      </c>
      <c r="C37" s="47">
        <f>GSVA_cur!C37</f>
        <v>314410</v>
      </c>
      <c r="D37" s="47">
        <f>GSVA_cur!D37</f>
        <v>318480</v>
      </c>
      <c r="E37" s="47">
        <f>GSVA_cur!E37</f>
        <v>322600</v>
      </c>
      <c r="F37" s="47">
        <f>GSVA_cur!F37</f>
        <v>326780</v>
      </c>
      <c r="G37" s="47">
        <f>GSVA_cur!G37</f>
        <v>331010</v>
      </c>
      <c r="H37" s="47">
        <f>GSVA_cur!H37</f>
        <v>335290</v>
      </c>
      <c r="I37" s="47">
        <f>GSVA_cur!I37</f>
        <v>337620</v>
      </c>
      <c r="J37" s="47">
        <f>GSVA_cur!J37</f>
        <v>341370</v>
      </c>
      <c r="K37" s="47">
        <f>GSVA_cur!K37</f>
        <v>345120</v>
      </c>
      <c r="L37" s="47">
        <f>GSVA_cur!L37</f>
        <v>348870</v>
      </c>
      <c r="M37" s="47">
        <f>GSVA_cur!M37</f>
        <v>352390</v>
      </c>
      <c r="N37" s="47">
        <v>355730</v>
      </c>
      <c r="O37" s="47">
        <v>359080</v>
      </c>
      <c r="P37" s="47">
        <f>GSVA_cur!P37</f>
        <v>362420</v>
      </c>
      <c r="Q37" s="2"/>
      <c r="R37" s="5"/>
      <c r="S37" s="2"/>
      <c r="T37" s="2"/>
      <c r="U37" s="5"/>
      <c r="V37" s="5"/>
      <c r="W37" s="5"/>
      <c r="X37" s="5"/>
      <c r="Y37" s="5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DG37" s="24"/>
      <c r="DH37" s="24"/>
      <c r="DI37" s="24"/>
      <c r="DJ37" s="24"/>
      <c r="DK37" s="24"/>
      <c r="DL37" s="24"/>
      <c r="DM37" s="24"/>
      <c r="DN37" s="24"/>
      <c r="DO37" s="24"/>
      <c r="DP37" s="24"/>
      <c r="DQ37" s="24"/>
      <c r="DR37" s="24"/>
      <c r="DS37" s="24"/>
      <c r="DT37" s="24"/>
      <c r="DU37" s="24"/>
      <c r="DV37" s="24"/>
      <c r="DW37" s="24"/>
      <c r="DX37" s="24"/>
      <c r="DY37" s="24"/>
    </row>
    <row r="38" spans="1:190" s="25" customFormat="1" ht="15.75" x14ac:dyDescent="0.25">
      <c r="A38" s="32" t="s">
        <v>47</v>
      </c>
      <c r="B38" s="33" t="s">
        <v>58</v>
      </c>
      <c r="C38" s="43">
        <f>C36/C37*1000</f>
        <v>45537.645113068924</v>
      </c>
      <c r="D38" s="43">
        <f t="shared" ref="D38:O38" si="17">D36/D37*1000</f>
        <v>46264.248932429044</v>
      </c>
      <c r="E38" s="43">
        <f t="shared" si="17"/>
        <v>47900</v>
      </c>
      <c r="F38" s="43">
        <f t="shared" si="17"/>
        <v>50557.655309428599</v>
      </c>
      <c r="G38" s="43">
        <f t="shared" si="17"/>
        <v>57735.111009464534</v>
      </c>
      <c r="H38" s="43">
        <f t="shared" si="17"/>
        <v>60270.464374123891</v>
      </c>
      <c r="I38" s="43">
        <f t="shared" si="17"/>
        <v>65138.137551092936</v>
      </c>
      <c r="J38" s="43">
        <f t="shared" si="17"/>
        <v>67680.100770425051</v>
      </c>
      <c r="K38" s="43">
        <f t="shared" si="17"/>
        <v>69745.955030134442</v>
      </c>
      <c r="L38" s="43">
        <f t="shared" si="17"/>
        <v>71034.835325479406</v>
      </c>
      <c r="M38" s="43">
        <f t="shared" si="17"/>
        <v>73253.975907472661</v>
      </c>
      <c r="N38" s="43">
        <f t="shared" si="17"/>
        <v>81464.364118721103</v>
      </c>
      <c r="O38" s="43">
        <f t="shared" si="17"/>
        <v>90385.374764586959</v>
      </c>
      <c r="P38" s="43">
        <f t="shared" ref="P38" si="18">P36/P37*1000</f>
        <v>96521.787075778411</v>
      </c>
      <c r="Q38" s="2"/>
      <c r="R38" s="5"/>
      <c r="S38" s="2"/>
      <c r="T38" s="2"/>
      <c r="U38" s="6"/>
      <c r="V38" s="6"/>
      <c r="W38" s="6"/>
      <c r="X38" s="6"/>
      <c r="Y38" s="6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Z38" s="28"/>
      <c r="CA38" s="28"/>
      <c r="CB38" s="28"/>
      <c r="CC38" s="28"/>
      <c r="DG38" s="24"/>
      <c r="DH38" s="24"/>
      <c r="DI38" s="24"/>
      <c r="DJ38" s="24"/>
      <c r="DK38" s="24"/>
      <c r="DL38" s="24"/>
      <c r="DM38" s="24"/>
      <c r="DN38" s="24"/>
      <c r="DO38" s="24"/>
      <c r="DP38" s="24"/>
      <c r="DQ38" s="24"/>
      <c r="DR38" s="24"/>
      <c r="DS38" s="24"/>
      <c r="DT38" s="24"/>
      <c r="DU38" s="24"/>
      <c r="DV38" s="24"/>
      <c r="DW38" s="24"/>
      <c r="DX38" s="24"/>
      <c r="DY38" s="24"/>
    </row>
    <row r="39" spans="1:190" x14ac:dyDescent="0.25">
      <c r="A39" s="2" t="s">
        <v>75</v>
      </c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5" max="1048575" man="1"/>
    <brk id="37" max="1048575" man="1"/>
    <brk id="53" max="1048575" man="1"/>
    <brk id="117" max="95" man="1"/>
    <brk id="153" max="1048575" man="1"/>
    <brk id="177" max="1048575" man="1"/>
    <brk id="185" max="9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L39"/>
  <sheetViews>
    <sheetView zoomScale="96" zoomScaleNormal="96" zoomScaleSheetLayoutView="100" workbookViewId="0">
      <pane xSplit="2" ySplit="5" topLeftCell="C18" activePane="bottomRight" state="frozen"/>
      <selection activeCell="S29" sqref="S29"/>
      <selection pane="topRight" activeCell="S29" sqref="S29"/>
      <selection pane="bottomLeft" activeCell="S29" sqref="S29"/>
      <selection pane="bottomRight" activeCell="B36" sqref="B36"/>
    </sheetView>
  </sheetViews>
  <sheetFormatPr defaultColWidth="8.85546875" defaultRowHeight="15" x14ac:dyDescent="0.25"/>
  <cols>
    <col min="1" max="1" width="11" style="2" customWidth="1"/>
    <col min="2" max="2" width="37.28515625" style="2" customWidth="1"/>
    <col min="3" max="7" width="11.28515625" style="2" customWidth="1"/>
    <col min="8" max="16" width="11.85546875" style="5" customWidth="1"/>
    <col min="17" max="17" width="11.5703125" style="5" customWidth="1"/>
    <col min="18" max="19" width="9.140625" style="2" customWidth="1"/>
    <col min="20" max="20" width="11.85546875" style="2" customWidth="1"/>
    <col min="21" max="21" width="11.28515625" style="2" customWidth="1"/>
    <col min="22" max="22" width="11.7109375" style="5" customWidth="1"/>
    <col min="23" max="23" width="9.140625" style="2" customWidth="1"/>
    <col min="24" max="24" width="10.85546875" style="2" customWidth="1"/>
    <col min="25" max="25" width="10.85546875" style="5" customWidth="1"/>
    <col min="26" max="26" width="11" style="2" customWidth="1"/>
    <col min="27" max="29" width="11.42578125" style="2" customWidth="1"/>
    <col min="30" max="57" width="9.140625" style="2" customWidth="1"/>
    <col min="58" max="58" width="12.42578125" style="2" customWidth="1"/>
    <col min="59" max="80" width="9.140625" style="2" customWidth="1"/>
    <col min="81" max="81" width="12.140625" style="2" customWidth="1"/>
    <col min="82" max="85" width="9.140625" style="2" customWidth="1"/>
    <col min="86" max="90" width="9.140625" style="2" hidden="1" customWidth="1"/>
    <col min="91" max="91" width="9.140625" style="2" customWidth="1"/>
    <col min="92" max="96" width="9.140625" style="2" hidden="1" customWidth="1"/>
    <col min="97" max="97" width="9.140625" style="2" customWidth="1"/>
    <col min="98" max="102" width="9.140625" style="2" hidden="1" customWidth="1"/>
    <col min="103" max="103" width="9.140625" style="2" customWidth="1"/>
    <col min="104" max="108" width="9.140625" style="2" hidden="1" customWidth="1"/>
    <col min="109" max="109" width="9.140625" style="2" customWidth="1"/>
    <col min="110" max="114" width="9.140625" style="2" hidden="1" customWidth="1"/>
    <col min="115" max="115" width="9.140625" style="5" customWidth="1"/>
    <col min="116" max="120" width="9.140625" style="5" hidden="1" customWidth="1"/>
    <col min="121" max="121" width="9.140625" style="5" customWidth="1"/>
    <col min="122" max="126" width="9.140625" style="5" hidden="1" customWidth="1"/>
    <col min="127" max="127" width="9.140625" style="5" customWidth="1"/>
    <col min="128" max="132" width="9.140625" style="5" hidden="1" customWidth="1"/>
    <col min="133" max="133" width="9.140625" style="5" customWidth="1"/>
    <col min="134" max="163" width="9.140625" style="2" customWidth="1"/>
    <col min="164" max="164" width="9.140625" style="2" hidden="1" customWidth="1"/>
    <col min="165" max="172" width="9.140625" style="2" customWidth="1"/>
    <col min="173" max="173" width="9.140625" style="2" hidden="1" customWidth="1"/>
    <col min="174" max="178" width="9.140625" style="2" customWidth="1"/>
    <col min="179" max="179" width="9.140625" style="2" hidden="1" customWidth="1"/>
    <col min="180" max="189" width="9.140625" style="2" customWidth="1"/>
    <col min="190" max="193" width="8.85546875" style="2"/>
    <col min="194" max="194" width="12.7109375" style="2" bestFit="1" customWidth="1"/>
    <col min="195" max="16384" width="8.85546875" style="2"/>
  </cols>
  <sheetData>
    <row r="1" spans="1:194" ht="18.75" x14ac:dyDescent="0.3">
      <c r="A1" s="2" t="s">
        <v>53</v>
      </c>
      <c r="B1" s="17" t="s">
        <v>66</v>
      </c>
      <c r="X1" s="6"/>
    </row>
    <row r="2" spans="1:194" ht="15.75" x14ac:dyDescent="0.25">
      <c r="A2" s="10" t="s">
        <v>50</v>
      </c>
      <c r="H2" s="6"/>
      <c r="I2" s="6"/>
      <c r="J2" s="6"/>
    </row>
    <row r="3" spans="1:194" ht="15.75" x14ac:dyDescent="0.25">
      <c r="A3" s="10"/>
      <c r="H3" s="5" t="str">
        <f>[1]GSVA_cur!$I$3</f>
        <v>01.08.2025</v>
      </c>
    </row>
    <row r="4" spans="1:194" ht="15.75" x14ac:dyDescent="0.25">
      <c r="A4" s="10"/>
      <c r="E4" s="9"/>
      <c r="F4" s="9" t="s">
        <v>57</v>
      </c>
      <c r="G4" s="9"/>
    </row>
    <row r="5" spans="1:194" ht="15.75" x14ac:dyDescent="0.25">
      <c r="A5" s="11" t="s">
        <v>0</v>
      </c>
      <c r="B5" s="34" t="s">
        <v>1</v>
      </c>
      <c r="C5" s="3" t="s">
        <v>21</v>
      </c>
      <c r="D5" s="3" t="s">
        <v>22</v>
      </c>
      <c r="E5" s="3" t="s">
        <v>23</v>
      </c>
      <c r="F5" s="3" t="s">
        <v>56</v>
      </c>
      <c r="G5" s="3" t="s">
        <v>65</v>
      </c>
      <c r="H5" s="16" t="s">
        <v>67</v>
      </c>
      <c r="I5" s="16" t="s">
        <v>68</v>
      </c>
      <c r="J5" s="16" t="s">
        <v>69</v>
      </c>
      <c r="K5" s="16" t="s">
        <v>70</v>
      </c>
      <c r="L5" s="16" t="s">
        <v>71</v>
      </c>
      <c r="M5" s="16" t="s">
        <v>72</v>
      </c>
      <c r="N5" s="16" t="s">
        <v>73</v>
      </c>
      <c r="O5" s="16" t="s">
        <v>74</v>
      </c>
      <c r="P5" s="16" t="s">
        <v>76</v>
      </c>
    </row>
    <row r="6" spans="1:194" s="24" customFormat="1" ht="15.75" x14ac:dyDescent="0.25">
      <c r="A6" s="21" t="s">
        <v>26</v>
      </c>
      <c r="B6" s="22" t="s">
        <v>2</v>
      </c>
      <c r="C6" s="35">
        <f>SUM(C7:C10)</f>
        <v>2620851</v>
      </c>
      <c r="D6" s="35">
        <f t="shared" ref="D6:P6" si="0">SUM(D7:D10)</f>
        <v>3131489</v>
      </c>
      <c r="E6" s="35">
        <f t="shared" si="0"/>
        <v>3394131</v>
      </c>
      <c r="F6" s="35">
        <f t="shared" si="0"/>
        <v>3576248</v>
      </c>
      <c r="G6" s="35">
        <f t="shared" si="0"/>
        <v>4022029</v>
      </c>
      <c r="H6" s="35">
        <f t="shared" si="0"/>
        <v>4061751</v>
      </c>
      <c r="I6" s="35">
        <f t="shared" si="0"/>
        <v>4359715</v>
      </c>
      <c r="J6" s="35">
        <f t="shared" si="0"/>
        <v>4613642</v>
      </c>
      <c r="K6" s="35">
        <f t="shared" si="0"/>
        <v>7069942</v>
      </c>
      <c r="L6" s="35">
        <f t="shared" si="0"/>
        <v>7681804</v>
      </c>
      <c r="M6" s="35">
        <f t="shared" si="0"/>
        <v>7431729.3125285115</v>
      </c>
      <c r="N6" s="35">
        <f t="shared" si="0"/>
        <v>9865745.9749869183</v>
      </c>
      <c r="O6" s="35">
        <f t="shared" si="0"/>
        <v>11123826.107877949</v>
      </c>
      <c r="P6" s="35">
        <f t="shared" si="0"/>
        <v>11693500.565729106</v>
      </c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  <c r="EY6" s="23"/>
      <c r="EZ6" s="23"/>
      <c r="FA6" s="23"/>
      <c r="FB6" s="23"/>
      <c r="FC6" s="23"/>
      <c r="FD6" s="23"/>
      <c r="FE6" s="23"/>
      <c r="FF6" s="23"/>
      <c r="FG6" s="23"/>
      <c r="FH6" s="23"/>
      <c r="FI6" s="23"/>
      <c r="FJ6" s="23"/>
      <c r="FK6" s="23"/>
      <c r="FL6" s="23"/>
      <c r="FM6" s="23"/>
      <c r="FN6" s="23"/>
      <c r="FO6" s="23"/>
      <c r="FP6" s="23"/>
      <c r="FQ6" s="23"/>
      <c r="FR6" s="23"/>
      <c r="FS6" s="23"/>
      <c r="FT6" s="23"/>
      <c r="FU6" s="23"/>
      <c r="FV6" s="23"/>
      <c r="FW6" s="23"/>
      <c r="FX6" s="23"/>
      <c r="FY6" s="23"/>
      <c r="FZ6" s="23"/>
      <c r="GA6" s="23"/>
      <c r="GB6" s="23"/>
      <c r="GC6" s="23"/>
      <c r="GD6" s="23"/>
      <c r="GE6" s="23"/>
      <c r="GF6" s="23"/>
      <c r="GG6" s="23"/>
      <c r="GH6" s="23"/>
      <c r="GL6" s="25"/>
    </row>
    <row r="7" spans="1:194" ht="15.75" x14ac:dyDescent="0.25">
      <c r="A7" s="13">
        <v>1.1000000000000001</v>
      </c>
      <c r="B7" s="19" t="s">
        <v>59</v>
      </c>
      <c r="C7" s="4">
        <v>1888760</v>
      </c>
      <c r="D7" s="4">
        <v>2298656</v>
      </c>
      <c r="E7" s="4">
        <v>2485157</v>
      </c>
      <c r="F7" s="4">
        <v>2625216</v>
      </c>
      <c r="G7" s="4">
        <v>2920425</v>
      </c>
      <c r="H7" s="1">
        <v>2967137</v>
      </c>
      <c r="I7" s="1">
        <v>3112293</v>
      </c>
      <c r="J7" s="1">
        <v>3323795</v>
      </c>
      <c r="K7" s="1">
        <v>3784860</v>
      </c>
      <c r="L7" s="1">
        <v>4500050</v>
      </c>
      <c r="M7" s="1">
        <v>4548132.8384459168</v>
      </c>
      <c r="N7" s="1">
        <v>5815966.3752143485</v>
      </c>
      <c r="O7" s="1">
        <v>6717701.4528943272</v>
      </c>
      <c r="P7" s="1">
        <v>7007964.4050707947</v>
      </c>
      <c r="Q7" s="6"/>
      <c r="R7" s="7"/>
      <c r="S7" s="7"/>
      <c r="T7" s="7"/>
      <c r="U7" s="7"/>
      <c r="V7" s="6"/>
      <c r="W7" s="7"/>
      <c r="X7" s="7"/>
      <c r="Y7" s="6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5"/>
      <c r="GJ7" s="5"/>
      <c r="GK7" s="5"/>
    </row>
    <row r="8" spans="1:194" ht="15.75" x14ac:dyDescent="0.25">
      <c r="A8" s="13">
        <v>1.2</v>
      </c>
      <c r="B8" s="19" t="s">
        <v>60</v>
      </c>
      <c r="C8" s="4">
        <v>153834</v>
      </c>
      <c r="D8" s="4">
        <v>172787</v>
      </c>
      <c r="E8" s="4">
        <v>148379</v>
      </c>
      <c r="F8" s="4">
        <v>166229</v>
      </c>
      <c r="G8" s="4">
        <v>263417</v>
      </c>
      <c r="H8" s="1">
        <v>242439</v>
      </c>
      <c r="I8" s="1">
        <v>323360</v>
      </c>
      <c r="J8" s="1">
        <v>341693</v>
      </c>
      <c r="K8" s="1">
        <v>729258</v>
      </c>
      <c r="L8" s="1">
        <v>896526</v>
      </c>
      <c r="M8" s="1">
        <v>936881.38205584919</v>
      </c>
      <c r="N8" s="1">
        <v>1353134.2991345287</v>
      </c>
      <c r="O8" s="1">
        <v>1465740.3523776797</v>
      </c>
      <c r="P8" s="1">
        <v>1513472</v>
      </c>
      <c r="Q8" s="6"/>
      <c r="R8" s="7"/>
      <c r="S8" s="7"/>
      <c r="T8" s="7"/>
      <c r="U8" s="7"/>
      <c r="V8" s="6"/>
      <c r="W8" s="7"/>
      <c r="X8" s="7"/>
      <c r="Y8" s="6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5"/>
      <c r="GJ8" s="5"/>
      <c r="GK8" s="5"/>
    </row>
    <row r="9" spans="1:194" ht="15.75" x14ac:dyDescent="0.25">
      <c r="A9" s="13">
        <v>1.3</v>
      </c>
      <c r="B9" s="19" t="s">
        <v>61</v>
      </c>
      <c r="C9" s="4">
        <v>228850</v>
      </c>
      <c r="D9" s="4">
        <v>243579</v>
      </c>
      <c r="E9" s="4">
        <v>307943</v>
      </c>
      <c r="F9" s="4">
        <v>303339</v>
      </c>
      <c r="G9" s="4">
        <v>318280</v>
      </c>
      <c r="H9" s="1">
        <v>267511</v>
      </c>
      <c r="I9" s="1">
        <v>293481</v>
      </c>
      <c r="J9" s="1">
        <v>307065</v>
      </c>
      <c r="K9" s="1">
        <v>1218476</v>
      </c>
      <c r="L9" s="1">
        <v>735553</v>
      </c>
      <c r="M9" s="1">
        <v>537808.86123563978</v>
      </c>
      <c r="N9" s="1">
        <v>1136152.8150117695</v>
      </c>
      <c r="O9" s="1">
        <v>1138832.7564071405</v>
      </c>
      <c r="P9" s="1">
        <v>1165718.1606583104</v>
      </c>
      <c r="Q9" s="6"/>
      <c r="R9" s="7"/>
      <c r="S9" s="7"/>
      <c r="T9" s="7"/>
      <c r="U9" s="7"/>
      <c r="V9" s="6"/>
      <c r="W9" s="7"/>
      <c r="X9" s="7"/>
      <c r="Y9" s="6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5"/>
      <c r="GJ9" s="5"/>
      <c r="GK9" s="5"/>
    </row>
    <row r="10" spans="1:194" ht="15.75" x14ac:dyDescent="0.25">
      <c r="A10" s="13">
        <v>1.4</v>
      </c>
      <c r="B10" s="19" t="s">
        <v>62</v>
      </c>
      <c r="C10" s="4">
        <v>349407</v>
      </c>
      <c r="D10" s="4">
        <v>416467</v>
      </c>
      <c r="E10" s="4">
        <v>452652</v>
      </c>
      <c r="F10" s="4">
        <v>481464</v>
      </c>
      <c r="G10" s="4">
        <v>519907</v>
      </c>
      <c r="H10" s="1">
        <v>584664</v>
      </c>
      <c r="I10" s="1">
        <v>630581</v>
      </c>
      <c r="J10" s="1">
        <v>641089</v>
      </c>
      <c r="K10" s="1">
        <v>1337348</v>
      </c>
      <c r="L10" s="1">
        <v>1549675</v>
      </c>
      <c r="M10" s="1">
        <v>1408906.2307911054</v>
      </c>
      <c r="N10" s="1">
        <v>1560492.4856262715</v>
      </c>
      <c r="O10" s="1">
        <v>1801551.5461988014</v>
      </c>
      <c r="P10" s="1">
        <v>2006346</v>
      </c>
      <c r="Q10" s="6"/>
      <c r="R10" s="7"/>
      <c r="S10" s="7"/>
      <c r="T10" s="7"/>
      <c r="U10" s="7"/>
      <c r="V10" s="6"/>
      <c r="W10" s="7"/>
      <c r="X10" s="7"/>
      <c r="Y10" s="6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5"/>
      <c r="GJ10" s="5"/>
      <c r="GK10" s="5"/>
    </row>
    <row r="11" spans="1:194" ht="15.75" x14ac:dyDescent="0.25">
      <c r="A11" s="14" t="s">
        <v>31</v>
      </c>
      <c r="B11" s="19" t="s">
        <v>3</v>
      </c>
      <c r="C11" s="4">
        <v>1288077</v>
      </c>
      <c r="D11" s="4">
        <v>1272547</v>
      </c>
      <c r="E11" s="4">
        <v>1218973</v>
      </c>
      <c r="F11" s="4">
        <v>1240709</v>
      </c>
      <c r="G11" s="4">
        <v>2298510</v>
      </c>
      <c r="H11" s="1">
        <v>2315492</v>
      </c>
      <c r="I11" s="1">
        <v>2550486</v>
      </c>
      <c r="J11" s="1">
        <v>3056087</v>
      </c>
      <c r="K11" s="1">
        <v>2777087</v>
      </c>
      <c r="L11" s="1">
        <v>1920713</v>
      </c>
      <c r="M11" s="1">
        <v>4979784.7535805851</v>
      </c>
      <c r="N11" s="1">
        <v>6083307.2887374526</v>
      </c>
      <c r="O11" s="1">
        <v>6607030.0728672184</v>
      </c>
      <c r="P11" s="1">
        <v>7133447.0011867797</v>
      </c>
      <c r="Q11" s="6"/>
      <c r="R11" s="7"/>
      <c r="S11" s="7"/>
      <c r="T11" s="7"/>
      <c r="U11" s="7"/>
      <c r="V11" s="6"/>
      <c r="W11" s="7"/>
      <c r="X11" s="7"/>
      <c r="Y11" s="6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5"/>
      <c r="GJ11" s="5"/>
      <c r="GK11" s="5"/>
    </row>
    <row r="12" spans="1:194" s="25" customFormat="1" ht="15.75" x14ac:dyDescent="0.25">
      <c r="A12" s="26"/>
      <c r="B12" s="27" t="s">
        <v>28</v>
      </c>
      <c r="C12" s="43">
        <f>C6+C11</f>
        <v>3908928</v>
      </c>
      <c r="D12" s="43">
        <f t="shared" ref="D12:P12" si="1">D6+D11</f>
        <v>4404036</v>
      </c>
      <c r="E12" s="43">
        <f t="shared" si="1"/>
        <v>4613104</v>
      </c>
      <c r="F12" s="43">
        <f t="shared" si="1"/>
        <v>4816957</v>
      </c>
      <c r="G12" s="43">
        <f t="shared" si="1"/>
        <v>6320539</v>
      </c>
      <c r="H12" s="43">
        <f t="shared" si="1"/>
        <v>6377243</v>
      </c>
      <c r="I12" s="43">
        <f t="shared" si="1"/>
        <v>6910201</v>
      </c>
      <c r="J12" s="43">
        <f t="shared" si="1"/>
        <v>7669729</v>
      </c>
      <c r="K12" s="43">
        <f t="shared" si="1"/>
        <v>9847029</v>
      </c>
      <c r="L12" s="43">
        <f t="shared" si="1"/>
        <v>9602517</v>
      </c>
      <c r="M12" s="43">
        <f t="shared" si="1"/>
        <v>12411514.066109097</v>
      </c>
      <c r="N12" s="43">
        <f t="shared" si="1"/>
        <v>15949053.263724372</v>
      </c>
      <c r="O12" s="43">
        <f t="shared" si="1"/>
        <v>17730856.18074517</v>
      </c>
      <c r="P12" s="43">
        <f t="shared" si="1"/>
        <v>18826947.566915885</v>
      </c>
      <c r="Q12" s="6"/>
      <c r="R12" s="7"/>
      <c r="S12" s="7"/>
      <c r="T12" s="7"/>
      <c r="U12" s="7"/>
      <c r="V12" s="6"/>
      <c r="W12" s="7"/>
      <c r="X12" s="7"/>
      <c r="Y12" s="6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  <c r="CA12" s="28"/>
      <c r="CB12" s="28"/>
      <c r="CC12" s="28"/>
      <c r="CD12" s="28"/>
      <c r="CE12" s="28"/>
      <c r="CF12" s="28"/>
      <c r="CG12" s="28"/>
      <c r="CH12" s="28"/>
      <c r="CI12" s="28"/>
      <c r="CJ12" s="28"/>
      <c r="CK12" s="28"/>
      <c r="CL12" s="28"/>
      <c r="CM12" s="28"/>
      <c r="CN12" s="28"/>
      <c r="CO12" s="28"/>
      <c r="CP12" s="28"/>
      <c r="CQ12" s="28"/>
      <c r="CR12" s="28"/>
      <c r="CS12" s="28"/>
      <c r="CT12" s="28"/>
      <c r="CU12" s="28"/>
      <c r="CV12" s="28"/>
      <c r="CW12" s="28"/>
      <c r="CX12" s="28"/>
      <c r="CY12" s="28"/>
      <c r="CZ12" s="28"/>
      <c r="DA12" s="28"/>
      <c r="DB12" s="28"/>
      <c r="DC12" s="28"/>
      <c r="DD12" s="28"/>
      <c r="DE12" s="28"/>
      <c r="DF12" s="28"/>
      <c r="DG12" s="28"/>
      <c r="DH12" s="28"/>
      <c r="DI12" s="28"/>
      <c r="DJ12" s="28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8"/>
      <c r="EE12" s="28"/>
      <c r="EF12" s="28"/>
      <c r="EG12" s="28"/>
      <c r="EH12" s="28"/>
      <c r="EI12" s="28"/>
      <c r="EJ12" s="28"/>
      <c r="EK12" s="28"/>
      <c r="EL12" s="28"/>
      <c r="EM12" s="28"/>
      <c r="EN12" s="28"/>
      <c r="EO12" s="28"/>
      <c r="EP12" s="28"/>
      <c r="EQ12" s="28"/>
      <c r="ER12" s="28"/>
      <c r="ES12" s="28"/>
      <c r="ET12" s="28"/>
      <c r="EU12" s="28"/>
      <c r="EV12" s="28"/>
      <c r="EW12" s="28"/>
      <c r="EX12" s="28"/>
      <c r="EY12" s="28"/>
      <c r="EZ12" s="28"/>
      <c r="FA12" s="28"/>
      <c r="FB12" s="28"/>
      <c r="FC12" s="28"/>
      <c r="FD12" s="28"/>
      <c r="FE12" s="28"/>
      <c r="FF12" s="28"/>
      <c r="FG12" s="28"/>
      <c r="FH12" s="28"/>
      <c r="FI12" s="28"/>
      <c r="FJ12" s="28"/>
      <c r="FK12" s="28"/>
      <c r="FL12" s="28"/>
      <c r="FM12" s="28"/>
      <c r="FN12" s="28"/>
      <c r="FO12" s="28"/>
      <c r="FP12" s="28"/>
      <c r="FQ12" s="28"/>
      <c r="FR12" s="28"/>
      <c r="FS12" s="28"/>
      <c r="FT12" s="28"/>
      <c r="FU12" s="28"/>
      <c r="FV12" s="28"/>
      <c r="FW12" s="28"/>
      <c r="FX12" s="28"/>
      <c r="FY12" s="28"/>
      <c r="FZ12" s="28"/>
      <c r="GA12" s="28"/>
      <c r="GB12" s="28"/>
      <c r="GC12" s="28"/>
      <c r="GD12" s="28"/>
      <c r="GE12" s="28"/>
      <c r="GF12" s="28"/>
      <c r="GG12" s="28"/>
      <c r="GH12" s="28"/>
      <c r="GI12" s="24"/>
      <c r="GJ12" s="24"/>
      <c r="GK12" s="24"/>
    </row>
    <row r="13" spans="1:194" s="5" customFormat="1" ht="15.75" x14ac:dyDescent="0.25">
      <c r="A13" s="12" t="s">
        <v>32</v>
      </c>
      <c r="B13" s="18" t="s">
        <v>4</v>
      </c>
      <c r="C13" s="1">
        <v>1274688</v>
      </c>
      <c r="D13" s="1">
        <v>1304587</v>
      </c>
      <c r="E13" s="1">
        <v>1659125</v>
      </c>
      <c r="F13" s="1">
        <v>1740262</v>
      </c>
      <c r="G13" s="1">
        <v>2132801</v>
      </c>
      <c r="H13" s="1">
        <v>2653234</v>
      </c>
      <c r="I13" s="1">
        <v>2945235</v>
      </c>
      <c r="J13" s="1">
        <v>3176344.0918922415</v>
      </c>
      <c r="K13" s="1">
        <v>3119795</v>
      </c>
      <c r="L13" s="1">
        <v>3512731</v>
      </c>
      <c r="M13" s="1">
        <v>3857139.7124354239</v>
      </c>
      <c r="N13" s="1">
        <v>4179760.9815873103</v>
      </c>
      <c r="O13" s="1">
        <v>4597829.1959123118</v>
      </c>
      <c r="P13" s="1">
        <v>5163732.0282491902</v>
      </c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L13" s="2"/>
    </row>
    <row r="14" spans="1:194" ht="30" x14ac:dyDescent="0.25">
      <c r="A14" s="14" t="s">
        <v>33</v>
      </c>
      <c r="B14" s="19" t="s">
        <v>5</v>
      </c>
      <c r="C14" s="4">
        <v>130994</v>
      </c>
      <c r="D14" s="4">
        <v>136995</v>
      </c>
      <c r="E14" s="4">
        <v>170118</v>
      </c>
      <c r="F14" s="4">
        <v>202877</v>
      </c>
      <c r="G14" s="4">
        <v>244168</v>
      </c>
      <c r="H14" s="1">
        <v>291398</v>
      </c>
      <c r="I14" s="1">
        <v>461036</v>
      </c>
      <c r="J14" s="1">
        <v>465539</v>
      </c>
      <c r="K14" s="1">
        <v>469880</v>
      </c>
      <c r="L14" s="1">
        <v>412688</v>
      </c>
      <c r="M14" s="1">
        <v>578022</v>
      </c>
      <c r="N14" s="1">
        <v>559430.25555907527</v>
      </c>
      <c r="O14" s="1">
        <v>1181343.2894567107</v>
      </c>
      <c r="P14" s="1">
        <v>1282460.8637000001</v>
      </c>
      <c r="Q14" s="6"/>
      <c r="R14" s="7"/>
      <c r="S14" s="7"/>
      <c r="T14" s="7"/>
      <c r="U14" s="7"/>
      <c r="V14" s="6"/>
      <c r="W14" s="7"/>
      <c r="X14" s="7"/>
      <c r="Y14" s="6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6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6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6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5"/>
      <c r="GJ14" s="5"/>
      <c r="GK14" s="5"/>
    </row>
    <row r="15" spans="1:194" ht="15.75" x14ac:dyDescent="0.25">
      <c r="A15" s="14" t="s">
        <v>34</v>
      </c>
      <c r="B15" s="19" t="s">
        <v>6</v>
      </c>
      <c r="C15" s="4">
        <v>1131858</v>
      </c>
      <c r="D15" s="4">
        <v>1203628</v>
      </c>
      <c r="E15" s="4">
        <v>1444115</v>
      </c>
      <c r="F15" s="4">
        <v>1511089</v>
      </c>
      <c r="G15" s="4">
        <v>1519060</v>
      </c>
      <c r="H15" s="1">
        <v>1774376</v>
      </c>
      <c r="I15" s="1">
        <v>2042907</v>
      </c>
      <c r="J15" s="1">
        <v>1955162</v>
      </c>
      <c r="K15" s="1">
        <v>1968696</v>
      </c>
      <c r="L15" s="1">
        <v>1977177</v>
      </c>
      <c r="M15" s="1">
        <v>2697389.1755416575</v>
      </c>
      <c r="N15" s="1">
        <v>3219171.1447976618</v>
      </c>
      <c r="O15" s="1">
        <v>4226169.3287847508</v>
      </c>
      <c r="P15" s="1">
        <v>5221602.9922774201</v>
      </c>
      <c r="Q15" s="6"/>
      <c r="R15" s="7"/>
      <c r="S15" s="7"/>
      <c r="T15" s="7"/>
      <c r="U15" s="7"/>
      <c r="V15" s="6"/>
      <c r="W15" s="7"/>
      <c r="X15" s="7"/>
      <c r="Y15" s="6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6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6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6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5"/>
      <c r="GJ15" s="5"/>
      <c r="GK15" s="5"/>
    </row>
    <row r="16" spans="1:194" s="25" customFormat="1" ht="15.75" x14ac:dyDescent="0.25">
      <c r="A16" s="26"/>
      <c r="B16" s="27" t="s">
        <v>29</v>
      </c>
      <c r="C16" s="43">
        <f>+C13+C14+C15</f>
        <v>2537540</v>
      </c>
      <c r="D16" s="43">
        <f t="shared" ref="D16:K16" si="2">+D13+D14+D15</f>
        <v>2645210</v>
      </c>
      <c r="E16" s="43">
        <f t="shared" si="2"/>
        <v>3273358</v>
      </c>
      <c r="F16" s="43">
        <f t="shared" si="2"/>
        <v>3454228</v>
      </c>
      <c r="G16" s="43">
        <f t="shared" si="2"/>
        <v>3896029</v>
      </c>
      <c r="H16" s="43">
        <f t="shared" si="2"/>
        <v>4719008</v>
      </c>
      <c r="I16" s="43">
        <f t="shared" si="2"/>
        <v>5449178</v>
      </c>
      <c r="J16" s="43">
        <f t="shared" si="2"/>
        <v>5597045.0918922415</v>
      </c>
      <c r="K16" s="43">
        <f t="shared" si="2"/>
        <v>5558371</v>
      </c>
      <c r="L16" s="43">
        <f t="shared" ref="L16:O16" si="3">+L13+L14+L15</f>
        <v>5902596</v>
      </c>
      <c r="M16" s="43">
        <f t="shared" si="3"/>
        <v>7132550.8879770823</v>
      </c>
      <c r="N16" s="43">
        <f t="shared" si="3"/>
        <v>7958362.3819440473</v>
      </c>
      <c r="O16" s="43">
        <f t="shared" si="3"/>
        <v>10005341.814153774</v>
      </c>
      <c r="P16" s="43">
        <f t="shared" ref="P16" si="4">+P13+P14+P15</f>
        <v>11667795.884226609</v>
      </c>
      <c r="Q16" s="6"/>
      <c r="R16" s="7"/>
      <c r="S16" s="7"/>
      <c r="T16" s="7"/>
      <c r="U16" s="7"/>
      <c r="V16" s="6"/>
      <c r="W16" s="7"/>
      <c r="X16" s="7"/>
      <c r="Y16" s="6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8"/>
      <c r="CQ16" s="28"/>
      <c r="CR16" s="28"/>
      <c r="CS16" s="28"/>
      <c r="CT16" s="28"/>
      <c r="CU16" s="28"/>
      <c r="CV16" s="28"/>
      <c r="CW16" s="28"/>
      <c r="CX16" s="28"/>
      <c r="CY16" s="23"/>
      <c r="CZ16" s="28"/>
      <c r="DA16" s="28"/>
      <c r="DB16" s="28"/>
      <c r="DC16" s="28"/>
      <c r="DD16" s="28"/>
      <c r="DE16" s="28"/>
      <c r="DF16" s="28"/>
      <c r="DG16" s="28"/>
      <c r="DH16" s="28"/>
      <c r="DI16" s="28"/>
      <c r="DJ16" s="28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28"/>
      <c r="EQ16" s="28"/>
      <c r="ER16" s="28"/>
      <c r="ES16" s="28"/>
      <c r="ET16" s="28"/>
      <c r="EU16" s="23"/>
      <c r="EV16" s="28"/>
      <c r="EW16" s="28"/>
      <c r="EX16" s="28"/>
      <c r="EY16" s="28"/>
      <c r="EZ16" s="28"/>
      <c r="FA16" s="28"/>
      <c r="FB16" s="28"/>
      <c r="FC16" s="28"/>
      <c r="FD16" s="28"/>
      <c r="FE16" s="28"/>
      <c r="FF16" s="28"/>
      <c r="FG16" s="28"/>
      <c r="FH16" s="28"/>
      <c r="FI16" s="28"/>
      <c r="FJ16" s="28"/>
      <c r="FK16" s="28"/>
      <c r="FL16" s="28"/>
      <c r="FM16" s="28"/>
      <c r="FN16" s="28"/>
      <c r="FO16" s="28"/>
      <c r="FP16" s="28"/>
      <c r="FQ16" s="28"/>
      <c r="FR16" s="28"/>
      <c r="FS16" s="23"/>
      <c r="FT16" s="28"/>
      <c r="FU16" s="28"/>
      <c r="FV16" s="28"/>
      <c r="FW16" s="28"/>
      <c r="FX16" s="28"/>
      <c r="FY16" s="28"/>
      <c r="FZ16" s="28"/>
      <c r="GA16" s="28"/>
      <c r="GB16" s="28"/>
      <c r="GC16" s="28"/>
      <c r="GD16" s="28"/>
      <c r="GE16" s="28"/>
      <c r="GF16" s="28"/>
      <c r="GG16" s="28"/>
      <c r="GH16" s="28"/>
      <c r="GI16" s="24"/>
      <c r="GJ16" s="24"/>
      <c r="GK16" s="24"/>
    </row>
    <row r="17" spans="1:194" s="24" customFormat="1" ht="15.75" x14ac:dyDescent="0.25">
      <c r="A17" s="21" t="s">
        <v>35</v>
      </c>
      <c r="B17" s="22" t="s">
        <v>7</v>
      </c>
      <c r="C17" s="35">
        <f>C18+C19</f>
        <v>2002198</v>
      </c>
      <c r="D17" s="35">
        <f t="shared" ref="D17:K17" si="5">D18+D19</f>
        <v>2231416</v>
      </c>
      <c r="E17" s="35">
        <f t="shared" si="5"/>
        <v>2510971</v>
      </c>
      <c r="F17" s="35">
        <f t="shared" si="5"/>
        <v>2786621</v>
      </c>
      <c r="G17" s="35">
        <f t="shared" si="5"/>
        <v>2740712</v>
      </c>
      <c r="H17" s="35">
        <f t="shared" si="5"/>
        <v>3323954</v>
      </c>
      <c r="I17" s="35">
        <f t="shared" si="5"/>
        <v>3750424</v>
      </c>
      <c r="J17" s="35">
        <f t="shared" si="5"/>
        <v>4204333</v>
      </c>
      <c r="K17" s="35">
        <f t="shared" si="5"/>
        <v>4501558</v>
      </c>
      <c r="L17" s="35">
        <f t="shared" ref="L17:O17" si="6">L18+L19</f>
        <v>3580434</v>
      </c>
      <c r="M17" s="35">
        <f t="shared" si="6"/>
        <v>4113065.011073044</v>
      </c>
      <c r="N17" s="35">
        <f t="shared" si="6"/>
        <v>4918758.2012182791</v>
      </c>
      <c r="O17" s="35">
        <f t="shared" si="6"/>
        <v>5831830.1825240767</v>
      </c>
      <c r="P17" s="35">
        <f t="shared" ref="P17" si="7">P18+P19</f>
        <v>6287111.1715333899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3"/>
      <c r="EY17" s="23"/>
      <c r="EZ17" s="23"/>
      <c r="FA17" s="23"/>
      <c r="FB17" s="23"/>
      <c r="FC17" s="23"/>
      <c r="FD17" s="23"/>
      <c r="FE17" s="23"/>
      <c r="FF17" s="23"/>
      <c r="FG17" s="23"/>
      <c r="FH17" s="23"/>
      <c r="FI17" s="23"/>
      <c r="FJ17" s="23"/>
      <c r="FK17" s="23"/>
      <c r="FL17" s="23"/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/>
      <c r="GG17" s="23"/>
      <c r="GH17" s="23"/>
      <c r="GL17" s="25"/>
    </row>
    <row r="18" spans="1:194" ht="15.75" x14ac:dyDescent="0.25">
      <c r="A18" s="13">
        <v>6.1</v>
      </c>
      <c r="B18" s="19" t="s">
        <v>8</v>
      </c>
      <c r="C18" s="4">
        <v>1919528</v>
      </c>
      <c r="D18" s="4">
        <v>2141229</v>
      </c>
      <c r="E18" s="4">
        <v>2415462</v>
      </c>
      <c r="F18" s="4">
        <v>2687253</v>
      </c>
      <c r="G18" s="4">
        <v>2635151</v>
      </c>
      <c r="H18" s="1">
        <v>3209308</v>
      </c>
      <c r="I18" s="1">
        <v>3619037</v>
      </c>
      <c r="J18" s="1">
        <v>4061470</v>
      </c>
      <c r="K18" s="1">
        <v>4344092</v>
      </c>
      <c r="L18" s="1">
        <v>3517347</v>
      </c>
      <c r="M18" s="1">
        <v>4012640.5605377713</v>
      </c>
      <c r="N18" s="1">
        <v>4700063.9404349076</v>
      </c>
      <c r="O18" s="1">
        <v>5582055.1920338972</v>
      </c>
      <c r="P18" s="1">
        <v>6016359.8660780396</v>
      </c>
      <c r="Q18" s="6"/>
      <c r="R18" s="7"/>
      <c r="S18" s="7"/>
      <c r="T18" s="7"/>
      <c r="U18" s="7"/>
      <c r="V18" s="6"/>
      <c r="W18" s="7"/>
      <c r="X18" s="7"/>
      <c r="Y18" s="6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5"/>
      <c r="GJ18" s="5"/>
      <c r="GK18" s="5"/>
    </row>
    <row r="19" spans="1:194" ht="15.75" x14ac:dyDescent="0.25">
      <c r="A19" s="13">
        <v>6.2</v>
      </c>
      <c r="B19" s="19" t="s">
        <v>9</v>
      </c>
      <c r="C19" s="4">
        <v>82670</v>
      </c>
      <c r="D19" s="4">
        <v>90187</v>
      </c>
      <c r="E19" s="4">
        <v>95509</v>
      </c>
      <c r="F19" s="4">
        <v>99368</v>
      </c>
      <c r="G19" s="4">
        <v>105561</v>
      </c>
      <c r="H19" s="1">
        <v>114646</v>
      </c>
      <c r="I19" s="1">
        <v>131387</v>
      </c>
      <c r="J19" s="1">
        <v>142863</v>
      </c>
      <c r="K19" s="1">
        <v>157466</v>
      </c>
      <c r="L19" s="1">
        <v>63087</v>
      </c>
      <c r="M19" s="1">
        <v>100424.45053527274</v>
      </c>
      <c r="N19" s="1">
        <v>218694.26078337178</v>
      </c>
      <c r="O19" s="1">
        <v>249774.99049017954</v>
      </c>
      <c r="P19" s="1">
        <v>270751.30545535008</v>
      </c>
      <c r="Q19" s="6"/>
      <c r="R19" s="7"/>
      <c r="S19" s="7"/>
      <c r="T19" s="7"/>
      <c r="U19" s="7"/>
      <c r="V19" s="6"/>
      <c r="W19" s="7"/>
      <c r="X19" s="7"/>
      <c r="Y19" s="6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5"/>
      <c r="GJ19" s="5"/>
      <c r="GK19" s="5"/>
    </row>
    <row r="20" spans="1:194" s="24" customFormat="1" ht="30" x14ac:dyDescent="0.25">
      <c r="A20" s="29" t="s">
        <v>36</v>
      </c>
      <c r="B20" s="30" t="s">
        <v>10</v>
      </c>
      <c r="C20" s="35">
        <f>SUM(C21:C27)</f>
        <v>654962</v>
      </c>
      <c r="D20" s="35">
        <f t="shared" ref="D20:P20" si="8">SUM(D21:D27)</f>
        <v>752139</v>
      </c>
      <c r="E20" s="35">
        <f t="shared" si="8"/>
        <v>843946</v>
      </c>
      <c r="F20" s="35">
        <f t="shared" si="8"/>
        <v>918756</v>
      </c>
      <c r="G20" s="35">
        <f t="shared" si="8"/>
        <v>1113698</v>
      </c>
      <c r="H20" s="35">
        <f t="shared" si="8"/>
        <v>1054308</v>
      </c>
      <c r="I20" s="35">
        <f t="shared" si="8"/>
        <v>1079911</v>
      </c>
      <c r="J20" s="35">
        <f t="shared" si="8"/>
        <v>1126823</v>
      </c>
      <c r="K20" s="35">
        <f t="shared" si="8"/>
        <v>1438152</v>
      </c>
      <c r="L20" s="35">
        <f t="shared" si="8"/>
        <v>1287422</v>
      </c>
      <c r="M20" s="35">
        <f t="shared" si="8"/>
        <v>1568412.8194673555</v>
      </c>
      <c r="N20" s="35">
        <f t="shared" si="8"/>
        <v>1806947.655258955</v>
      </c>
      <c r="O20" s="35">
        <f t="shared" si="8"/>
        <v>2055094.868715361</v>
      </c>
      <c r="P20" s="35">
        <f t="shared" si="8"/>
        <v>2486094.0277397493</v>
      </c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3"/>
      <c r="EY20" s="23"/>
      <c r="EZ20" s="23"/>
      <c r="FA20" s="23"/>
      <c r="FB20" s="23"/>
      <c r="FC20" s="23"/>
      <c r="FD20" s="23"/>
      <c r="FE20" s="23"/>
      <c r="FF20" s="23"/>
      <c r="FG20" s="23"/>
      <c r="FH20" s="23"/>
      <c r="FI20" s="23"/>
      <c r="FJ20" s="23"/>
      <c r="FK20" s="23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D20" s="23"/>
      <c r="GE20" s="23"/>
      <c r="GF20" s="23"/>
      <c r="GG20" s="23"/>
      <c r="GH20" s="23"/>
      <c r="GL20" s="25"/>
    </row>
    <row r="21" spans="1:194" ht="15.75" x14ac:dyDescent="0.25">
      <c r="A21" s="13">
        <v>7.1</v>
      </c>
      <c r="B21" s="19" t="s">
        <v>11</v>
      </c>
      <c r="C21" s="4">
        <v>102300</v>
      </c>
      <c r="D21" s="4">
        <v>122431</v>
      </c>
      <c r="E21" s="4">
        <v>126937</v>
      </c>
      <c r="F21" s="4">
        <v>151591</v>
      </c>
      <c r="G21" s="4">
        <v>163457</v>
      </c>
      <c r="H21" s="1">
        <v>101881</v>
      </c>
      <c r="I21" s="1">
        <v>94426</v>
      </c>
      <c r="J21" s="1">
        <v>97171</v>
      </c>
      <c r="K21" s="1">
        <v>360002</v>
      </c>
      <c r="L21" s="1">
        <v>321551</v>
      </c>
      <c r="M21" s="1">
        <v>166023.07995350735</v>
      </c>
      <c r="N21" s="1">
        <v>192780.61953996815</v>
      </c>
      <c r="O21" s="1">
        <v>219824.79159879975</v>
      </c>
      <c r="P21" s="1">
        <v>368923.98726260161</v>
      </c>
      <c r="Q21" s="6"/>
      <c r="R21" s="7"/>
      <c r="S21" s="7"/>
      <c r="T21" s="7"/>
      <c r="U21" s="7"/>
      <c r="V21" s="6"/>
      <c r="W21" s="7"/>
      <c r="X21" s="7"/>
      <c r="Y21" s="6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5"/>
      <c r="GJ21" s="5"/>
      <c r="GK21" s="5"/>
    </row>
    <row r="22" spans="1:194" ht="15.75" x14ac:dyDescent="0.25">
      <c r="A22" s="13">
        <v>7.2</v>
      </c>
      <c r="B22" s="19" t="s">
        <v>12</v>
      </c>
      <c r="C22" s="4">
        <v>307628</v>
      </c>
      <c r="D22" s="4">
        <v>366903</v>
      </c>
      <c r="E22" s="4">
        <v>420388</v>
      </c>
      <c r="F22" s="4">
        <v>458972</v>
      </c>
      <c r="G22" s="4">
        <v>496568</v>
      </c>
      <c r="H22" s="1">
        <v>526575</v>
      </c>
      <c r="I22" s="1">
        <v>559471</v>
      </c>
      <c r="J22" s="1">
        <v>617848</v>
      </c>
      <c r="K22" s="1">
        <v>592508</v>
      </c>
      <c r="L22" s="1">
        <v>452705</v>
      </c>
      <c r="M22" s="1">
        <v>792993.0845571626</v>
      </c>
      <c r="N22" s="1">
        <v>873419.87864245137</v>
      </c>
      <c r="O22" s="1">
        <v>978916.17453500512</v>
      </c>
      <c r="P22" s="1">
        <v>1041583.3727773926</v>
      </c>
      <c r="Q22" s="6"/>
      <c r="R22" s="7"/>
      <c r="S22" s="7"/>
      <c r="T22" s="7"/>
      <c r="U22" s="7"/>
      <c r="V22" s="6"/>
      <c r="W22" s="7"/>
      <c r="X22" s="7"/>
      <c r="Y22" s="6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5"/>
      <c r="GJ22" s="5"/>
      <c r="GK22" s="5"/>
    </row>
    <row r="23" spans="1:194" ht="15.75" x14ac:dyDescent="0.25">
      <c r="A23" s="13">
        <v>7.3</v>
      </c>
      <c r="B23" s="19" t="s">
        <v>13</v>
      </c>
      <c r="C23" s="4">
        <v>37671</v>
      </c>
      <c r="D23" s="4">
        <v>40886</v>
      </c>
      <c r="E23" s="4">
        <v>13913</v>
      </c>
      <c r="F23" s="4">
        <v>2682</v>
      </c>
      <c r="G23" s="4">
        <v>16841</v>
      </c>
      <c r="H23" s="1">
        <v>19966</v>
      </c>
      <c r="I23" s="1">
        <v>23137</v>
      </c>
      <c r="J23" s="1">
        <v>27890</v>
      </c>
      <c r="K23" s="1">
        <v>32681</v>
      </c>
      <c r="L23" s="1">
        <v>35539</v>
      </c>
      <c r="M23" s="1">
        <v>44860.749129661664</v>
      </c>
      <c r="N23" s="1">
        <v>48927.328880155452</v>
      </c>
      <c r="O23" s="1">
        <v>48472.505384124466</v>
      </c>
      <c r="P23" s="1">
        <v>109182.94707498389</v>
      </c>
      <c r="Q23" s="6"/>
      <c r="R23" s="7"/>
      <c r="S23" s="7"/>
      <c r="T23" s="7"/>
      <c r="U23" s="7"/>
      <c r="V23" s="6"/>
      <c r="W23" s="7"/>
      <c r="X23" s="7"/>
      <c r="Y23" s="6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5"/>
      <c r="GJ23" s="5"/>
      <c r="GK23" s="5"/>
    </row>
    <row r="24" spans="1:194" ht="15.75" x14ac:dyDescent="0.25">
      <c r="A24" s="13">
        <v>7.4</v>
      </c>
      <c r="B24" s="19" t="s">
        <v>14</v>
      </c>
      <c r="C24" s="4" t="s">
        <v>77</v>
      </c>
      <c r="D24" s="4">
        <v>221</v>
      </c>
      <c r="E24" s="4">
        <v>4744</v>
      </c>
      <c r="F24" s="4">
        <v>11476</v>
      </c>
      <c r="G24" s="4">
        <v>25235</v>
      </c>
      <c r="H24" s="1">
        <v>31000</v>
      </c>
      <c r="I24" s="1">
        <v>33630</v>
      </c>
      <c r="J24" s="1">
        <v>17391</v>
      </c>
      <c r="K24" s="1">
        <v>26380</v>
      </c>
      <c r="L24" s="1">
        <v>3546</v>
      </c>
      <c r="M24" s="1">
        <v>1718.5669180309778</v>
      </c>
      <c r="N24" s="1">
        <v>13592.589943561241</v>
      </c>
      <c r="O24" s="1">
        <v>39672.966449587126</v>
      </c>
      <c r="P24" s="1">
        <v>52692.498335753196</v>
      </c>
      <c r="Q24" s="6"/>
      <c r="R24" s="7"/>
      <c r="S24" s="7"/>
      <c r="T24" s="7"/>
      <c r="U24" s="7"/>
      <c r="V24" s="6"/>
      <c r="W24" s="7"/>
      <c r="X24" s="7"/>
      <c r="Y24" s="6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5"/>
      <c r="GJ24" s="5"/>
      <c r="GK24" s="5"/>
    </row>
    <row r="25" spans="1:194" ht="15.75" x14ac:dyDescent="0.25">
      <c r="A25" s="13">
        <v>7.5</v>
      </c>
      <c r="B25" s="19" t="s">
        <v>15</v>
      </c>
      <c r="C25" s="4">
        <v>31431</v>
      </c>
      <c r="D25" s="4">
        <v>34575</v>
      </c>
      <c r="E25" s="4">
        <v>31834</v>
      </c>
      <c r="F25" s="4">
        <v>31439</v>
      </c>
      <c r="G25" s="4">
        <v>57921</v>
      </c>
      <c r="H25" s="1">
        <v>23470</v>
      </c>
      <c r="I25" s="1">
        <v>25551</v>
      </c>
      <c r="J25" s="1">
        <v>31812</v>
      </c>
      <c r="K25" s="1">
        <v>31146</v>
      </c>
      <c r="L25" s="1">
        <v>12222</v>
      </c>
      <c r="M25" s="1">
        <v>15586.08664760132</v>
      </c>
      <c r="N25" s="1">
        <v>28014.502508261656</v>
      </c>
      <c r="O25" s="1">
        <v>36722.687493859899</v>
      </c>
      <c r="P25" s="1">
        <v>42268.41578271566</v>
      </c>
      <c r="Q25" s="6"/>
      <c r="R25" s="7"/>
      <c r="S25" s="7"/>
      <c r="T25" s="7"/>
      <c r="U25" s="7"/>
      <c r="V25" s="6"/>
      <c r="W25" s="7"/>
      <c r="X25" s="7"/>
      <c r="Y25" s="6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5"/>
      <c r="GJ25" s="5"/>
      <c r="GK25" s="5"/>
    </row>
    <row r="26" spans="1:194" ht="15.75" x14ac:dyDescent="0.25">
      <c r="A26" s="13">
        <v>7.6</v>
      </c>
      <c r="B26" s="19" t="s">
        <v>16</v>
      </c>
      <c r="C26" s="4">
        <v>5654</v>
      </c>
      <c r="D26" s="4">
        <v>6315</v>
      </c>
      <c r="E26" s="4">
        <v>7086</v>
      </c>
      <c r="F26" s="4">
        <v>7470</v>
      </c>
      <c r="G26" s="4">
        <v>7978</v>
      </c>
      <c r="H26" s="1">
        <v>8823</v>
      </c>
      <c r="I26" s="1">
        <v>9309</v>
      </c>
      <c r="J26" s="1">
        <v>17334</v>
      </c>
      <c r="K26" s="1">
        <v>18063</v>
      </c>
      <c r="L26" s="1">
        <v>18667</v>
      </c>
      <c r="M26" s="1">
        <v>19930.591861277746</v>
      </c>
      <c r="N26" s="1">
        <v>22224.938529264011</v>
      </c>
      <c r="O26" s="1">
        <v>25697.936488785926</v>
      </c>
      <c r="P26" s="1">
        <v>28778.479419588683</v>
      </c>
      <c r="Q26" s="6"/>
      <c r="R26" s="7"/>
      <c r="S26" s="7"/>
      <c r="T26" s="7"/>
      <c r="U26" s="7"/>
      <c r="V26" s="6"/>
      <c r="W26" s="7"/>
      <c r="X26" s="7"/>
      <c r="Y26" s="6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5"/>
      <c r="GJ26" s="5"/>
      <c r="GK26" s="5"/>
    </row>
    <row r="27" spans="1:194" ht="30" x14ac:dyDescent="0.25">
      <c r="A27" s="13">
        <v>7.7</v>
      </c>
      <c r="B27" s="19" t="s">
        <v>17</v>
      </c>
      <c r="C27" s="4">
        <v>170278</v>
      </c>
      <c r="D27" s="4">
        <v>180808</v>
      </c>
      <c r="E27" s="4">
        <v>239044</v>
      </c>
      <c r="F27" s="4">
        <v>255126</v>
      </c>
      <c r="G27" s="4">
        <v>345698</v>
      </c>
      <c r="H27" s="1">
        <v>342593</v>
      </c>
      <c r="I27" s="1">
        <v>334387</v>
      </c>
      <c r="J27" s="1">
        <v>317377</v>
      </c>
      <c r="K27" s="1">
        <v>377372</v>
      </c>
      <c r="L27" s="1">
        <v>443192</v>
      </c>
      <c r="M27" s="1">
        <v>527300.66040011402</v>
      </c>
      <c r="N27" s="1">
        <v>627987.79721529316</v>
      </c>
      <c r="O27" s="1">
        <v>705787.80676519871</v>
      </c>
      <c r="P27" s="1">
        <v>842664.32708671398</v>
      </c>
      <c r="Q27" s="6"/>
      <c r="R27" s="7"/>
      <c r="S27" s="7"/>
      <c r="T27" s="7"/>
      <c r="U27" s="7"/>
      <c r="V27" s="6"/>
      <c r="W27" s="7"/>
      <c r="X27" s="7"/>
      <c r="Y27" s="6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5"/>
      <c r="GJ27" s="5"/>
      <c r="GK27" s="5"/>
    </row>
    <row r="28" spans="1:194" ht="15.75" x14ac:dyDescent="0.25">
      <c r="A28" s="14" t="s">
        <v>37</v>
      </c>
      <c r="B28" s="19" t="s">
        <v>18</v>
      </c>
      <c r="C28" s="4">
        <v>420333</v>
      </c>
      <c r="D28" s="4">
        <v>449114</v>
      </c>
      <c r="E28" s="4">
        <v>507287</v>
      </c>
      <c r="F28" s="4">
        <v>533742</v>
      </c>
      <c r="G28" s="4">
        <v>634297</v>
      </c>
      <c r="H28" s="1">
        <v>650360</v>
      </c>
      <c r="I28" s="1">
        <v>778091</v>
      </c>
      <c r="J28" s="1">
        <v>851952</v>
      </c>
      <c r="K28" s="1">
        <v>989634</v>
      </c>
      <c r="L28" s="1">
        <v>988229</v>
      </c>
      <c r="M28" s="1">
        <v>1085929.7502211572</v>
      </c>
      <c r="N28" s="1">
        <v>1323650.5118048254</v>
      </c>
      <c r="O28" s="1">
        <v>1531162.3161283205</v>
      </c>
      <c r="P28" s="1">
        <v>1665359.4025988099</v>
      </c>
      <c r="Q28" s="6"/>
      <c r="R28" s="7"/>
      <c r="S28" s="7"/>
      <c r="T28" s="7"/>
      <c r="U28" s="7"/>
      <c r="V28" s="6"/>
      <c r="W28" s="7"/>
      <c r="X28" s="7"/>
      <c r="Y28" s="6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5"/>
      <c r="GJ28" s="5"/>
      <c r="GK28" s="5"/>
    </row>
    <row r="29" spans="1:194" ht="30" x14ac:dyDescent="0.25">
      <c r="A29" s="14" t="s">
        <v>38</v>
      </c>
      <c r="B29" s="19" t="s">
        <v>19</v>
      </c>
      <c r="C29" s="4">
        <v>942080</v>
      </c>
      <c r="D29" s="4">
        <v>1026126</v>
      </c>
      <c r="E29" s="4">
        <v>1086805</v>
      </c>
      <c r="F29" s="4">
        <v>1130108</v>
      </c>
      <c r="G29" s="4">
        <v>1117382</v>
      </c>
      <c r="H29" s="1">
        <v>1163133</v>
      </c>
      <c r="I29" s="1">
        <v>1234638</v>
      </c>
      <c r="J29" s="1">
        <v>1296331</v>
      </c>
      <c r="K29" s="1">
        <v>1326439</v>
      </c>
      <c r="L29" s="1">
        <v>1352002</v>
      </c>
      <c r="M29" s="1">
        <v>1452384.1157639429</v>
      </c>
      <c r="N29" s="1">
        <v>1607966.0343434222</v>
      </c>
      <c r="O29" s="1">
        <v>1760172.546181832</v>
      </c>
      <c r="P29" s="1">
        <v>2006936.0294351601</v>
      </c>
      <c r="Q29" s="6"/>
      <c r="R29" s="7"/>
      <c r="S29" s="7"/>
      <c r="T29" s="7"/>
      <c r="U29" s="7"/>
      <c r="V29" s="6"/>
      <c r="W29" s="7"/>
      <c r="X29" s="7"/>
      <c r="Y29" s="6"/>
      <c r="Z29" s="8"/>
      <c r="AA29" s="8"/>
      <c r="AB29" s="8"/>
      <c r="AC29" s="8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5"/>
      <c r="GJ29" s="5"/>
      <c r="GK29" s="5"/>
    </row>
    <row r="30" spans="1:194" ht="15.75" x14ac:dyDescent="0.25">
      <c r="A30" s="14" t="s">
        <v>39</v>
      </c>
      <c r="B30" s="19" t="s">
        <v>54</v>
      </c>
      <c r="C30" s="4">
        <v>634052</v>
      </c>
      <c r="D30" s="4">
        <v>722921</v>
      </c>
      <c r="E30" s="4">
        <v>768977</v>
      </c>
      <c r="F30" s="4">
        <v>901514</v>
      </c>
      <c r="G30" s="4">
        <v>1371994</v>
      </c>
      <c r="H30" s="1">
        <v>1099300</v>
      </c>
      <c r="I30" s="1">
        <v>1594503</v>
      </c>
      <c r="J30" s="1">
        <v>1356610</v>
      </c>
      <c r="K30" s="1">
        <v>1599307</v>
      </c>
      <c r="L30" s="1">
        <v>1617617</v>
      </c>
      <c r="M30" s="1">
        <v>1844531.9374084671</v>
      </c>
      <c r="N30" s="1">
        <v>1983356.413165</v>
      </c>
      <c r="O30" s="1">
        <v>2832663.09</v>
      </c>
      <c r="P30" s="1">
        <v>3694114.9380429299</v>
      </c>
      <c r="Q30" s="6"/>
      <c r="R30" s="7"/>
      <c r="S30" s="7"/>
      <c r="T30" s="7"/>
      <c r="U30" s="7"/>
      <c r="V30" s="6"/>
      <c r="W30" s="7"/>
      <c r="X30" s="7"/>
      <c r="Y30" s="6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5"/>
      <c r="GJ30" s="5"/>
      <c r="GK30" s="5"/>
    </row>
    <row r="31" spans="1:194" ht="15.75" x14ac:dyDescent="0.25">
      <c r="A31" s="14" t="s">
        <v>40</v>
      </c>
      <c r="B31" s="19" t="s">
        <v>20</v>
      </c>
      <c r="C31" s="4">
        <v>1046848</v>
      </c>
      <c r="D31" s="4">
        <v>1147534</v>
      </c>
      <c r="E31" s="4">
        <v>1450208</v>
      </c>
      <c r="F31" s="4">
        <v>1600061</v>
      </c>
      <c r="G31" s="4">
        <v>1657789</v>
      </c>
      <c r="H31" s="1">
        <v>2145650</v>
      </c>
      <c r="I31" s="1">
        <v>2529782</v>
      </c>
      <c r="J31" s="1">
        <v>2840820</v>
      </c>
      <c r="K31" s="1">
        <v>3054702</v>
      </c>
      <c r="L31" s="1">
        <v>2918830</v>
      </c>
      <c r="M31" s="1">
        <v>3630269.5040109456</v>
      </c>
      <c r="N31" s="1">
        <v>3874274.2340575969</v>
      </c>
      <c r="O31" s="1">
        <v>5049137.1624575425</v>
      </c>
      <c r="P31" s="1">
        <v>5491119.9295485597</v>
      </c>
      <c r="Q31" s="6"/>
      <c r="R31" s="7"/>
      <c r="S31" s="7"/>
      <c r="T31" s="7"/>
      <c r="U31" s="7"/>
      <c r="V31" s="6"/>
      <c r="W31" s="7"/>
      <c r="X31" s="7"/>
      <c r="Y31" s="6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5"/>
      <c r="GJ31" s="5"/>
      <c r="GK31" s="5"/>
    </row>
    <row r="32" spans="1:194" s="25" customFormat="1" ht="15.75" x14ac:dyDescent="0.25">
      <c r="A32" s="26"/>
      <c r="B32" s="27" t="s">
        <v>30</v>
      </c>
      <c r="C32" s="43">
        <f>C17+C20+C28+C29+C30+C31</f>
        <v>5700473</v>
      </c>
      <c r="D32" s="43">
        <f t="shared" ref="D32:F32" si="9">D17+D20+D28+D29+D30+D31</f>
        <v>6329250</v>
      </c>
      <c r="E32" s="43">
        <f t="shared" si="9"/>
        <v>7168194</v>
      </c>
      <c r="F32" s="43">
        <f t="shared" si="9"/>
        <v>7870802</v>
      </c>
      <c r="G32" s="43">
        <f t="shared" ref="G32:K32" si="10">G17+G20+G28+G29+G30+G31</f>
        <v>8635872</v>
      </c>
      <c r="H32" s="43">
        <f t="shared" si="10"/>
        <v>9436705</v>
      </c>
      <c r="I32" s="43">
        <f t="shared" si="10"/>
        <v>10967349</v>
      </c>
      <c r="J32" s="43">
        <f t="shared" si="10"/>
        <v>11676869</v>
      </c>
      <c r="K32" s="43">
        <f t="shared" si="10"/>
        <v>12909792</v>
      </c>
      <c r="L32" s="43">
        <f t="shared" ref="L32:N32" si="11">L17+L20+L28+L29+L30+L31</f>
        <v>11744534</v>
      </c>
      <c r="M32" s="43">
        <f t="shared" si="11"/>
        <v>13694593.137944913</v>
      </c>
      <c r="N32" s="43">
        <f t="shared" si="11"/>
        <v>15514953.04984808</v>
      </c>
      <c r="O32" s="43">
        <f t="shared" ref="O32" si="12">O17+O20+O28+O29+O30+O31</f>
        <v>19060060.166007131</v>
      </c>
      <c r="P32" s="43">
        <f t="shared" ref="P32" si="13">P17+P20+P28+P29+P30+P31</f>
        <v>21630735.498898596</v>
      </c>
      <c r="Q32" s="6"/>
      <c r="R32" s="7"/>
      <c r="S32" s="7"/>
      <c r="T32" s="7"/>
      <c r="U32" s="7"/>
      <c r="V32" s="6"/>
      <c r="W32" s="7"/>
      <c r="X32" s="7"/>
      <c r="Y32" s="6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28"/>
      <c r="CB32" s="28"/>
      <c r="CC32" s="28"/>
      <c r="CD32" s="28"/>
      <c r="CE32" s="28"/>
      <c r="CF32" s="28"/>
      <c r="CG32" s="28"/>
      <c r="CH32" s="28"/>
      <c r="CI32" s="28"/>
      <c r="CJ32" s="28"/>
      <c r="CK32" s="28"/>
      <c r="CL32" s="28"/>
      <c r="CM32" s="28"/>
      <c r="CN32" s="28"/>
      <c r="CO32" s="28"/>
      <c r="CP32" s="28"/>
      <c r="CQ32" s="28"/>
      <c r="CR32" s="28"/>
      <c r="CS32" s="28"/>
      <c r="CT32" s="28"/>
      <c r="CU32" s="28"/>
      <c r="CV32" s="28"/>
      <c r="CW32" s="28"/>
      <c r="CX32" s="28"/>
      <c r="CY32" s="28"/>
      <c r="CZ32" s="28"/>
      <c r="DA32" s="28"/>
      <c r="DB32" s="28"/>
      <c r="DC32" s="28"/>
      <c r="DD32" s="28"/>
      <c r="DE32" s="28"/>
      <c r="DF32" s="28"/>
      <c r="DG32" s="28"/>
      <c r="DH32" s="28"/>
      <c r="DI32" s="28"/>
      <c r="DJ32" s="28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8"/>
      <c r="EE32" s="28"/>
      <c r="EF32" s="28"/>
      <c r="EG32" s="28"/>
      <c r="EH32" s="28"/>
      <c r="EI32" s="28"/>
      <c r="EJ32" s="28"/>
      <c r="EK32" s="28"/>
      <c r="EL32" s="28"/>
      <c r="EM32" s="28"/>
      <c r="EN32" s="28"/>
      <c r="EO32" s="28"/>
      <c r="EP32" s="28"/>
      <c r="EQ32" s="28"/>
      <c r="ER32" s="28"/>
      <c r="ES32" s="28"/>
      <c r="ET32" s="28"/>
      <c r="EU32" s="28"/>
      <c r="EV32" s="28"/>
      <c r="EW32" s="28"/>
      <c r="EX32" s="28"/>
      <c r="EY32" s="28"/>
      <c r="EZ32" s="28"/>
      <c r="FA32" s="28"/>
      <c r="FB32" s="28"/>
      <c r="FC32" s="28"/>
      <c r="FD32" s="28"/>
      <c r="FE32" s="28"/>
      <c r="FF32" s="28"/>
      <c r="FG32" s="28"/>
      <c r="FH32" s="28"/>
      <c r="FI32" s="28"/>
      <c r="FJ32" s="28"/>
      <c r="FK32" s="28"/>
      <c r="FL32" s="28"/>
      <c r="FM32" s="28"/>
      <c r="FN32" s="28"/>
      <c r="FO32" s="28"/>
      <c r="FP32" s="28"/>
      <c r="FQ32" s="28"/>
      <c r="FR32" s="28"/>
      <c r="FS32" s="28"/>
      <c r="FT32" s="28"/>
      <c r="FU32" s="28"/>
      <c r="FV32" s="28"/>
      <c r="FW32" s="28"/>
      <c r="FX32" s="28"/>
      <c r="FY32" s="28"/>
      <c r="FZ32" s="28"/>
      <c r="GA32" s="28"/>
      <c r="GB32" s="28"/>
      <c r="GC32" s="28"/>
      <c r="GD32" s="28"/>
      <c r="GE32" s="28"/>
      <c r="GF32" s="28"/>
      <c r="GG32" s="28"/>
      <c r="GH32" s="28"/>
      <c r="GI32" s="24"/>
      <c r="GJ32" s="24"/>
      <c r="GK32" s="24"/>
    </row>
    <row r="33" spans="1:194" s="24" customFormat="1" ht="15.75" x14ac:dyDescent="0.25">
      <c r="A33" s="21" t="s">
        <v>27</v>
      </c>
      <c r="B33" s="31" t="s">
        <v>51</v>
      </c>
      <c r="C33" s="35">
        <f>C6+C11+C13+C14+C15+C17+C20+C28+C29+C30+C31</f>
        <v>12146941</v>
      </c>
      <c r="D33" s="35">
        <f>D6+D11+D13+D14+D15+D17+D20+D28+D29+D30+D31</f>
        <v>13378496</v>
      </c>
      <c r="E33" s="35">
        <f>E6+E11+E13+E14+E15+E17+E20+E28+E29+E30+E31</f>
        <v>15054656</v>
      </c>
      <c r="F33" s="35">
        <f>F6+F11+F13+F14+F15+F17+F20+F28+F29+F30+F31</f>
        <v>16141987</v>
      </c>
      <c r="G33" s="35">
        <f t="shared" ref="G33:K33" si="14">G6+G11+G13+G14+G15+G17+G20+G28+G29+G30+G31</f>
        <v>18852440</v>
      </c>
      <c r="H33" s="35">
        <f t="shared" si="14"/>
        <v>20532956</v>
      </c>
      <c r="I33" s="35">
        <f t="shared" si="14"/>
        <v>23326728</v>
      </c>
      <c r="J33" s="35">
        <f t="shared" si="14"/>
        <v>24943643.091892242</v>
      </c>
      <c r="K33" s="35">
        <f t="shared" si="14"/>
        <v>28315192</v>
      </c>
      <c r="L33" s="35">
        <f t="shared" ref="L33:N33" si="15">L6+L11+L13+L14+L15+L17+L20+L28+L29+L30+L31</f>
        <v>27249647</v>
      </c>
      <c r="M33" s="35">
        <f t="shared" si="15"/>
        <v>33238658.092031091</v>
      </c>
      <c r="N33" s="35">
        <f t="shared" si="15"/>
        <v>39422368.695516497</v>
      </c>
      <c r="O33" s="35">
        <f t="shared" ref="O33" si="16">O6+O11+O13+O14+O15+O17+O20+O28+O29+O30+O31</f>
        <v>46796258.160906076</v>
      </c>
      <c r="P33" s="35">
        <f t="shared" ref="P33" si="17">P6+P11+P13+P14+P15+P17+P20+P28+P29+P30+P31</f>
        <v>52125478.950041093</v>
      </c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3"/>
      <c r="EY33" s="23"/>
      <c r="EZ33" s="23"/>
      <c r="FA33" s="23"/>
      <c r="FB33" s="23"/>
      <c r="FC33" s="23"/>
      <c r="FD33" s="23"/>
      <c r="FE33" s="23"/>
      <c r="FF33" s="23"/>
      <c r="FG33" s="23"/>
      <c r="FH33" s="23"/>
      <c r="FI33" s="23"/>
      <c r="FJ33" s="23"/>
      <c r="FK33" s="23"/>
      <c r="FL33" s="23"/>
      <c r="FM33" s="23"/>
      <c r="FN33" s="23"/>
      <c r="FO33" s="23"/>
      <c r="FP33" s="23"/>
      <c r="FQ33" s="23"/>
      <c r="FR33" s="23"/>
      <c r="FS33" s="23"/>
      <c r="FT33" s="23"/>
      <c r="FU33" s="23"/>
      <c r="FV33" s="23"/>
      <c r="FW33" s="23"/>
      <c r="FX33" s="23"/>
      <c r="FY33" s="23"/>
      <c r="FZ33" s="23"/>
      <c r="GA33" s="23"/>
      <c r="GB33" s="23"/>
      <c r="GC33" s="23"/>
      <c r="GD33" s="23"/>
      <c r="GE33" s="23"/>
      <c r="GF33" s="23"/>
      <c r="GG33" s="23"/>
      <c r="GH33" s="23"/>
      <c r="GL33" s="25"/>
    </row>
    <row r="34" spans="1:194" s="25" customFormat="1" ht="15.75" x14ac:dyDescent="0.25">
      <c r="A34" s="32" t="s">
        <v>43</v>
      </c>
      <c r="B34" s="33" t="s">
        <v>25</v>
      </c>
      <c r="C34" s="47">
        <f>GSVA_cur!C34</f>
        <v>1203476</v>
      </c>
      <c r="D34" s="47">
        <f>GSVA_cur!D34</f>
        <v>1346785</v>
      </c>
      <c r="E34" s="47">
        <f>GSVA_cur!E34</f>
        <v>1519305</v>
      </c>
      <c r="F34" s="47">
        <f>GSVA_cur!F34</f>
        <v>1725309</v>
      </c>
      <c r="G34" s="47">
        <f>GSVA_cur!G34</f>
        <v>1773533</v>
      </c>
      <c r="H34" s="47">
        <f>GSVA_cur!H34</f>
        <v>2061573</v>
      </c>
      <c r="I34" s="47">
        <f>GSVA_cur!I34</f>
        <v>2355537</v>
      </c>
      <c r="J34" s="47">
        <f>GSVA_cur!J34</f>
        <v>3076218</v>
      </c>
      <c r="K34" s="47">
        <f>GSVA_cur!K34</f>
        <v>3163297</v>
      </c>
      <c r="L34" s="47">
        <f>GSVA_cur!L34</f>
        <v>3822543</v>
      </c>
      <c r="M34" s="47">
        <f>GSVA_cur!M34</f>
        <v>4264219.1022893963</v>
      </c>
      <c r="N34" s="47">
        <f>GSVA_cur!N34</f>
        <v>4861518.5625548856</v>
      </c>
      <c r="O34" s="47">
        <f>GSVA_cur!O34</f>
        <v>5538746.4412835846</v>
      </c>
      <c r="P34" s="47">
        <f>GSVA_cur!P34</f>
        <v>7140316</v>
      </c>
      <c r="Q34" s="6"/>
      <c r="R34" s="7"/>
      <c r="S34" s="7"/>
      <c r="T34" s="7"/>
      <c r="U34" s="7"/>
      <c r="V34" s="6"/>
      <c r="W34" s="7"/>
      <c r="X34" s="7"/>
      <c r="Y34" s="6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  <c r="BN34" s="28"/>
      <c r="BO34" s="28"/>
      <c r="BP34" s="28"/>
      <c r="BQ34" s="28"/>
      <c r="BR34" s="28"/>
      <c r="BS34" s="28"/>
      <c r="BT34" s="28"/>
      <c r="BU34" s="28"/>
      <c r="BV34" s="28"/>
      <c r="BW34" s="28"/>
      <c r="BX34" s="28"/>
      <c r="BY34" s="28"/>
      <c r="BZ34" s="28"/>
      <c r="CA34" s="28"/>
      <c r="CB34" s="28"/>
      <c r="CC34" s="28"/>
      <c r="CD34" s="28"/>
      <c r="CE34" s="28"/>
      <c r="CF34" s="28"/>
      <c r="CG34" s="28"/>
      <c r="CH34" s="28"/>
      <c r="CI34" s="28"/>
      <c r="CJ34" s="28"/>
      <c r="CK34" s="28"/>
      <c r="CL34" s="28"/>
      <c r="CM34" s="28"/>
      <c r="CN34" s="28"/>
      <c r="CO34" s="28"/>
      <c r="CP34" s="28"/>
      <c r="CQ34" s="28"/>
      <c r="CR34" s="28"/>
      <c r="CS34" s="28"/>
      <c r="CT34" s="28"/>
      <c r="CU34" s="28"/>
      <c r="CV34" s="28"/>
      <c r="CW34" s="28"/>
      <c r="CX34" s="28"/>
      <c r="CY34" s="28"/>
      <c r="CZ34" s="28"/>
      <c r="DA34" s="28"/>
      <c r="DB34" s="28"/>
      <c r="DC34" s="28"/>
      <c r="DD34" s="28"/>
      <c r="DE34" s="28"/>
      <c r="DF34" s="28"/>
      <c r="DG34" s="28"/>
      <c r="DH34" s="28"/>
      <c r="DI34" s="28"/>
      <c r="DJ34" s="28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8"/>
      <c r="EE34" s="28"/>
      <c r="EF34" s="28"/>
      <c r="EG34" s="28"/>
      <c r="EH34" s="28"/>
      <c r="EI34" s="28"/>
      <c r="EJ34" s="28"/>
      <c r="EK34" s="28"/>
      <c r="EL34" s="28"/>
      <c r="EM34" s="28"/>
      <c r="EN34" s="28"/>
      <c r="EO34" s="28"/>
      <c r="EP34" s="28"/>
      <c r="EQ34" s="28"/>
      <c r="ER34" s="28"/>
      <c r="ES34" s="28"/>
      <c r="ET34" s="28"/>
      <c r="EU34" s="28"/>
      <c r="EV34" s="28"/>
      <c r="EW34" s="28"/>
      <c r="EX34" s="28"/>
      <c r="EY34" s="28"/>
      <c r="EZ34" s="28"/>
      <c r="FA34" s="28"/>
      <c r="FB34" s="28"/>
      <c r="FC34" s="28"/>
      <c r="FD34" s="28"/>
      <c r="FE34" s="28"/>
      <c r="FF34" s="28"/>
      <c r="FG34" s="28"/>
      <c r="FH34" s="28"/>
      <c r="FI34" s="28"/>
      <c r="FJ34" s="28"/>
      <c r="FK34" s="28"/>
      <c r="FL34" s="28"/>
      <c r="FM34" s="28"/>
      <c r="FN34" s="28"/>
      <c r="FO34" s="28"/>
      <c r="FP34" s="28"/>
      <c r="FQ34" s="28"/>
      <c r="FR34" s="28"/>
      <c r="FS34" s="28"/>
      <c r="FT34" s="28"/>
      <c r="FU34" s="28"/>
      <c r="FV34" s="28"/>
      <c r="FW34" s="28"/>
      <c r="FX34" s="28"/>
      <c r="FY34" s="28"/>
      <c r="FZ34" s="28"/>
      <c r="GA34" s="28"/>
      <c r="GB34" s="28"/>
      <c r="GC34" s="28"/>
      <c r="GD34" s="28"/>
      <c r="GE34" s="28"/>
      <c r="GF34" s="28"/>
      <c r="GG34" s="28"/>
    </row>
    <row r="35" spans="1:194" s="25" customFormat="1" ht="15.75" x14ac:dyDescent="0.25">
      <c r="A35" s="32" t="s">
        <v>44</v>
      </c>
      <c r="B35" s="33" t="s">
        <v>24</v>
      </c>
      <c r="C35" s="47">
        <f>GSVA_cur!C35</f>
        <v>415005</v>
      </c>
      <c r="D35" s="47">
        <f>GSVA_cur!D35</f>
        <v>521335</v>
      </c>
      <c r="E35" s="47">
        <f>GSVA_cur!E35</f>
        <v>529808</v>
      </c>
      <c r="F35" s="47">
        <f>GSVA_cur!F35</f>
        <v>582406</v>
      </c>
      <c r="G35" s="47">
        <f>GSVA_cur!G35</f>
        <v>495093</v>
      </c>
      <c r="H35" s="47">
        <f>GSVA_cur!H35</f>
        <v>354878</v>
      </c>
      <c r="I35" s="47">
        <f>GSVA_cur!I35</f>
        <v>309625</v>
      </c>
      <c r="J35" s="47">
        <f>GSVA_cur!J35</f>
        <v>357386</v>
      </c>
      <c r="K35" s="47">
        <f>GSVA_cur!K35</f>
        <v>375340</v>
      </c>
      <c r="L35" s="47">
        <f>GSVA_cur!L35</f>
        <v>739077</v>
      </c>
      <c r="M35" s="47">
        <f>GSVA_cur!M35</f>
        <v>1075942</v>
      </c>
      <c r="N35" s="47">
        <f>GSVA_cur!N35</f>
        <v>1036747.0000000001</v>
      </c>
      <c r="O35" s="47">
        <f>GSVA_cur!O35</f>
        <v>680506</v>
      </c>
      <c r="P35" s="47">
        <f>GSVA_cur!P35</f>
        <v>1573789</v>
      </c>
      <c r="Q35" s="6"/>
      <c r="R35" s="7"/>
      <c r="S35" s="7"/>
      <c r="T35" s="7"/>
      <c r="U35" s="7"/>
      <c r="V35" s="6"/>
      <c r="W35" s="7"/>
      <c r="X35" s="7"/>
      <c r="Y35" s="6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  <c r="BN35" s="28"/>
      <c r="BO35" s="28"/>
      <c r="BP35" s="28"/>
      <c r="BQ35" s="28"/>
      <c r="BR35" s="28"/>
      <c r="BS35" s="28"/>
      <c r="BT35" s="28"/>
      <c r="BU35" s="28"/>
      <c r="BV35" s="28"/>
      <c r="BW35" s="28"/>
      <c r="BX35" s="28"/>
      <c r="BY35" s="28"/>
      <c r="BZ35" s="28"/>
      <c r="CA35" s="28"/>
      <c r="CB35" s="28"/>
      <c r="CC35" s="28"/>
      <c r="CD35" s="28"/>
      <c r="CE35" s="28"/>
      <c r="CF35" s="28"/>
      <c r="CG35" s="28"/>
      <c r="CH35" s="28"/>
      <c r="CI35" s="28"/>
      <c r="CJ35" s="28"/>
      <c r="CK35" s="28"/>
      <c r="CL35" s="28"/>
      <c r="CM35" s="28"/>
      <c r="CN35" s="28"/>
      <c r="CO35" s="28"/>
      <c r="CP35" s="28"/>
      <c r="CQ35" s="28"/>
      <c r="CR35" s="28"/>
      <c r="CS35" s="28"/>
      <c r="CT35" s="28"/>
      <c r="CU35" s="28"/>
      <c r="CV35" s="28"/>
      <c r="CW35" s="28"/>
      <c r="CX35" s="28"/>
      <c r="CY35" s="28"/>
      <c r="CZ35" s="28"/>
      <c r="DA35" s="28"/>
      <c r="DB35" s="28"/>
      <c r="DC35" s="28"/>
      <c r="DD35" s="28"/>
      <c r="DE35" s="28"/>
      <c r="DF35" s="28"/>
      <c r="DG35" s="28"/>
      <c r="DH35" s="28"/>
      <c r="DI35" s="28"/>
      <c r="DJ35" s="28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8"/>
      <c r="EE35" s="28"/>
      <c r="EF35" s="28"/>
      <c r="EG35" s="28"/>
      <c r="EH35" s="28"/>
      <c r="EI35" s="28"/>
      <c r="EJ35" s="28"/>
      <c r="EK35" s="28"/>
      <c r="EL35" s="28"/>
      <c r="EM35" s="28"/>
      <c r="EN35" s="28"/>
      <c r="EO35" s="28"/>
      <c r="EP35" s="28"/>
      <c r="EQ35" s="28"/>
      <c r="ER35" s="28"/>
      <c r="ES35" s="28"/>
      <c r="ET35" s="28"/>
      <c r="EU35" s="28"/>
      <c r="EV35" s="28"/>
      <c r="EW35" s="28"/>
      <c r="EX35" s="28"/>
      <c r="EY35" s="28"/>
      <c r="EZ35" s="28"/>
      <c r="FA35" s="28"/>
      <c r="FB35" s="28"/>
      <c r="FC35" s="28"/>
      <c r="FD35" s="28"/>
      <c r="FE35" s="28"/>
      <c r="FF35" s="28"/>
      <c r="FG35" s="28"/>
      <c r="FH35" s="28"/>
      <c r="FI35" s="28"/>
      <c r="FJ35" s="28"/>
      <c r="FK35" s="28"/>
      <c r="FL35" s="28"/>
      <c r="FM35" s="28"/>
      <c r="FN35" s="28"/>
      <c r="FO35" s="28"/>
      <c r="FP35" s="28"/>
      <c r="FQ35" s="28"/>
      <c r="FR35" s="28"/>
      <c r="FS35" s="28"/>
      <c r="FT35" s="28"/>
      <c r="FU35" s="28"/>
      <c r="FV35" s="28"/>
      <c r="FW35" s="28"/>
      <c r="FX35" s="28"/>
      <c r="FY35" s="28"/>
      <c r="FZ35" s="28"/>
      <c r="GA35" s="28"/>
      <c r="GB35" s="28"/>
      <c r="GC35" s="28"/>
      <c r="GD35" s="28"/>
      <c r="GE35" s="28"/>
      <c r="GF35" s="28"/>
      <c r="GG35" s="28"/>
    </row>
    <row r="36" spans="1:194" s="25" customFormat="1" ht="15.75" x14ac:dyDescent="0.25">
      <c r="A36" s="32" t="s">
        <v>45</v>
      </c>
      <c r="B36" s="33" t="s">
        <v>63</v>
      </c>
      <c r="C36" s="43">
        <f>C33+C34-C35</f>
        <v>12935412</v>
      </c>
      <c r="D36" s="43">
        <f t="shared" ref="D36:K36" si="18">D33+D34-D35</f>
        <v>14203946</v>
      </c>
      <c r="E36" s="43">
        <f t="shared" si="18"/>
        <v>16044153</v>
      </c>
      <c r="F36" s="43">
        <f t="shared" si="18"/>
        <v>17284890</v>
      </c>
      <c r="G36" s="43">
        <f t="shared" si="18"/>
        <v>20130880</v>
      </c>
      <c r="H36" s="43">
        <f t="shared" si="18"/>
        <v>22239651</v>
      </c>
      <c r="I36" s="43">
        <f t="shared" si="18"/>
        <v>25372640</v>
      </c>
      <c r="J36" s="43">
        <f t="shared" si="18"/>
        <v>27662475.091892242</v>
      </c>
      <c r="K36" s="43">
        <f t="shared" si="18"/>
        <v>31103149</v>
      </c>
      <c r="L36" s="43">
        <f t="shared" ref="L36" si="19">L33+L34-L35</f>
        <v>30333113</v>
      </c>
      <c r="M36" s="43">
        <f>M33+M34-M35</f>
        <v>36426935.194320485</v>
      </c>
      <c r="N36" s="43">
        <f t="shared" ref="N36:O36" si="20">N33+N34-N35</f>
        <v>43247140.258071385</v>
      </c>
      <c r="O36" s="43">
        <f t="shared" si="20"/>
        <v>51654498.60218966</v>
      </c>
      <c r="P36" s="43">
        <f t="shared" ref="P36" si="21">P33+P34-P35</f>
        <v>57692005.950041093</v>
      </c>
      <c r="Q36" s="6"/>
      <c r="R36" s="7"/>
      <c r="S36" s="7"/>
      <c r="T36" s="7"/>
      <c r="U36" s="7"/>
      <c r="V36" s="6"/>
      <c r="W36" s="7"/>
      <c r="X36" s="7"/>
      <c r="Y36" s="6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8"/>
      <c r="BS36" s="28"/>
      <c r="BT36" s="28"/>
      <c r="BU36" s="28"/>
      <c r="BV36" s="28"/>
      <c r="BW36" s="28"/>
      <c r="BX36" s="28"/>
      <c r="BY36" s="28"/>
      <c r="BZ36" s="28"/>
      <c r="CA36" s="28"/>
      <c r="CB36" s="28"/>
      <c r="CC36" s="28"/>
      <c r="CD36" s="28"/>
      <c r="CE36" s="28"/>
      <c r="CF36" s="28"/>
      <c r="CG36" s="28"/>
      <c r="CH36" s="28"/>
      <c r="CI36" s="28"/>
      <c r="CJ36" s="28"/>
      <c r="CK36" s="28"/>
      <c r="CL36" s="28"/>
      <c r="CM36" s="28"/>
      <c r="CN36" s="28"/>
      <c r="CO36" s="28"/>
      <c r="CP36" s="28"/>
      <c r="CQ36" s="28"/>
      <c r="CR36" s="28"/>
      <c r="CS36" s="28"/>
      <c r="CT36" s="28"/>
      <c r="CU36" s="28"/>
      <c r="CV36" s="28"/>
      <c r="CW36" s="28"/>
      <c r="CX36" s="28"/>
      <c r="CY36" s="28"/>
      <c r="CZ36" s="28"/>
      <c r="DA36" s="28"/>
      <c r="DB36" s="28"/>
      <c r="DC36" s="28"/>
      <c r="DD36" s="28"/>
      <c r="DE36" s="28"/>
      <c r="DF36" s="28"/>
      <c r="DG36" s="28"/>
      <c r="DH36" s="28"/>
      <c r="DI36" s="28"/>
      <c r="DJ36" s="28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8"/>
      <c r="EE36" s="28"/>
      <c r="EF36" s="28"/>
      <c r="EG36" s="28"/>
      <c r="EH36" s="28"/>
      <c r="EI36" s="28"/>
      <c r="EJ36" s="28"/>
      <c r="EK36" s="28"/>
      <c r="EL36" s="28"/>
      <c r="EM36" s="28"/>
      <c r="EN36" s="28"/>
      <c r="EO36" s="28"/>
      <c r="EP36" s="28"/>
      <c r="EQ36" s="28"/>
      <c r="ER36" s="28"/>
      <c r="ES36" s="28"/>
      <c r="ET36" s="28"/>
      <c r="EU36" s="28"/>
      <c r="EV36" s="28"/>
      <c r="EW36" s="28"/>
      <c r="EX36" s="28"/>
      <c r="EY36" s="28"/>
      <c r="EZ36" s="28"/>
      <c r="FA36" s="28"/>
      <c r="FB36" s="28"/>
      <c r="FC36" s="28"/>
      <c r="FD36" s="28"/>
      <c r="FE36" s="28"/>
      <c r="FF36" s="28"/>
      <c r="FG36" s="28"/>
      <c r="FH36" s="28"/>
      <c r="FI36" s="28"/>
      <c r="FJ36" s="28"/>
      <c r="FK36" s="28"/>
      <c r="FL36" s="28"/>
      <c r="FM36" s="28"/>
      <c r="FN36" s="28"/>
      <c r="FO36" s="28"/>
      <c r="FP36" s="28"/>
      <c r="FQ36" s="28"/>
      <c r="FR36" s="28"/>
      <c r="FS36" s="28"/>
      <c r="FT36" s="28"/>
      <c r="FU36" s="28"/>
      <c r="FV36" s="28"/>
      <c r="FW36" s="28"/>
      <c r="FX36" s="28"/>
      <c r="FY36" s="28"/>
      <c r="FZ36" s="28"/>
      <c r="GA36" s="28"/>
      <c r="GB36" s="28"/>
      <c r="GC36" s="28"/>
      <c r="GD36" s="28"/>
      <c r="GE36" s="28"/>
      <c r="GF36" s="28"/>
      <c r="GG36" s="28"/>
    </row>
    <row r="37" spans="1:194" s="25" customFormat="1" ht="15.75" x14ac:dyDescent="0.25">
      <c r="A37" s="32" t="s">
        <v>46</v>
      </c>
      <c r="B37" s="33" t="s">
        <v>42</v>
      </c>
      <c r="C37" s="47">
        <f>GSVA_cur!C37</f>
        <v>314410</v>
      </c>
      <c r="D37" s="47">
        <f>GSVA_cur!D37</f>
        <v>318480</v>
      </c>
      <c r="E37" s="47">
        <f>GSVA_cur!E37</f>
        <v>322600</v>
      </c>
      <c r="F37" s="47">
        <f>GSVA_cur!F37</f>
        <v>326780</v>
      </c>
      <c r="G37" s="47">
        <f>GSVA_cur!G37</f>
        <v>331010</v>
      </c>
      <c r="H37" s="47">
        <f>GSVA_cur!H37</f>
        <v>335290</v>
      </c>
      <c r="I37" s="47">
        <f>GSVA_cur!I37</f>
        <v>337620</v>
      </c>
      <c r="J37" s="47">
        <f>GSVA_cur!J37</f>
        <v>341370</v>
      </c>
      <c r="K37" s="47">
        <f>GSVA_cur!K37</f>
        <v>345120</v>
      </c>
      <c r="L37" s="47">
        <f>GSVA_cur!L37</f>
        <v>348870</v>
      </c>
      <c r="M37" s="47">
        <f>GSVA_cur!M37</f>
        <v>352390</v>
      </c>
      <c r="N37" s="47">
        <v>355730</v>
      </c>
      <c r="O37" s="47">
        <v>359080</v>
      </c>
      <c r="P37" s="47">
        <f>GSVA_cur!P37</f>
        <v>362420</v>
      </c>
      <c r="Q37" s="5"/>
      <c r="R37" s="2"/>
      <c r="S37" s="2"/>
      <c r="T37" s="2"/>
      <c r="U37" s="2"/>
      <c r="V37" s="5"/>
      <c r="W37" s="2"/>
      <c r="X37" s="2"/>
      <c r="Y37" s="5"/>
      <c r="Z37" s="5"/>
      <c r="AA37" s="5"/>
      <c r="AB37" s="5"/>
      <c r="AC37" s="5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DK37" s="24"/>
      <c r="DL37" s="24"/>
      <c r="DM37" s="24"/>
      <c r="DN37" s="24"/>
      <c r="DO37" s="24"/>
      <c r="DP37" s="24"/>
      <c r="DQ37" s="24"/>
      <c r="DR37" s="24"/>
      <c r="DS37" s="24"/>
      <c r="DT37" s="24"/>
      <c r="DU37" s="24"/>
      <c r="DV37" s="24"/>
      <c r="DW37" s="24"/>
      <c r="DX37" s="24"/>
      <c r="DY37" s="24"/>
      <c r="DZ37" s="24"/>
      <c r="EA37" s="24"/>
      <c r="EB37" s="24"/>
      <c r="EC37" s="24"/>
    </row>
    <row r="38" spans="1:194" s="25" customFormat="1" ht="15.75" x14ac:dyDescent="0.25">
      <c r="A38" s="32" t="s">
        <v>47</v>
      </c>
      <c r="B38" s="33" t="s">
        <v>64</v>
      </c>
      <c r="C38" s="43">
        <f>C36/C37*1000</f>
        <v>41141.859355618457</v>
      </c>
      <c r="D38" s="43">
        <f t="shared" ref="D38:K38" si="22">D36/D37*1000</f>
        <v>44599.177342376286</v>
      </c>
      <c r="E38" s="43">
        <f t="shared" si="22"/>
        <v>49733.890266584007</v>
      </c>
      <c r="F38" s="43">
        <f t="shared" si="22"/>
        <v>52894.577391517232</v>
      </c>
      <c r="G38" s="43">
        <f t="shared" si="22"/>
        <v>60816.53122262167</v>
      </c>
      <c r="H38" s="43">
        <f t="shared" si="22"/>
        <v>66329.598258224229</v>
      </c>
      <c r="I38" s="43">
        <f t="shared" si="22"/>
        <v>75151.472069190218</v>
      </c>
      <c r="J38" s="43">
        <f t="shared" si="22"/>
        <v>81033.702703495452</v>
      </c>
      <c r="K38" s="43">
        <f t="shared" si="22"/>
        <v>90122.708043579041</v>
      </c>
      <c r="L38" s="43">
        <f t="shared" ref="L38" si="23">L36/L37*1000</f>
        <v>86946.750938745099</v>
      </c>
      <c r="M38" s="43">
        <f t="shared" ref="M38:O38" si="24">M36/M37*1000</f>
        <v>103371.08088856234</v>
      </c>
      <c r="N38" s="43">
        <f t="shared" si="24"/>
        <v>121572.93525446655</v>
      </c>
      <c r="O38" s="43">
        <f t="shared" si="24"/>
        <v>143852.34098860883</v>
      </c>
      <c r="P38" s="43">
        <f t="shared" ref="P38" si="25">P36/P37*1000</f>
        <v>159185.49183279369</v>
      </c>
      <c r="Q38" s="6"/>
      <c r="R38" s="2"/>
      <c r="S38" s="2"/>
      <c r="T38" s="2"/>
      <c r="U38" s="2"/>
      <c r="V38" s="5"/>
      <c r="W38" s="2"/>
      <c r="X38" s="2"/>
      <c r="Y38" s="6"/>
      <c r="Z38" s="6"/>
      <c r="AA38" s="6"/>
      <c r="AB38" s="6"/>
      <c r="AC38" s="6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CD38" s="28"/>
      <c r="CE38" s="28"/>
      <c r="CF38" s="28"/>
      <c r="CG38" s="28"/>
      <c r="DK38" s="24"/>
      <c r="DL38" s="24"/>
      <c r="DM38" s="24"/>
      <c r="DN38" s="24"/>
      <c r="DO38" s="24"/>
      <c r="DP38" s="24"/>
      <c r="DQ38" s="24"/>
      <c r="DR38" s="24"/>
      <c r="DS38" s="24"/>
      <c r="DT38" s="24"/>
      <c r="DU38" s="24"/>
      <c r="DV38" s="24"/>
      <c r="DW38" s="24"/>
      <c r="DX38" s="24"/>
      <c r="DY38" s="24"/>
      <c r="DZ38" s="24"/>
      <c r="EA38" s="24"/>
      <c r="EB38" s="24"/>
      <c r="EC38" s="24"/>
    </row>
    <row r="39" spans="1:194" x14ac:dyDescent="0.25">
      <c r="A39" s="2" t="s">
        <v>75</v>
      </c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9" max="1048575" man="1"/>
    <brk id="41" max="1048575" man="1"/>
    <brk id="57" max="1048575" man="1"/>
    <brk id="121" max="95" man="1"/>
    <brk id="157" max="1048575" man="1"/>
    <brk id="181" max="1048575" man="1"/>
    <brk id="189" max="9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H39"/>
  <sheetViews>
    <sheetView tabSelected="1" zoomScale="96" zoomScaleNormal="96" zoomScaleSheetLayoutView="100" workbookViewId="0">
      <pane xSplit="2" ySplit="5" topLeftCell="C24" activePane="bottomRight" state="frozen"/>
      <selection activeCell="S29" sqref="S29"/>
      <selection pane="topRight" activeCell="S29" sqref="S29"/>
      <selection pane="bottomLeft" activeCell="S29" sqref="S29"/>
      <selection pane="bottomRight" activeCell="S29" sqref="S29"/>
    </sheetView>
  </sheetViews>
  <sheetFormatPr defaultColWidth="8.85546875" defaultRowHeight="15" x14ac:dyDescent="0.25"/>
  <cols>
    <col min="1" max="1" width="11" style="2" customWidth="1"/>
    <col min="2" max="2" width="36.85546875" style="2" customWidth="1"/>
    <col min="3" max="7" width="10.85546875" style="2" customWidth="1"/>
    <col min="8" max="16" width="11.85546875" style="5" customWidth="1"/>
    <col min="17" max="27" width="9.140625" style="2" customWidth="1"/>
    <col min="28" max="28" width="12.42578125" style="2" customWidth="1"/>
    <col min="29" max="50" width="9.140625" style="2" customWidth="1"/>
    <col min="51" max="51" width="12.140625" style="2" customWidth="1"/>
    <col min="52" max="55" width="9.140625" style="2" customWidth="1"/>
    <col min="56" max="60" width="9.140625" style="2" hidden="1" customWidth="1"/>
    <col min="61" max="61" width="9.140625" style="2" customWidth="1"/>
    <col min="62" max="66" width="9.140625" style="2" hidden="1" customWidth="1"/>
    <col min="67" max="67" width="9.140625" style="2" customWidth="1"/>
    <col min="68" max="72" width="9.140625" style="2" hidden="1" customWidth="1"/>
    <col min="73" max="73" width="9.140625" style="2" customWidth="1"/>
    <col min="74" max="78" width="9.140625" style="2" hidden="1" customWidth="1"/>
    <col min="79" max="79" width="9.140625" style="2" customWidth="1"/>
    <col min="80" max="84" width="9.140625" style="2" hidden="1" customWidth="1"/>
    <col min="85" max="85" width="9.140625" style="5" customWidth="1"/>
    <col min="86" max="90" width="9.140625" style="5" hidden="1" customWidth="1"/>
    <col min="91" max="91" width="9.140625" style="5" customWidth="1"/>
    <col min="92" max="96" width="9.140625" style="5" hidden="1" customWidth="1"/>
    <col min="97" max="97" width="9.140625" style="5" customWidth="1"/>
    <col min="98" max="102" width="9.140625" style="5" hidden="1" customWidth="1"/>
    <col min="103" max="103" width="9.140625" style="5" customWidth="1"/>
    <col min="104" max="133" width="9.140625" style="2" customWidth="1"/>
    <col min="134" max="134" width="9.140625" style="2" hidden="1" customWidth="1"/>
    <col min="135" max="142" width="9.140625" style="2" customWidth="1"/>
    <col min="143" max="143" width="9.140625" style="2" hidden="1" customWidth="1"/>
    <col min="144" max="148" width="9.140625" style="2" customWidth="1"/>
    <col min="149" max="149" width="9.140625" style="2" hidden="1" customWidth="1"/>
    <col min="150" max="159" width="9.140625" style="2" customWidth="1"/>
    <col min="160" max="163" width="8.85546875" style="2"/>
    <col min="164" max="164" width="12.7109375" style="2" bestFit="1" customWidth="1"/>
    <col min="165" max="16384" width="8.85546875" style="2"/>
  </cols>
  <sheetData>
    <row r="1" spans="1:164" ht="18.75" x14ac:dyDescent="0.3">
      <c r="A1" s="2" t="s">
        <v>53</v>
      </c>
      <c r="B1" s="17" t="s">
        <v>66</v>
      </c>
    </row>
    <row r="2" spans="1:164" ht="15.75" x14ac:dyDescent="0.25">
      <c r="A2" s="10" t="s">
        <v>52</v>
      </c>
    </row>
    <row r="3" spans="1:164" ht="15.75" x14ac:dyDescent="0.25">
      <c r="A3" s="10"/>
      <c r="H3" s="5" t="str">
        <f>[1]GSVA_cur!$I$3</f>
        <v>01.08.2025</v>
      </c>
    </row>
    <row r="4" spans="1:164" ht="15.75" x14ac:dyDescent="0.25">
      <c r="A4" s="10"/>
      <c r="E4" s="9"/>
      <c r="F4" s="9" t="s">
        <v>57</v>
      </c>
      <c r="G4" s="9"/>
    </row>
    <row r="5" spans="1:164" ht="15.75" x14ac:dyDescent="0.25">
      <c r="A5" s="11" t="s">
        <v>0</v>
      </c>
      <c r="B5" s="34" t="s">
        <v>1</v>
      </c>
      <c r="C5" s="3" t="s">
        <v>21</v>
      </c>
      <c r="D5" s="3" t="s">
        <v>22</v>
      </c>
      <c r="E5" s="3" t="s">
        <v>23</v>
      </c>
      <c r="F5" s="3" t="s">
        <v>56</v>
      </c>
      <c r="G5" s="3" t="s">
        <v>65</v>
      </c>
      <c r="H5" s="16" t="s">
        <v>67</v>
      </c>
      <c r="I5" s="16" t="s">
        <v>68</v>
      </c>
      <c r="J5" s="16" t="s">
        <v>69</v>
      </c>
      <c r="K5" s="16" t="s">
        <v>70</v>
      </c>
      <c r="L5" s="16" t="s">
        <v>71</v>
      </c>
      <c r="M5" s="16" t="s">
        <v>72</v>
      </c>
      <c r="N5" s="16" t="s">
        <v>73</v>
      </c>
      <c r="O5" s="16" t="s">
        <v>74</v>
      </c>
      <c r="P5" s="16" t="s">
        <v>76</v>
      </c>
    </row>
    <row r="6" spans="1:164" s="24" customFormat="1" ht="15.75" x14ac:dyDescent="0.25">
      <c r="A6" s="21" t="s">
        <v>26</v>
      </c>
      <c r="B6" s="22" t="s">
        <v>2</v>
      </c>
      <c r="C6" s="35">
        <f>SUM(C7:C10)</f>
        <v>2620851</v>
      </c>
      <c r="D6" s="35">
        <f t="shared" ref="D6:P6" si="0">SUM(D7:D10)</f>
        <v>3054015</v>
      </c>
      <c r="E6" s="35">
        <f t="shared" si="0"/>
        <v>2952105</v>
      </c>
      <c r="F6" s="35">
        <f t="shared" si="0"/>
        <v>2904219</v>
      </c>
      <c r="G6" s="35">
        <f t="shared" si="0"/>
        <v>3095257</v>
      </c>
      <c r="H6" s="35">
        <f t="shared" si="0"/>
        <v>3210480</v>
      </c>
      <c r="I6" s="35">
        <f t="shared" si="0"/>
        <v>3314851</v>
      </c>
      <c r="J6" s="35">
        <f t="shared" si="0"/>
        <v>3329146</v>
      </c>
      <c r="K6" s="35">
        <f t="shared" si="0"/>
        <v>3561389</v>
      </c>
      <c r="L6" s="35">
        <f t="shared" si="0"/>
        <v>3518384</v>
      </c>
      <c r="M6" s="35">
        <f t="shared" si="0"/>
        <v>3638022.4467376973</v>
      </c>
      <c r="N6" s="35">
        <f t="shared" si="0"/>
        <v>5231040.7629306056</v>
      </c>
      <c r="O6" s="35">
        <f t="shared" si="0"/>
        <v>5606631.8658328932</v>
      </c>
      <c r="P6" s="35">
        <f t="shared" si="0"/>
        <v>5933634.6220679842</v>
      </c>
      <c r="Q6" s="6"/>
      <c r="R6" s="6"/>
      <c r="S6" s="6"/>
      <c r="T6" s="6"/>
      <c r="U6" s="6"/>
      <c r="V6" s="6"/>
      <c r="W6" s="6"/>
      <c r="X6" s="6"/>
      <c r="Y6" s="6"/>
      <c r="Z6" s="6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  <c r="EY6" s="23"/>
      <c r="EZ6" s="23"/>
      <c r="FA6" s="23"/>
      <c r="FB6" s="23"/>
      <c r="FC6" s="23"/>
      <c r="FD6" s="23"/>
      <c r="FH6" s="25"/>
    </row>
    <row r="7" spans="1:164" ht="15.75" x14ac:dyDescent="0.25">
      <c r="A7" s="13">
        <v>1.1000000000000001</v>
      </c>
      <c r="B7" s="19" t="s">
        <v>59</v>
      </c>
      <c r="C7" s="4">
        <v>1888760</v>
      </c>
      <c r="D7" s="4">
        <v>2298656</v>
      </c>
      <c r="E7" s="4">
        <v>2171636</v>
      </c>
      <c r="F7" s="4">
        <v>2107447</v>
      </c>
      <c r="G7" s="4">
        <v>2275122</v>
      </c>
      <c r="H7" s="1">
        <v>2390436</v>
      </c>
      <c r="I7" s="1">
        <v>2416994</v>
      </c>
      <c r="J7" s="1">
        <v>2461170</v>
      </c>
      <c r="K7" s="1">
        <v>2319352</v>
      </c>
      <c r="L7" s="1">
        <v>2236038</v>
      </c>
      <c r="M7" s="1">
        <v>2311989.2983636181</v>
      </c>
      <c r="N7" s="1">
        <v>3633071.2694798615</v>
      </c>
      <c r="O7" s="1">
        <v>3825010.4693521727</v>
      </c>
      <c r="P7" s="1">
        <v>4053199.60356359</v>
      </c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5"/>
      <c r="FF7" s="5"/>
      <c r="FG7" s="5"/>
    </row>
    <row r="8" spans="1:164" ht="15.75" x14ac:dyDescent="0.25">
      <c r="A8" s="13">
        <v>1.2</v>
      </c>
      <c r="B8" s="19" t="s">
        <v>60</v>
      </c>
      <c r="C8" s="4">
        <v>153834</v>
      </c>
      <c r="D8" s="4">
        <v>165861</v>
      </c>
      <c r="E8" s="4">
        <v>155983</v>
      </c>
      <c r="F8" s="4">
        <v>162157</v>
      </c>
      <c r="G8" s="4">
        <v>166190</v>
      </c>
      <c r="H8" s="1">
        <v>179421</v>
      </c>
      <c r="I8" s="1">
        <v>219081</v>
      </c>
      <c r="J8" s="1">
        <v>164180</v>
      </c>
      <c r="K8" s="1">
        <v>397124</v>
      </c>
      <c r="L8" s="1">
        <v>473248</v>
      </c>
      <c r="M8" s="1">
        <v>489235.26273306174</v>
      </c>
      <c r="N8" s="1">
        <v>701242.22969860095</v>
      </c>
      <c r="O8" s="1">
        <v>743164.06386471423</v>
      </c>
      <c r="P8" s="1">
        <v>759228.99761287495</v>
      </c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5"/>
      <c r="FF8" s="5"/>
      <c r="FG8" s="5"/>
    </row>
    <row r="9" spans="1:164" ht="15.75" x14ac:dyDescent="0.25">
      <c r="A9" s="13">
        <v>1.3</v>
      </c>
      <c r="B9" s="19" t="s">
        <v>61</v>
      </c>
      <c r="C9" s="4">
        <v>228850</v>
      </c>
      <c r="D9" s="4">
        <v>229066</v>
      </c>
      <c r="E9" s="4">
        <v>229840</v>
      </c>
      <c r="F9" s="4">
        <v>218472</v>
      </c>
      <c r="G9" s="4">
        <v>222802</v>
      </c>
      <c r="H9" s="1">
        <v>166006</v>
      </c>
      <c r="I9" s="1">
        <v>165732</v>
      </c>
      <c r="J9" s="1">
        <v>171745</v>
      </c>
      <c r="K9" s="1">
        <v>289832</v>
      </c>
      <c r="L9" s="1">
        <v>190751</v>
      </c>
      <c r="M9" s="1">
        <v>167893.9770511183</v>
      </c>
      <c r="N9" s="1">
        <v>213175.75218488154</v>
      </c>
      <c r="O9" s="1">
        <v>210739.89695813731</v>
      </c>
      <c r="P9" s="1">
        <v>220215.97621226599</v>
      </c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5"/>
      <c r="FF9" s="5"/>
      <c r="FG9" s="5"/>
    </row>
    <row r="10" spans="1:164" ht="15.75" x14ac:dyDescent="0.25">
      <c r="A10" s="13">
        <v>1.4</v>
      </c>
      <c r="B10" s="19" t="s">
        <v>62</v>
      </c>
      <c r="C10" s="4">
        <v>349407</v>
      </c>
      <c r="D10" s="4">
        <v>360432</v>
      </c>
      <c r="E10" s="4">
        <v>394646</v>
      </c>
      <c r="F10" s="4">
        <v>416143</v>
      </c>
      <c r="G10" s="4">
        <v>431143</v>
      </c>
      <c r="H10" s="1">
        <v>474617</v>
      </c>
      <c r="I10" s="1">
        <v>513044</v>
      </c>
      <c r="J10" s="1">
        <v>532051</v>
      </c>
      <c r="K10" s="1">
        <v>555081</v>
      </c>
      <c r="L10" s="1">
        <v>618347</v>
      </c>
      <c r="M10" s="1">
        <v>668903.90858989884</v>
      </c>
      <c r="N10" s="1">
        <v>683551.51156726154</v>
      </c>
      <c r="O10" s="1">
        <v>827717.43565786956</v>
      </c>
      <c r="P10" s="1">
        <v>900990.04467925301</v>
      </c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5"/>
      <c r="FF10" s="5"/>
      <c r="FG10" s="5"/>
    </row>
    <row r="11" spans="1:164" ht="15.75" x14ac:dyDescent="0.25">
      <c r="A11" s="14" t="s">
        <v>31</v>
      </c>
      <c r="B11" s="19" t="s">
        <v>3</v>
      </c>
      <c r="C11" s="4">
        <v>1288077</v>
      </c>
      <c r="D11" s="4">
        <v>1173259</v>
      </c>
      <c r="E11" s="4">
        <v>1063789</v>
      </c>
      <c r="F11" s="4">
        <v>1073044</v>
      </c>
      <c r="G11" s="4">
        <v>2102478</v>
      </c>
      <c r="H11" s="1">
        <v>2073306</v>
      </c>
      <c r="I11" s="1">
        <v>2293036</v>
      </c>
      <c r="J11" s="1">
        <v>2583849</v>
      </c>
      <c r="K11" s="1">
        <v>2366950</v>
      </c>
      <c r="L11" s="1">
        <v>1607294</v>
      </c>
      <c r="M11" s="1">
        <v>3024146.6666686991</v>
      </c>
      <c r="N11" s="1">
        <v>3744007.5643042563</v>
      </c>
      <c r="O11" s="1">
        <v>4138037.8388417177</v>
      </c>
      <c r="P11" s="1">
        <v>4461918.4266297501</v>
      </c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5"/>
      <c r="FF11" s="5"/>
      <c r="FG11" s="5"/>
    </row>
    <row r="12" spans="1:164" s="25" customFormat="1" ht="15.75" x14ac:dyDescent="0.25">
      <c r="A12" s="26"/>
      <c r="B12" s="27" t="s">
        <v>28</v>
      </c>
      <c r="C12" s="43">
        <f>C6+C11</f>
        <v>3908928</v>
      </c>
      <c r="D12" s="43">
        <f t="shared" ref="D12:P12" si="1">D6+D11</f>
        <v>4227274</v>
      </c>
      <c r="E12" s="43">
        <f t="shared" si="1"/>
        <v>4015894</v>
      </c>
      <c r="F12" s="43">
        <f t="shared" si="1"/>
        <v>3977263</v>
      </c>
      <c r="G12" s="43">
        <f t="shared" si="1"/>
        <v>5197735</v>
      </c>
      <c r="H12" s="43">
        <f t="shared" si="1"/>
        <v>5283786</v>
      </c>
      <c r="I12" s="43">
        <f t="shared" si="1"/>
        <v>5607887</v>
      </c>
      <c r="J12" s="43">
        <f t="shared" si="1"/>
        <v>5912995</v>
      </c>
      <c r="K12" s="43">
        <f t="shared" si="1"/>
        <v>5928339</v>
      </c>
      <c r="L12" s="43">
        <f t="shared" si="1"/>
        <v>5125678</v>
      </c>
      <c r="M12" s="43">
        <f t="shared" si="1"/>
        <v>6662169.1134063965</v>
      </c>
      <c r="N12" s="43">
        <f t="shared" si="1"/>
        <v>8975048.3272348624</v>
      </c>
      <c r="O12" s="43">
        <f t="shared" si="1"/>
        <v>9744669.7046746109</v>
      </c>
      <c r="P12" s="43">
        <f t="shared" si="1"/>
        <v>10395553.048697734</v>
      </c>
      <c r="Q12" s="7"/>
      <c r="R12" s="7"/>
      <c r="S12" s="7"/>
      <c r="T12" s="7"/>
      <c r="U12" s="7"/>
      <c r="V12" s="7"/>
      <c r="W12" s="7"/>
      <c r="X12" s="7"/>
      <c r="Y12" s="7"/>
      <c r="Z12" s="7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  <c r="CA12" s="28"/>
      <c r="CB12" s="28"/>
      <c r="CC12" s="28"/>
      <c r="CD12" s="28"/>
      <c r="CE12" s="28"/>
      <c r="CF12" s="28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8"/>
      <c r="DA12" s="28"/>
      <c r="DB12" s="28"/>
      <c r="DC12" s="28"/>
      <c r="DD12" s="28"/>
      <c r="DE12" s="28"/>
      <c r="DF12" s="28"/>
      <c r="DG12" s="28"/>
      <c r="DH12" s="28"/>
      <c r="DI12" s="28"/>
      <c r="DJ12" s="28"/>
      <c r="DK12" s="28"/>
      <c r="DL12" s="28"/>
      <c r="DM12" s="28"/>
      <c r="DN12" s="28"/>
      <c r="DO12" s="28"/>
      <c r="DP12" s="28"/>
      <c r="DQ12" s="28"/>
      <c r="DR12" s="28"/>
      <c r="DS12" s="28"/>
      <c r="DT12" s="28"/>
      <c r="DU12" s="28"/>
      <c r="DV12" s="28"/>
      <c r="DW12" s="28"/>
      <c r="DX12" s="28"/>
      <c r="DY12" s="28"/>
      <c r="DZ12" s="28"/>
      <c r="EA12" s="28"/>
      <c r="EB12" s="28"/>
      <c r="EC12" s="28"/>
      <c r="ED12" s="28"/>
      <c r="EE12" s="28"/>
      <c r="EF12" s="28"/>
      <c r="EG12" s="28"/>
      <c r="EH12" s="28"/>
      <c r="EI12" s="28"/>
      <c r="EJ12" s="28"/>
      <c r="EK12" s="28"/>
      <c r="EL12" s="28"/>
      <c r="EM12" s="28"/>
      <c r="EN12" s="28"/>
      <c r="EO12" s="28"/>
      <c r="EP12" s="28"/>
      <c r="EQ12" s="28"/>
      <c r="ER12" s="28"/>
      <c r="ES12" s="28"/>
      <c r="ET12" s="28"/>
      <c r="EU12" s="28"/>
      <c r="EV12" s="28"/>
      <c r="EW12" s="28"/>
      <c r="EX12" s="28"/>
      <c r="EY12" s="28"/>
      <c r="EZ12" s="28"/>
      <c r="FA12" s="28"/>
      <c r="FB12" s="28"/>
      <c r="FC12" s="28"/>
      <c r="FD12" s="28"/>
      <c r="FE12" s="24"/>
      <c r="FF12" s="24"/>
      <c r="FG12" s="24"/>
    </row>
    <row r="13" spans="1:164" s="5" customFormat="1" ht="15.75" x14ac:dyDescent="0.25">
      <c r="A13" s="12" t="s">
        <v>32</v>
      </c>
      <c r="B13" s="18" t="s">
        <v>4</v>
      </c>
      <c r="C13" s="1">
        <v>1274688</v>
      </c>
      <c r="D13" s="1">
        <v>1199593</v>
      </c>
      <c r="E13" s="1">
        <v>1444523</v>
      </c>
      <c r="F13" s="1">
        <v>1573198</v>
      </c>
      <c r="G13" s="1">
        <v>2099360</v>
      </c>
      <c r="H13" s="1">
        <v>2586928</v>
      </c>
      <c r="I13" s="1">
        <v>2975480</v>
      </c>
      <c r="J13" s="1">
        <v>2960301</v>
      </c>
      <c r="K13" s="1">
        <v>3053259</v>
      </c>
      <c r="L13" s="1">
        <v>3537689</v>
      </c>
      <c r="M13" s="1">
        <v>3847392.8888095631</v>
      </c>
      <c r="N13" s="1">
        <v>3580238.9762752298</v>
      </c>
      <c r="O13" s="1">
        <v>3843685.316707748</v>
      </c>
      <c r="P13" s="1">
        <v>4093177.1191160502</v>
      </c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H13" s="2"/>
    </row>
    <row r="14" spans="1:164" ht="30" x14ac:dyDescent="0.25">
      <c r="A14" s="14" t="s">
        <v>33</v>
      </c>
      <c r="B14" s="19" t="s">
        <v>5</v>
      </c>
      <c r="C14" s="4">
        <v>130994</v>
      </c>
      <c r="D14" s="4">
        <v>124218</v>
      </c>
      <c r="E14" s="4">
        <v>134264</v>
      </c>
      <c r="F14" s="4">
        <v>165972</v>
      </c>
      <c r="G14" s="4">
        <v>189516</v>
      </c>
      <c r="H14" s="1">
        <v>212876</v>
      </c>
      <c r="I14" s="1">
        <v>318059</v>
      </c>
      <c r="J14" s="1">
        <v>296747</v>
      </c>
      <c r="K14" s="1">
        <v>249255</v>
      </c>
      <c r="L14" s="1">
        <v>213634</v>
      </c>
      <c r="M14" s="1">
        <v>302191</v>
      </c>
      <c r="N14" s="1">
        <v>291588.86644630291</v>
      </c>
      <c r="O14" s="1">
        <v>363177.74340584333</v>
      </c>
      <c r="P14" s="1">
        <v>454957</v>
      </c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6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6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6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5"/>
      <c r="FF14" s="5"/>
      <c r="FG14" s="5"/>
    </row>
    <row r="15" spans="1:164" ht="15.75" x14ac:dyDescent="0.25">
      <c r="A15" s="14" t="s">
        <v>34</v>
      </c>
      <c r="B15" s="19" t="s">
        <v>6</v>
      </c>
      <c r="C15" s="4">
        <v>1131858</v>
      </c>
      <c r="D15" s="4">
        <v>1116543</v>
      </c>
      <c r="E15" s="4">
        <v>1263421</v>
      </c>
      <c r="F15" s="4">
        <v>1349852</v>
      </c>
      <c r="G15" s="4">
        <v>1420013</v>
      </c>
      <c r="H15" s="1">
        <v>1624651</v>
      </c>
      <c r="I15" s="1">
        <v>1734164</v>
      </c>
      <c r="J15" s="1">
        <v>1689170</v>
      </c>
      <c r="K15" s="1">
        <v>1908355</v>
      </c>
      <c r="L15" s="1">
        <v>1648633</v>
      </c>
      <c r="M15" s="1">
        <v>2240316.6890035877</v>
      </c>
      <c r="N15" s="1">
        <v>2685420.9574774001</v>
      </c>
      <c r="O15" s="1">
        <v>3504396.0699095153</v>
      </c>
      <c r="P15" s="1">
        <v>4118050.1510511502</v>
      </c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6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6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6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5"/>
      <c r="FF15" s="5"/>
      <c r="FG15" s="5"/>
    </row>
    <row r="16" spans="1:164" s="25" customFormat="1" ht="15.75" x14ac:dyDescent="0.25">
      <c r="A16" s="26"/>
      <c r="B16" s="27" t="s">
        <v>29</v>
      </c>
      <c r="C16" s="43">
        <f>+C13+C14+C15</f>
        <v>2537540</v>
      </c>
      <c r="D16" s="43">
        <f t="shared" ref="D16:K16" si="2">+D13+D14+D15</f>
        <v>2440354</v>
      </c>
      <c r="E16" s="43">
        <f t="shared" si="2"/>
        <v>2842208</v>
      </c>
      <c r="F16" s="43">
        <f t="shared" si="2"/>
        <v>3089022</v>
      </c>
      <c r="G16" s="43">
        <f t="shared" si="2"/>
        <v>3708889</v>
      </c>
      <c r="H16" s="43">
        <f t="shared" si="2"/>
        <v>4424455</v>
      </c>
      <c r="I16" s="43">
        <f t="shared" si="2"/>
        <v>5027703</v>
      </c>
      <c r="J16" s="43">
        <f t="shared" si="2"/>
        <v>4946218</v>
      </c>
      <c r="K16" s="43">
        <f t="shared" si="2"/>
        <v>5210869</v>
      </c>
      <c r="L16" s="43">
        <f t="shared" ref="L16:O16" si="3">+L13+L14+L15</f>
        <v>5399956</v>
      </c>
      <c r="M16" s="43">
        <f t="shared" si="3"/>
        <v>6389900.5778131504</v>
      </c>
      <c r="N16" s="43">
        <f t="shared" si="3"/>
        <v>6557248.8001989331</v>
      </c>
      <c r="O16" s="43">
        <f t="shared" si="3"/>
        <v>7711259.1300231069</v>
      </c>
      <c r="P16" s="43">
        <f t="shared" ref="P16" si="4">+P13+P14+P15</f>
        <v>8666184.2701671999</v>
      </c>
      <c r="Q16" s="7"/>
      <c r="R16" s="7"/>
      <c r="S16" s="7"/>
      <c r="T16" s="7"/>
      <c r="U16" s="7"/>
      <c r="V16" s="7"/>
      <c r="W16" s="7"/>
      <c r="X16" s="7"/>
      <c r="Y16" s="7"/>
      <c r="Z16" s="7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3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8"/>
      <c r="DA16" s="28"/>
      <c r="DB16" s="28"/>
      <c r="DC16" s="28"/>
      <c r="DD16" s="28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3"/>
      <c r="DR16" s="28"/>
      <c r="DS16" s="28"/>
      <c r="DT16" s="28"/>
      <c r="DU16" s="28"/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3"/>
      <c r="EP16" s="28"/>
      <c r="EQ16" s="28"/>
      <c r="ER16" s="28"/>
      <c r="ES16" s="28"/>
      <c r="ET16" s="28"/>
      <c r="EU16" s="28"/>
      <c r="EV16" s="28"/>
      <c r="EW16" s="28"/>
      <c r="EX16" s="28"/>
      <c r="EY16" s="28"/>
      <c r="EZ16" s="28"/>
      <c r="FA16" s="28"/>
      <c r="FB16" s="28"/>
      <c r="FC16" s="28"/>
      <c r="FD16" s="28"/>
      <c r="FE16" s="24"/>
      <c r="FF16" s="24"/>
      <c r="FG16" s="24"/>
    </row>
    <row r="17" spans="1:164" s="24" customFormat="1" ht="15.75" x14ac:dyDescent="0.25">
      <c r="A17" s="21" t="s">
        <v>35</v>
      </c>
      <c r="B17" s="22" t="s">
        <v>7</v>
      </c>
      <c r="C17" s="35">
        <f>C18+C19</f>
        <v>2002198</v>
      </c>
      <c r="D17" s="35">
        <f t="shared" ref="D17:K17" si="5">D18+D19</f>
        <v>2074835</v>
      </c>
      <c r="E17" s="35">
        <f t="shared" si="5"/>
        <v>2204895</v>
      </c>
      <c r="F17" s="35">
        <f t="shared" si="5"/>
        <v>2462719</v>
      </c>
      <c r="G17" s="35">
        <f t="shared" si="5"/>
        <v>2133665</v>
      </c>
      <c r="H17" s="35">
        <f t="shared" si="5"/>
        <v>2101545</v>
      </c>
      <c r="I17" s="35">
        <f t="shared" si="5"/>
        <v>2276014</v>
      </c>
      <c r="J17" s="35">
        <f t="shared" si="5"/>
        <v>2181516</v>
      </c>
      <c r="K17" s="35">
        <f t="shared" si="5"/>
        <v>2264995</v>
      </c>
      <c r="L17" s="35">
        <f t="shared" ref="L17:O17" si="6">L18+L19</f>
        <v>3623764</v>
      </c>
      <c r="M17" s="35">
        <f t="shared" si="6"/>
        <v>1660204.6056537491</v>
      </c>
      <c r="N17" s="35">
        <f t="shared" si="6"/>
        <v>1835401.9719223003</v>
      </c>
      <c r="O17" s="35">
        <f t="shared" si="6"/>
        <v>2006887.5168575067</v>
      </c>
      <c r="P17" s="35">
        <f t="shared" ref="P17" si="7">P18+P19</f>
        <v>2200909.036517492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3"/>
      <c r="EY17" s="23"/>
      <c r="EZ17" s="23"/>
      <c r="FA17" s="23"/>
      <c r="FB17" s="23"/>
      <c r="FC17" s="23"/>
      <c r="FD17" s="23"/>
      <c r="FH17" s="25"/>
    </row>
    <row r="18" spans="1:164" ht="15.75" x14ac:dyDescent="0.25">
      <c r="A18" s="13">
        <v>6.1</v>
      </c>
      <c r="B18" s="19" t="s">
        <v>8</v>
      </c>
      <c r="C18" s="4">
        <v>1919528</v>
      </c>
      <c r="D18" s="4">
        <v>1990976</v>
      </c>
      <c r="E18" s="4">
        <v>2121132</v>
      </c>
      <c r="F18" s="4">
        <v>2373541</v>
      </c>
      <c r="G18" s="4">
        <v>2050826</v>
      </c>
      <c r="H18" s="1">
        <v>2031107</v>
      </c>
      <c r="I18" s="1">
        <v>2195800</v>
      </c>
      <c r="J18" s="1">
        <v>2102678</v>
      </c>
      <c r="K18" s="1">
        <v>2187857</v>
      </c>
      <c r="L18" s="1">
        <v>3557290</v>
      </c>
      <c r="M18" s="1">
        <v>1623173.6390789442</v>
      </c>
      <c r="N18" s="1">
        <v>1757444.5327525679</v>
      </c>
      <c r="O18" s="1">
        <v>1926633.5206815472</v>
      </c>
      <c r="P18" s="1">
        <v>2113298.5141932727</v>
      </c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5"/>
      <c r="FF18" s="5"/>
      <c r="FG18" s="5"/>
    </row>
    <row r="19" spans="1:164" ht="15.75" x14ac:dyDescent="0.25">
      <c r="A19" s="13">
        <v>6.2</v>
      </c>
      <c r="B19" s="19" t="s">
        <v>9</v>
      </c>
      <c r="C19" s="4">
        <v>82670</v>
      </c>
      <c r="D19" s="4">
        <v>83859</v>
      </c>
      <c r="E19" s="4">
        <v>83763</v>
      </c>
      <c r="F19" s="4">
        <v>89178</v>
      </c>
      <c r="G19" s="4">
        <v>82839</v>
      </c>
      <c r="H19" s="1">
        <v>70438</v>
      </c>
      <c r="I19" s="1">
        <v>80214</v>
      </c>
      <c r="J19" s="1">
        <v>78838</v>
      </c>
      <c r="K19" s="1">
        <v>77138</v>
      </c>
      <c r="L19" s="1">
        <v>66474</v>
      </c>
      <c r="M19" s="1">
        <v>37030.966574804879</v>
      </c>
      <c r="N19" s="1">
        <v>77957.439169732475</v>
      </c>
      <c r="O19" s="1">
        <v>80253.996175959415</v>
      </c>
      <c r="P19" s="1">
        <v>87610.522324219404</v>
      </c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5"/>
      <c r="FF19" s="5"/>
      <c r="FG19" s="5"/>
    </row>
    <row r="20" spans="1:164" s="24" customFormat="1" ht="30" x14ac:dyDescent="0.25">
      <c r="A20" s="29" t="s">
        <v>36</v>
      </c>
      <c r="B20" s="30" t="s">
        <v>10</v>
      </c>
      <c r="C20" s="35">
        <f>SUM(C21:C27)</f>
        <v>654962</v>
      </c>
      <c r="D20" s="35">
        <f t="shared" ref="D20:P20" si="8">SUM(D21:D27)</f>
        <v>690502</v>
      </c>
      <c r="E20" s="35">
        <f t="shared" si="8"/>
        <v>735336</v>
      </c>
      <c r="F20" s="35">
        <f t="shared" si="8"/>
        <v>773131</v>
      </c>
      <c r="G20" s="35">
        <f t="shared" si="8"/>
        <v>928374</v>
      </c>
      <c r="H20" s="35">
        <f t="shared" si="8"/>
        <v>827123</v>
      </c>
      <c r="I20" s="35">
        <f t="shared" si="8"/>
        <v>836835.79355545039</v>
      </c>
      <c r="J20" s="35">
        <f t="shared" si="8"/>
        <v>849036.14009668492</v>
      </c>
      <c r="K20" s="35">
        <f t="shared" si="8"/>
        <v>966981</v>
      </c>
      <c r="L20" s="35">
        <f t="shared" si="8"/>
        <v>760171.22943438799</v>
      </c>
      <c r="M20" s="35">
        <f t="shared" si="8"/>
        <v>799635.82950407732</v>
      </c>
      <c r="N20" s="35">
        <f t="shared" si="8"/>
        <v>1009999.7678907292</v>
      </c>
      <c r="O20" s="35">
        <f t="shared" si="8"/>
        <v>1100322.6795567828</v>
      </c>
      <c r="P20" s="35">
        <f t="shared" si="8"/>
        <v>1278028.7331986022</v>
      </c>
      <c r="Q20" s="6"/>
      <c r="R20" s="6"/>
      <c r="S20" s="6"/>
      <c r="T20" s="6"/>
      <c r="U20" s="6"/>
      <c r="V20" s="6"/>
      <c r="W20" s="6"/>
      <c r="X20" s="6"/>
      <c r="Y20" s="6"/>
      <c r="Z20" s="6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3"/>
      <c r="EY20" s="23"/>
      <c r="EZ20" s="23"/>
      <c r="FA20" s="23"/>
      <c r="FB20" s="23"/>
      <c r="FC20" s="23"/>
      <c r="FD20" s="23"/>
      <c r="FH20" s="25"/>
    </row>
    <row r="21" spans="1:164" ht="15.75" x14ac:dyDescent="0.25">
      <c r="A21" s="13">
        <v>7.1</v>
      </c>
      <c r="B21" s="19" t="s">
        <v>11</v>
      </c>
      <c r="C21" s="4">
        <v>102300</v>
      </c>
      <c r="D21" s="4">
        <v>113843</v>
      </c>
      <c r="E21" s="4">
        <v>119148</v>
      </c>
      <c r="F21" s="4">
        <v>125440</v>
      </c>
      <c r="G21" s="4">
        <v>136171</v>
      </c>
      <c r="H21" s="1">
        <v>51718</v>
      </c>
      <c r="I21" s="1">
        <v>57402.793555450451</v>
      </c>
      <c r="J21" s="1">
        <v>60245.140096684918</v>
      </c>
      <c r="K21" s="1">
        <v>180522</v>
      </c>
      <c r="L21" s="1">
        <v>105284.22943438805</v>
      </c>
      <c r="M21" s="1">
        <v>54352.050073331862</v>
      </c>
      <c r="N21" s="1">
        <v>84108.478988860035</v>
      </c>
      <c r="O21" s="1">
        <v>97237.954359367286</v>
      </c>
      <c r="P21" s="1">
        <v>176198.812701683</v>
      </c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5"/>
      <c r="FF21" s="5"/>
      <c r="FG21" s="5"/>
    </row>
    <row r="22" spans="1:164" ht="15.75" x14ac:dyDescent="0.25">
      <c r="A22" s="13">
        <v>7.2</v>
      </c>
      <c r="B22" s="19" t="s">
        <v>12</v>
      </c>
      <c r="C22" s="4">
        <v>307628</v>
      </c>
      <c r="D22" s="4">
        <v>336266</v>
      </c>
      <c r="E22" s="4">
        <v>362090</v>
      </c>
      <c r="F22" s="4">
        <v>395319</v>
      </c>
      <c r="G22" s="4">
        <v>415241</v>
      </c>
      <c r="H22" s="1">
        <v>430992</v>
      </c>
      <c r="I22" s="1">
        <v>446327</v>
      </c>
      <c r="J22" s="1">
        <v>461615</v>
      </c>
      <c r="K22" s="1">
        <v>424299</v>
      </c>
      <c r="L22" s="1">
        <v>283722</v>
      </c>
      <c r="M22" s="1">
        <v>461283.99629250442</v>
      </c>
      <c r="N22" s="1">
        <v>496998.38166959625</v>
      </c>
      <c r="O22" s="1">
        <v>520960.62618396431</v>
      </c>
      <c r="P22" s="1">
        <v>566224.397633916</v>
      </c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5"/>
      <c r="FF22" s="5"/>
      <c r="FG22" s="5"/>
    </row>
    <row r="23" spans="1:164" ht="15.75" x14ac:dyDescent="0.25">
      <c r="A23" s="13">
        <v>7.3</v>
      </c>
      <c r="B23" s="19" t="s">
        <v>13</v>
      </c>
      <c r="C23" s="4">
        <v>37671</v>
      </c>
      <c r="D23" s="4">
        <v>37472</v>
      </c>
      <c r="E23" s="4">
        <v>11411</v>
      </c>
      <c r="F23" s="4">
        <v>2242</v>
      </c>
      <c r="G23" s="4">
        <v>13307</v>
      </c>
      <c r="H23" s="1">
        <v>15800</v>
      </c>
      <c r="I23" s="1">
        <v>18017</v>
      </c>
      <c r="J23" s="1">
        <v>20490</v>
      </c>
      <c r="K23" s="1">
        <v>23193</v>
      </c>
      <c r="L23" s="1">
        <v>22172</v>
      </c>
      <c r="M23" s="1">
        <v>25772.047065450544</v>
      </c>
      <c r="N23" s="1">
        <v>27175.205457295437</v>
      </c>
      <c r="O23" s="1">
        <v>26731.210084506518</v>
      </c>
      <c r="P23" s="1">
        <v>32170.305739536208</v>
      </c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5"/>
      <c r="FF23" s="5"/>
      <c r="FG23" s="5"/>
    </row>
    <row r="24" spans="1:164" ht="15.75" x14ac:dyDescent="0.25">
      <c r="A24" s="13">
        <v>7.4</v>
      </c>
      <c r="B24" s="19" t="s">
        <v>14</v>
      </c>
      <c r="C24" s="4" t="s">
        <v>77</v>
      </c>
      <c r="D24" s="4">
        <v>203</v>
      </c>
      <c r="E24" s="4">
        <v>3821</v>
      </c>
      <c r="F24" s="4">
        <v>9685</v>
      </c>
      <c r="G24" s="4">
        <v>20946</v>
      </c>
      <c r="H24" s="1">
        <v>25286</v>
      </c>
      <c r="I24" s="1">
        <v>26783</v>
      </c>
      <c r="J24" s="1">
        <v>12614</v>
      </c>
      <c r="K24" s="1">
        <v>17775</v>
      </c>
      <c r="L24" s="1">
        <v>-610</v>
      </c>
      <c r="M24" s="1">
        <v>-2200.3063403013621</v>
      </c>
      <c r="N24" s="1">
        <v>5031.2963895021858</v>
      </c>
      <c r="O24" s="1">
        <v>20083.833799974749</v>
      </c>
      <c r="P24" s="1">
        <v>25668.533266283401</v>
      </c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5"/>
      <c r="FF24" s="5"/>
      <c r="FG24" s="5"/>
    </row>
    <row r="25" spans="1:164" ht="15.75" x14ac:dyDescent="0.25">
      <c r="A25" s="13">
        <v>7.5</v>
      </c>
      <c r="B25" s="19" t="s">
        <v>15</v>
      </c>
      <c r="C25" s="4">
        <v>31431</v>
      </c>
      <c r="D25" s="4">
        <v>31688</v>
      </c>
      <c r="E25" s="4">
        <v>27291</v>
      </c>
      <c r="F25" s="4">
        <v>27030</v>
      </c>
      <c r="G25" s="4">
        <v>48770</v>
      </c>
      <c r="H25" s="1">
        <v>19345</v>
      </c>
      <c r="I25" s="1">
        <v>20555</v>
      </c>
      <c r="J25" s="1">
        <v>24088</v>
      </c>
      <c r="K25" s="1">
        <v>22538</v>
      </c>
      <c r="L25" s="1">
        <v>7703</v>
      </c>
      <c r="M25" s="1">
        <v>9027.1527225406426</v>
      </c>
      <c r="N25" s="1">
        <v>15694.683077924212</v>
      </c>
      <c r="O25" s="1">
        <v>20469.746282201282</v>
      </c>
      <c r="P25" s="1">
        <v>24749.943869150899</v>
      </c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5"/>
      <c r="FF25" s="5"/>
      <c r="FG25" s="5"/>
    </row>
    <row r="26" spans="1:164" ht="15.75" x14ac:dyDescent="0.25">
      <c r="A26" s="13">
        <v>7.6</v>
      </c>
      <c r="B26" s="19" t="s">
        <v>16</v>
      </c>
      <c r="C26" s="4">
        <v>5654</v>
      </c>
      <c r="D26" s="4">
        <v>5788</v>
      </c>
      <c r="E26" s="4">
        <v>6103</v>
      </c>
      <c r="F26" s="4">
        <v>6446</v>
      </c>
      <c r="G26" s="4">
        <v>6654</v>
      </c>
      <c r="H26" s="1">
        <v>7141</v>
      </c>
      <c r="I26" s="1">
        <v>7394</v>
      </c>
      <c r="J26" s="1">
        <v>13014</v>
      </c>
      <c r="K26" s="1">
        <v>12998</v>
      </c>
      <c r="L26" s="1">
        <v>11738</v>
      </c>
      <c r="M26" s="1">
        <v>11731.145585293994</v>
      </c>
      <c r="N26" s="1">
        <v>12590.264764994439</v>
      </c>
      <c r="O26" s="1">
        <v>14321.197611689797</v>
      </c>
      <c r="P26" s="1">
        <v>15186.201220087569</v>
      </c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5"/>
      <c r="FF26" s="5"/>
      <c r="FG26" s="5"/>
    </row>
    <row r="27" spans="1:164" ht="30" x14ac:dyDescent="0.25">
      <c r="A27" s="13">
        <v>7.7</v>
      </c>
      <c r="B27" s="19" t="s">
        <v>17</v>
      </c>
      <c r="C27" s="4">
        <v>170278</v>
      </c>
      <c r="D27" s="4">
        <v>165242</v>
      </c>
      <c r="E27" s="4">
        <v>205472</v>
      </c>
      <c r="F27" s="4">
        <v>206969</v>
      </c>
      <c r="G27" s="4">
        <v>287285</v>
      </c>
      <c r="H27" s="1">
        <v>276841</v>
      </c>
      <c r="I27" s="1">
        <v>260357</v>
      </c>
      <c r="J27" s="1">
        <v>256970</v>
      </c>
      <c r="K27" s="1">
        <v>285656</v>
      </c>
      <c r="L27" s="1">
        <v>330162</v>
      </c>
      <c r="M27" s="1">
        <v>239669.74410525718</v>
      </c>
      <c r="N27" s="1">
        <v>368401.45754255669</v>
      </c>
      <c r="O27" s="1">
        <v>400518.11123507889</v>
      </c>
      <c r="P27" s="1">
        <v>437830.53876794502</v>
      </c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5"/>
      <c r="FF27" s="5"/>
      <c r="FG27" s="5"/>
    </row>
    <row r="28" spans="1:164" ht="15.75" x14ac:dyDescent="0.25">
      <c r="A28" s="14" t="s">
        <v>37</v>
      </c>
      <c r="B28" s="19" t="s">
        <v>18</v>
      </c>
      <c r="C28" s="4">
        <v>420333</v>
      </c>
      <c r="D28" s="4">
        <v>440033</v>
      </c>
      <c r="E28" s="4">
        <v>464052</v>
      </c>
      <c r="F28" s="4">
        <v>469925</v>
      </c>
      <c r="G28" s="4">
        <v>588643</v>
      </c>
      <c r="H28" s="1">
        <v>605106</v>
      </c>
      <c r="I28" s="1">
        <v>672579</v>
      </c>
      <c r="J28" s="1">
        <v>680134</v>
      </c>
      <c r="K28" s="1">
        <v>754883</v>
      </c>
      <c r="L28" s="1">
        <v>569156</v>
      </c>
      <c r="M28" s="1">
        <v>767956.64553394122</v>
      </c>
      <c r="N28" s="1">
        <v>819759.07373216841</v>
      </c>
      <c r="O28" s="1">
        <v>928052.24775347137</v>
      </c>
      <c r="P28" s="1">
        <v>991329.57668450801</v>
      </c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5"/>
      <c r="FF28" s="5"/>
      <c r="FG28" s="5"/>
    </row>
    <row r="29" spans="1:164" ht="30" x14ac:dyDescent="0.25">
      <c r="A29" s="14" t="s">
        <v>38</v>
      </c>
      <c r="B29" s="19" t="s">
        <v>19</v>
      </c>
      <c r="C29" s="4">
        <v>942080</v>
      </c>
      <c r="D29" s="4">
        <v>920204</v>
      </c>
      <c r="E29" s="4">
        <v>901777</v>
      </c>
      <c r="F29" s="4">
        <v>923667</v>
      </c>
      <c r="G29" s="4">
        <v>867924</v>
      </c>
      <c r="H29" s="1">
        <v>857941</v>
      </c>
      <c r="I29" s="1">
        <v>877523</v>
      </c>
      <c r="J29" s="1">
        <v>874757</v>
      </c>
      <c r="K29" s="1">
        <v>795262</v>
      </c>
      <c r="L29" s="1">
        <v>788308</v>
      </c>
      <c r="M29" s="1">
        <v>818238.16042649059</v>
      </c>
      <c r="N29" s="1">
        <v>869011.3505733948</v>
      </c>
      <c r="O29" s="1">
        <v>904311.90472466475</v>
      </c>
      <c r="P29" s="1">
        <v>996322.92318837997</v>
      </c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5"/>
      <c r="FF29" s="5"/>
      <c r="FG29" s="5"/>
    </row>
    <row r="30" spans="1:164" ht="15.75" x14ac:dyDescent="0.25">
      <c r="A30" s="14" t="s">
        <v>39</v>
      </c>
      <c r="B30" s="19" t="s">
        <v>54</v>
      </c>
      <c r="C30" s="4">
        <v>634052</v>
      </c>
      <c r="D30" s="4">
        <v>650932</v>
      </c>
      <c r="E30" s="4">
        <v>640941</v>
      </c>
      <c r="F30" s="4">
        <v>711254</v>
      </c>
      <c r="G30" s="4">
        <v>1032739</v>
      </c>
      <c r="H30" s="1">
        <v>806293</v>
      </c>
      <c r="I30" s="1">
        <v>1119971</v>
      </c>
      <c r="J30" s="1">
        <v>899430</v>
      </c>
      <c r="K30" s="1">
        <v>1265150</v>
      </c>
      <c r="L30" s="1">
        <v>864185</v>
      </c>
      <c r="M30" s="1">
        <v>1030695.4855751814</v>
      </c>
      <c r="N30" s="1">
        <v>1071017.7921710464</v>
      </c>
      <c r="O30" s="1">
        <v>1446798.8252565977</v>
      </c>
      <c r="P30" s="1">
        <v>1666102.41882042</v>
      </c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5"/>
      <c r="FF30" s="5"/>
      <c r="FG30" s="5"/>
    </row>
    <row r="31" spans="1:164" ht="15.75" x14ac:dyDescent="0.25">
      <c r="A31" s="14" t="s">
        <v>40</v>
      </c>
      <c r="B31" s="19" t="s">
        <v>20</v>
      </c>
      <c r="C31" s="4">
        <v>1046848</v>
      </c>
      <c r="D31" s="4">
        <v>1042971</v>
      </c>
      <c r="E31" s="4">
        <v>1208960</v>
      </c>
      <c r="F31" s="4">
        <v>1274248</v>
      </c>
      <c r="G31" s="4">
        <v>1261367</v>
      </c>
      <c r="H31" s="1">
        <v>1561154</v>
      </c>
      <c r="I31" s="1">
        <v>1796452</v>
      </c>
      <c r="J31" s="1">
        <v>1906748</v>
      </c>
      <c r="K31" s="1">
        <v>1887195</v>
      </c>
      <c r="L31" s="1">
        <v>1667164</v>
      </c>
      <c r="M31" s="1">
        <v>2044315.9742858952</v>
      </c>
      <c r="N31" s="1">
        <v>2050350.663269524</v>
      </c>
      <c r="O31" s="1">
        <v>2269200.2825168627</v>
      </c>
      <c r="P31" s="1">
        <v>2309840.0267473799</v>
      </c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5"/>
      <c r="FF31" s="5"/>
      <c r="FG31" s="5"/>
    </row>
    <row r="32" spans="1:164" s="25" customFormat="1" ht="15.75" x14ac:dyDescent="0.25">
      <c r="A32" s="26"/>
      <c r="B32" s="27" t="s">
        <v>30</v>
      </c>
      <c r="C32" s="43">
        <f>C17+C20+C28+C29+C30+C31</f>
        <v>5700473</v>
      </c>
      <c r="D32" s="43">
        <f t="shared" ref="D32:F32" si="9">D17+D20+D28+D29+D30+D31</f>
        <v>5819477</v>
      </c>
      <c r="E32" s="43">
        <f t="shared" si="9"/>
        <v>6155961</v>
      </c>
      <c r="F32" s="43">
        <f t="shared" si="9"/>
        <v>6614944</v>
      </c>
      <c r="G32" s="43">
        <f t="shared" ref="G32:K32" si="10">G17+G20+G28+G29+G30+G31</f>
        <v>6812712</v>
      </c>
      <c r="H32" s="43">
        <f t="shared" si="10"/>
        <v>6759162</v>
      </c>
      <c r="I32" s="43">
        <f t="shared" si="10"/>
        <v>7579374.7935554506</v>
      </c>
      <c r="J32" s="43">
        <f t="shared" si="10"/>
        <v>7391621.1400966849</v>
      </c>
      <c r="K32" s="43">
        <f t="shared" si="10"/>
        <v>7934466</v>
      </c>
      <c r="L32" s="43">
        <f t="shared" ref="L32:N32" si="11">L17+L20+L28+L29+L30+L31</f>
        <v>8272748.2294343878</v>
      </c>
      <c r="M32" s="43">
        <f t="shared" si="11"/>
        <v>7121046.7009793343</v>
      </c>
      <c r="N32" s="43">
        <f t="shared" si="11"/>
        <v>7655540.6195591632</v>
      </c>
      <c r="O32" s="43">
        <f t="shared" ref="O32" si="12">O17+O20+O28+O29+O30+O31</f>
        <v>8655573.4566658866</v>
      </c>
      <c r="P32" s="43">
        <f t="shared" ref="P32" si="13">P17+P20+P28+P29+P30+P31</f>
        <v>9442532.7151567824</v>
      </c>
      <c r="Q32" s="7"/>
      <c r="R32" s="7"/>
      <c r="S32" s="7"/>
      <c r="T32" s="7"/>
      <c r="U32" s="7"/>
      <c r="V32" s="7"/>
      <c r="W32" s="7"/>
      <c r="X32" s="7"/>
      <c r="Y32" s="7"/>
      <c r="Z32" s="7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28"/>
      <c r="CB32" s="28"/>
      <c r="CC32" s="28"/>
      <c r="CD32" s="28"/>
      <c r="CE32" s="28"/>
      <c r="CF32" s="28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8"/>
      <c r="DA32" s="28"/>
      <c r="DB32" s="28"/>
      <c r="DC32" s="28"/>
      <c r="DD32" s="28"/>
      <c r="DE32" s="28"/>
      <c r="DF32" s="28"/>
      <c r="DG32" s="28"/>
      <c r="DH32" s="28"/>
      <c r="DI32" s="28"/>
      <c r="DJ32" s="28"/>
      <c r="DK32" s="28"/>
      <c r="DL32" s="28"/>
      <c r="DM32" s="28"/>
      <c r="DN32" s="28"/>
      <c r="DO32" s="28"/>
      <c r="DP32" s="28"/>
      <c r="DQ32" s="28"/>
      <c r="DR32" s="28"/>
      <c r="DS32" s="28"/>
      <c r="DT32" s="28"/>
      <c r="DU32" s="28"/>
      <c r="DV32" s="28"/>
      <c r="DW32" s="28"/>
      <c r="DX32" s="28"/>
      <c r="DY32" s="28"/>
      <c r="DZ32" s="28"/>
      <c r="EA32" s="28"/>
      <c r="EB32" s="28"/>
      <c r="EC32" s="28"/>
      <c r="ED32" s="28"/>
      <c r="EE32" s="28"/>
      <c r="EF32" s="28"/>
      <c r="EG32" s="28"/>
      <c r="EH32" s="28"/>
      <c r="EI32" s="28"/>
      <c r="EJ32" s="28"/>
      <c r="EK32" s="28"/>
      <c r="EL32" s="28"/>
      <c r="EM32" s="28"/>
      <c r="EN32" s="28"/>
      <c r="EO32" s="28"/>
      <c r="EP32" s="28"/>
      <c r="EQ32" s="28"/>
      <c r="ER32" s="28"/>
      <c r="ES32" s="28"/>
      <c r="ET32" s="28"/>
      <c r="EU32" s="28"/>
      <c r="EV32" s="28"/>
      <c r="EW32" s="28"/>
      <c r="EX32" s="28"/>
      <c r="EY32" s="28"/>
      <c r="EZ32" s="28"/>
      <c r="FA32" s="28"/>
      <c r="FB32" s="28"/>
      <c r="FC32" s="28"/>
      <c r="FD32" s="28"/>
      <c r="FE32" s="24"/>
      <c r="FF32" s="24"/>
      <c r="FG32" s="24"/>
    </row>
    <row r="33" spans="1:164" s="24" customFormat="1" ht="15.75" x14ac:dyDescent="0.25">
      <c r="A33" s="21" t="s">
        <v>27</v>
      </c>
      <c r="B33" s="31" t="s">
        <v>51</v>
      </c>
      <c r="C33" s="35">
        <f>C6+C11+C13+C14+C15+C17+C20+C28+C29+C30+C31</f>
        <v>12146941</v>
      </c>
      <c r="D33" s="35">
        <f>D6+D11+D13+D14+D15+D17+D20+D28+D29+D30+D31</f>
        <v>12487105</v>
      </c>
      <c r="E33" s="35">
        <f>E6+E11+E13+E14+E15+E17+E20+E28+E29+E30+E31</f>
        <v>13014063</v>
      </c>
      <c r="F33" s="35">
        <f>F6+F11+F13+F14+F15+F17+F20+F28+F29+F30+F31</f>
        <v>13681229</v>
      </c>
      <c r="G33" s="35">
        <f t="shared" ref="G33:K33" si="14">G6+G11+G13+G14+G15+G17+G20+G28+G29+G30+G31</f>
        <v>15719336</v>
      </c>
      <c r="H33" s="35">
        <f t="shared" si="14"/>
        <v>16467403</v>
      </c>
      <c r="I33" s="35">
        <f t="shared" si="14"/>
        <v>18214964.79355545</v>
      </c>
      <c r="J33" s="35">
        <f t="shared" si="14"/>
        <v>18250834.140096687</v>
      </c>
      <c r="K33" s="35">
        <f t="shared" si="14"/>
        <v>19073674</v>
      </c>
      <c r="L33" s="35">
        <f t="shared" ref="L33:N33" si="15">L6+L11+L13+L14+L15+L17+L20+L28+L29+L30+L31</f>
        <v>18798382.229434386</v>
      </c>
      <c r="M33" s="35">
        <f t="shared" si="15"/>
        <v>20173116.392198883</v>
      </c>
      <c r="N33" s="35">
        <f t="shared" si="15"/>
        <v>23187837.746992957</v>
      </c>
      <c r="O33" s="35">
        <f t="shared" ref="O33" si="16">O6+O11+O13+O14+O15+O17+O20+O28+O29+O30+O31</f>
        <v>26111502.291363601</v>
      </c>
      <c r="P33" s="35">
        <f t="shared" ref="P33" si="17">P6+P11+P13+P14+P15+P17+P20+P28+P29+P30+P31</f>
        <v>28504270.034021717</v>
      </c>
      <c r="Q33" s="6"/>
      <c r="R33" s="6"/>
      <c r="S33" s="6"/>
      <c r="T33" s="6"/>
      <c r="U33" s="6"/>
      <c r="V33" s="6"/>
      <c r="W33" s="6"/>
      <c r="X33" s="6"/>
      <c r="Y33" s="6"/>
      <c r="Z33" s="6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3"/>
      <c r="EY33" s="23"/>
      <c r="EZ33" s="23"/>
      <c r="FA33" s="23"/>
      <c r="FB33" s="23"/>
      <c r="FC33" s="23"/>
      <c r="FD33" s="23"/>
      <c r="FH33" s="25"/>
    </row>
    <row r="34" spans="1:164" s="25" customFormat="1" ht="15.75" x14ac:dyDescent="0.25">
      <c r="A34" s="32" t="s">
        <v>43</v>
      </c>
      <c r="B34" s="33" t="s">
        <v>25</v>
      </c>
      <c r="C34" s="47">
        <f>GSVA_const!C34</f>
        <v>1203476</v>
      </c>
      <c r="D34" s="47">
        <f>GSVA_const!D34</f>
        <v>1247593</v>
      </c>
      <c r="E34" s="47">
        <f>GSVA_const!E34</f>
        <v>1318035</v>
      </c>
      <c r="F34" s="47">
        <f>GSVA_const!F34</f>
        <v>1451179</v>
      </c>
      <c r="G34" s="47">
        <f>GSVA_const!G34</f>
        <v>1539995</v>
      </c>
      <c r="H34" s="47">
        <f>GSVA_const!H34</f>
        <v>1806812</v>
      </c>
      <c r="I34" s="47">
        <f>GSVA_const!I34</f>
        <v>1561486</v>
      </c>
      <c r="J34" s="47">
        <f>GSVA_const!J34</f>
        <v>2502618</v>
      </c>
      <c r="K34" s="47">
        <f>GSVA_const!K34</f>
        <v>2448372</v>
      </c>
      <c r="L34" s="47">
        <f>GSVA_const!L34</f>
        <v>3752251</v>
      </c>
      <c r="M34" s="47">
        <f>GSVA_const!M34</f>
        <v>3021483.1023094994</v>
      </c>
      <c r="N34" s="47">
        <f>GSVA_const!N34</f>
        <v>3143998.9191795872</v>
      </c>
      <c r="O34" s="47">
        <f>GSVA_const!O34</f>
        <v>3240457.1828881302</v>
      </c>
      <c r="P34" s="47">
        <f>GSVA_const!P34</f>
        <v>3418034.2365103997</v>
      </c>
      <c r="Q34" s="7"/>
      <c r="R34" s="7"/>
      <c r="S34" s="7"/>
      <c r="T34" s="7"/>
      <c r="U34" s="7"/>
      <c r="V34" s="7"/>
      <c r="W34" s="7"/>
      <c r="X34" s="7"/>
      <c r="Y34" s="7"/>
      <c r="Z34" s="7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  <c r="BN34" s="28"/>
      <c r="BO34" s="28"/>
      <c r="BP34" s="28"/>
      <c r="BQ34" s="28"/>
      <c r="BR34" s="28"/>
      <c r="BS34" s="28"/>
      <c r="BT34" s="28"/>
      <c r="BU34" s="28"/>
      <c r="BV34" s="28"/>
      <c r="BW34" s="28"/>
      <c r="BX34" s="28"/>
      <c r="BY34" s="28"/>
      <c r="BZ34" s="28"/>
      <c r="CA34" s="28"/>
      <c r="CB34" s="28"/>
      <c r="CC34" s="28"/>
      <c r="CD34" s="28"/>
      <c r="CE34" s="28"/>
      <c r="CF34" s="28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8"/>
      <c r="DA34" s="28"/>
      <c r="DB34" s="28"/>
      <c r="DC34" s="28"/>
      <c r="DD34" s="28"/>
      <c r="DE34" s="28"/>
      <c r="DF34" s="28"/>
      <c r="DG34" s="28"/>
      <c r="DH34" s="28"/>
      <c r="DI34" s="28"/>
      <c r="DJ34" s="28"/>
      <c r="DK34" s="28"/>
      <c r="DL34" s="28"/>
      <c r="DM34" s="28"/>
      <c r="DN34" s="28"/>
      <c r="DO34" s="28"/>
      <c r="DP34" s="28"/>
      <c r="DQ34" s="28"/>
      <c r="DR34" s="28"/>
      <c r="DS34" s="28"/>
      <c r="DT34" s="28"/>
      <c r="DU34" s="28"/>
      <c r="DV34" s="28"/>
      <c r="DW34" s="28"/>
      <c r="DX34" s="28"/>
      <c r="DY34" s="28"/>
      <c r="DZ34" s="28"/>
      <c r="EA34" s="28"/>
      <c r="EB34" s="28"/>
      <c r="EC34" s="28"/>
      <c r="ED34" s="28"/>
      <c r="EE34" s="28"/>
      <c r="EF34" s="28"/>
      <c r="EG34" s="28"/>
      <c r="EH34" s="28"/>
      <c r="EI34" s="28"/>
      <c r="EJ34" s="28"/>
      <c r="EK34" s="28"/>
      <c r="EL34" s="28"/>
      <c r="EM34" s="28"/>
      <c r="EN34" s="28"/>
      <c r="EO34" s="28"/>
      <c r="EP34" s="28"/>
      <c r="EQ34" s="28"/>
      <c r="ER34" s="28"/>
      <c r="ES34" s="28"/>
      <c r="ET34" s="28"/>
      <c r="EU34" s="28"/>
      <c r="EV34" s="28"/>
      <c r="EW34" s="28"/>
      <c r="EX34" s="28"/>
      <c r="EY34" s="28"/>
      <c r="EZ34" s="28"/>
      <c r="FA34" s="28"/>
      <c r="FB34" s="28"/>
      <c r="FC34" s="28"/>
    </row>
    <row r="35" spans="1:164" s="25" customFormat="1" ht="15.75" x14ac:dyDescent="0.25">
      <c r="A35" s="32" t="s">
        <v>44</v>
      </c>
      <c r="B35" s="33" t="s">
        <v>24</v>
      </c>
      <c r="C35" s="47">
        <f>GSVA_const!C35</f>
        <v>415005</v>
      </c>
      <c r="D35" s="47">
        <f>GSVA_const!D35</f>
        <v>482938</v>
      </c>
      <c r="E35" s="47">
        <f>GSVA_const!E35</f>
        <v>459622</v>
      </c>
      <c r="F35" s="47">
        <f>GSVA_const!F35</f>
        <v>489869</v>
      </c>
      <c r="G35" s="47">
        <f>GSVA_const!G35</f>
        <v>496465</v>
      </c>
      <c r="H35" s="47">
        <f>GSVA_const!H35</f>
        <v>311024</v>
      </c>
      <c r="I35" s="47">
        <f>GSVA_const!I35</f>
        <v>250222</v>
      </c>
      <c r="J35" s="47">
        <f>GSVA_const!J35</f>
        <v>290747</v>
      </c>
      <c r="K35" s="47">
        <f>GSVA_const!K35</f>
        <v>290511</v>
      </c>
      <c r="L35" s="47">
        <f>GSVA_const!L35</f>
        <v>591379</v>
      </c>
      <c r="M35" s="47">
        <f>GSVA_const!M35</f>
        <v>762376.53227520722</v>
      </c>
      <c r="N35" s="47">
        <f>GSVA_const!N35</f>
        <v>878943.90406008647</v>
      </c>
      <c r="O35" s="47">
        <f>GSVA_const!O35</f>
        <v>593456</v>
      </c>
      <c r="P35" s="47">
        <f>GSVA_const!P35</f>
        <v>758436.76800000004</v>
      </c>
      <c r="Q35" s="7"/>
      <c r="R35" s="7"/>
      <c r="S35" s="7"/>
      <c r="T35" s="7"/>
      <c r="U35" s="7"/>
      <c r="V35" s="7"/>
      <c r="W35" s="7"/>
      <c r="X35" s="7"/>
      <c r="Y35" s="7"/>
      <c r="Z35" s="7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  <c r="BN35" s="28"/>
      <c r="BO35" s="28"/>
      <c r="BP35" s="28"/>
      <c r="BQ35" s="28"/>
      <c r="BR35" s="28"/>
      <c r="BS35" s="28"/>
      <c r="BT35" s="28"/>
      <c r="BU35" s="28"/>
      <c r="BV35" s="28"/>
      <c r="BW35" s="28"/>
      <c r="BX35" s="28"/>
      <c r="BY35" s="28"/>
      <c r="BZ35" s="28"/>
      <c r="CA35" s="28"/>
      <c r="CB35" s="28"/>
      <c r="CC35" s="28"/>
      <c r="CD35" s="28"/>
      <c r="CE35" s="28"/>
      <c r="CF35" s="28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8"/>
      <c r="DA35" s="28"/>
      <c r="DB35" s="28"/>
      <c r="DC35" s="28"/>
      <c r="DD35" s="28"/>
      <c r="DE35" s="28"/>
      <c r="DF35" s="28"/>
      <c r="DG35" s="28"/>
      <c r="DH35" s="28"/>
      <c r="DI35" s="28"/>
      <c r="DJ35" s="28"/>
      <c r="DK35" s="28"/>
      <c r="DL35" s="28"/>
      <c r="DM35" s="28"/>
      <c r="DN35" s="28"/>
      <c r="DO35" s="28"/>
      <c r="DP35" s="28"/>
      <c r="DQ35" s="28"/>
      <c r="DR35" s="28"/>
      <c r="DS35" s="28"/>
      <c r="DT35" s="28"/>
      <c r="DU35" s="28"/>
      <c r="DV35" s="28"/>
      <c r="DW35" s="28"/>
      <c r="DX35" s="28"/>
      <c r="DY35" s="28"/>
      <c r="DZ35" s="28"/>
      <c r="EA35" s="28"/>
      <c r="EB35" s="28"/>
      <c r="EC35" s="28"/>
      <c r="ED35" s="28"/>
      <c r="EE35" s="28"/>
      <c r="EF35" s="28"/>
      <c r="EG35" s="28"/>
      <c r="EH35" s="28"/>
      <c r="EI35" s="28"/>
      <c r="EJ35" s="28"/>
      <c r="EK35" s="28"/>
      <c r="EL35" s="28"/>
      <c r="EM35" s="28"/>
      <c r="EN35" s="28"/>
      <c r="EO35" s="28"/>
      <c r="EP35" s="28"/>
      <c r="EQ35" s="28"/>
      <c r="ER35" s="28"/>
      <c r="ES35" s="28"/>
      <c r="ET35" s="28"/>
      <c r="EU35" s="28"/>
      <c r="EV35" s="28"/>
      <c r="EW35" s="28"/>
      <c r="EX35" s="28"/>
      <c r="EY35" s="28"/>
      <c r="EZ35" s="28"/>
      <c r="FA35" s="28"/>
      <c r="FB35" s="28"/>
      <c r="FC35" s="28"/>
    </row>
    <row r="36" spans="1:164" s="25" customFormat="1" ht="15.75" x14ac:dyDescent="0.25">
      <c r="A36" s="32" t="s">
        <v>45</v>
      </c>
      <c r="B36" s="33" t="s">
        <v>63</v>
      </c>
      <c r="C36" s="43">
        <f>C33+C34-C35</f>
        <v>12935412</v>
      </c>
      <c r="D36" s="43">
        <f t="shared" ref="D36:O36" si="18">D33+D34-D35</f>
        <v>13251760</v>
      </c>
      <c r="E36" s="43">
        <f t="shared" si="18"/>
        <v>13872476</v>
      </c>
      <c r="F36" s="43">
        <f t="shared" si="18"/>
        <v>14642539</v>
      </c>
      <c r="G36" s="43">
        <f t="shared" si="18"/>
        <v>16762866</v>
      </c>
      <c r="H36" s="43">
        <f t="shared" si="18"/>
        <v>17963191</v>
      </c>
      <c r="I36" s="43">
        <f t="shared" si="18"/>
        <v>19526228.79355545</v>
      </c>
      <c r="J36" s="43">
        <f t="shared" si="18"/>
        <v>20462705.140096687</v>
      </c>
      <c r="K36" s="43">
        <f t="shared" si="18"/>
        <v>21231535</v>
      </c>
      <c r="L36" s="43">
        <f t="shared" si="18"/>
        <v>21959254.229434386</v>
      </c>
      <c r="M36" s="43">
        <f t="shared" si="18"/>
        <v>22432222.962233175</v>
      </c>
      <c r="N36" s="43">
        <f t="shared" si="18"/>
        <v>25452892.762112457</v>
      </c>
      <c r="O36" s="43">
        <f t="shared" si="18"/>
        <v>28758503.474251732</v>
      </c>
      <c r="P36" s="43">
        <f t="shared" ref="P36" si="19">P33+P34-P35</f>
        <v>31163867.502532117</v>
      </c>
      <c r="Q36" s="7"/>
      <c r="R36" s="7"/>
      <c r="S36" s="7"/>
      <c r="T36" s="7"/>
      <c r="U36" s="7"/>
      <c r="V36" s="7"/>
      <c r="W36" s="7"/>
      <c r="X36" s="7"/>
      <c r="Y36" s="7"/>
      <c r="Z36" s="7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8"/>
      <c r="BS36" s="28"/>
      <c r="BT36" s="28"/>
      <c r="BU36" s="28"/>
      <c r="BV36" s="28"/>
      <c r="BW36" s="28"/>
      <c r="BX36" s="28"/>
      <c r="BY36" s="28"/>
      <c r="BZ36" s="28"/>
      <c r="CA36" s="28"/>
      <c r="CB36" s="28"/>
      <c r="CC36" s="28"/>
      <c r="CD36" s="28"/>
      <c r="CE36" s="28"/>
      <c r="CF36" s="28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8"/>
      <c r="DA36" s="28"/>
      <c r="DB36" s="28"/>
      <c r="DC36" s="28"/>
      <c r="DD36" s="28"/>
      <c r="DE36" s="28"/>
      <c r="DF36" s="28"/>
      <c r="DG36" s="28"/>
      <c r="DH36" s="28"/>
      <c r="DI36" s="28"/>
      <c r="DJ36" s="28"/>
      <c r="DK36" s="28"/>
      <c r="DL36" s="28"/>
      <c r="DM36" s="28"/>
      <c r="DN36" s="28"/>
      <c r="DO36" s="28"/>
      <c r="DP36" s="28"/>
      <c r="DQ36" s="28"/>
      <c r="DR36" s="28"/>
      <c r="DS36" s="28"/>
      <c r="DT36" s="28"/>
      <c r="DU36" s="28"/>
      <c r="DV36" s="28"/>
      <c r="DW36" s="28"/>
      <c r="DX36" s="28"/>
      <c r="DY36" s="28"/>
      <c r="DZ36" s="28"/>
      <c r="EA36" s="28"/>
      <c r="EB36" s="28"/>
      <c r="EC36" s="28"/>
      <c r="ED36" s="28"/>
      <c r="EE36" s="28"/>
      <c r="EF36" s="28"/>
      <c r="EG36" s="28"/>
      <c r="EH36" s="28"/>
      <c r="EI36" s="28"/>
      <c r="EJ36" s="28"/>
      <c r="EK36" s="28"/>
      <c r="EL36" s="28"/>
      <c r="EM36" s="28"/>
      <c r="EN36" s="28"/>
      <c r="EO36" s="28"/>
      <c r="EP36" s="28"/>
      <c r="EQ36" s="28"/>
      <c r="ER36" s="28"/>
      <c r="ES36" s="28"/>
      <c r="ET36" s="28"/>
      <c r="EU36" s="28"/>
      <c r="EV36" s="28"/>
      <c r="EW36" s="28"/>
      <c r="EX36" s="28"/>
      <c r="EY36" s="28"/>
      <c r="EZ36" s="28"/>
      <c r="FA36" s="28"/>
      <c r="FB36" s="28"/>
      <c r="FC36" s="28"/>
    </row>
    <row r="37" spans="1:164" s="25" customFormat="1" ht="15.75" x14ac:dyDescent="0.25">
      <c r="A37" s="32" t="s">
        <v>46</v>
      </c>
      <c r="B37" s="33" t="s">
        <v>42</v>
      </c>
      <c r="C37" s="47">
        <f>GSVA_cur!C37</f>
        <v>314410</v>
      </c>
      <c r="D37" s="47">
        <f>GSVA_cur!D37</f>
        <v>318480</v>
      </c>
      <c r="E37" s="47">
        <f>GSVA_cur!E37</f>
        <v>322600</v>
      </c>
      <c r="F37" s="47">
        <f>GSVA_cur!F37</f>
        <v>326780</v>
      </c>
      <c r="G37" s="47">
        <f>GSVA_cur!G37</f>
        <v>331010</v>
      </c>
      <c r="H37" s="47">
        <f>GSVA_cur!H37</f>
        <v>335290</v>
      </c>
      <c r="I37" s="47">
        <f>GSVA_cur!I37</f>
        <v>337620</v>
      </c>
      <c r="J37" s="47">
        <f>GSVA_cur!J37</f>
        <v>341370</v>
      </c>
      <c r="K37" s="43">
        <f>GSVA_cur!K37</f>
        <v>345120</v>
      </c>
      <c r="L37" s="43">
        <f>GSVA_cur!L37</f>
        <v>348870</v>
      </c>
      <c r="M37" s="43">
        <f>GSVA_cur!M37</f>
        <v>352390</v>
      </c>
      <c r="N37" s="43">
        <f>GSVA_cur!N37</f>
        <v>355730</v>
      </c>
      <c r="O37" s="43">
        <f>GSVA_cur!O37</f>
        <v>359080</v>
      </c>
      <c r="P37" s="43">
        <f>GSVA_cur!P37</f>
        <v>362420</v>
      </c>
      <c r="Q37" s="2"/>
      <c r="R37" s="2"/>
      <c r="S37" s="2"/>
      <c r="T37" s="2"/>
      <c r="U37" s="2"/>
      <c r="V37" s="2"/>
      <c r="W37" s="2"/>
      <c r="X37" s="2"/>
      <c r="Y37" s="2"/>
      <c r="Z37" s="2"/>
      <c r="CG37" s="24"/>
      <c r="CH37" s="24"/>
      <c r="CI37" s="24"/>
      <c r="CJ37" s="24"/>
      <c r="CK37" s="24"/>
      <c r="CL37" s="24"/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</row>
    <row r="38" spans="1:164" s="25" customFormat="1" ht="15.75" x14ac:dyDescent="0.25">
      <c r="A38" s="32" t="s">
        <v>47</v>
      </c>
      <c r="B38" s="33" t="s">
        <v>64</v>
      </c>
      <c r="C38" s="43">
        <f>C36/C37*1000</f>
        <v>41141.859355618457</v>
      </c>
      <c r="D38" s="43">
        <f t="shared" ref="D38:K38" si="20">D36/D37*1000</f>
        <v>41609.394624466215</v>
      </c>
      <c r="E38" s="43">
        <f t="shared" si="20"/>
        <v>43002.09547427154</v>
      </c>
      <c r="F38" s="43">
        <f t="shared" si="20"/>
        <v>44808.553155027847</v>
      </c>
      <c r="G38" s="43">
        <f t="shared" si="20"/>
        <v>50641.569741095438</v>
      </c>
      <c r="H38" s="43">
        <f t="shared" si="20"/>
        <v>53575.087237913453</v>
      </c>
      <c r="I38" s="43">
        <f t="shared" si="20"/>
        <v>57834.929191266659</v>
      </c>
      <c r="J38" s="43">
        <f t="shared" si="20"/>
        <v>59942.892287244598</v>
      </c>
      <c r="K38" s="43">
        <f t="shared" si="20"/>
        <v>61519.283147890594</v>
      </c>
      <c r="L38" s="43">
        <f t="shared" ref="L38" si="21">L36/L37*1000</f>
        <v>62943.945393511582</v>
      </c>
      <c r="M38" s="43">
        <f t="shared" ref="M38:O38" si="22">M36/M37*1000</f>
        <v>63657.376662882525</v>
      </c>
      <c r="N38" s="43">
        <f t="shared" si="22"/>
        <v>71551.156107476054</v>
      </c>
      <c r="O38" s="43">
        <f t="shared" si="22"/>
        <v>80089.404796289775</v>
      </c>
      <c r="P38" s="43">
        <f t="shared" ref="P38" si="23">P36/P37*1000</f>
        <v>85988.266383014503</v>
      </c>
      <c r="Q38" s="2"/>
      <c r="R38" s="2"/>
      <c r="S38" s="2"/>
      <c r="T38" s="2"/>
      <c r="U38" s="2"/>
      <c r="V38" s="2"/>
      <c r="W38" s="2"/>
      <c r="X38" s="2"/>
      <c r="Y38" s="2"/>
      <c r="Z38" s="2"/>
      <c r="AZ38" s="28"/>
      <c r="BA38" s="28"/>
      <c r="BB38" s="28"/>
      <c r="BC38" s="28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</row>
    <row r="39" spans="1:164" x14ac:dyDescent="0.25">
      <c r="A39" s="2" t="s">
        <v>75</v>
      </c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5" manualBreakCount="5">
    <brk id="27" max="1048575" man="1"/>
    <brk id="91" max="95" man="1"/>
    <brk id="127" max="1048575" man="1"/>
    <brk id="151" max="1048575" man="1"/>
    <brk id="159" max="9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GSVA_cur</vt:lpstr>
      <vt:lpstr>GSVA_const</vt:lpstr>
      <vt:lpstr>NSVA_cur</vt:lpstr>
      <vt:lpstr>NSVA_const</vt:lpstr>
      <vt:lpstr>GSVA_const!Print_Titles</vt:lpstr>
      <vt:lpstr>GSVA_cur!Print_Titles</vt:lpstr>
      <vt:lpstr>NSVA_const!Print_Titles</vt:lpstr>
      <vt:lpstr>NSVA_cur!Print_Titles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2025-08-04T11:42:15Z</dcterms:modified>
</cp:coreProperties>
</file>