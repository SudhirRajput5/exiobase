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defaultThemeVersion="124226"/>
  <xr:revisionPtr revIDLastSave="0" documentId="13_ncr:1_{FB4EF860-FAE4-4BE7-9BB6-E9A9EE144A5C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GSVA_cur" sheetId="10" r:id="rId1"/>
    <sheet name="GSVA_const" sheetId="1" r:id="rId2"/>
    <sheet name="NSVA_cur" sheetId="11" r:id="rId3"/>
    <sheet name="NSVA_const" sheetId="12" r:id="rId4"/>
  </sheets>
  <externalReferences>
    <externalReference r:id="rId5"/>
  </externalReferences>
  <definedNames>
    <definedName name="_xlnm.Print_Titles" localSheetId="1">GSVA_const!$A:$B</definedName>
    <definedName name="_xlnm.Print_Titles" localSheetId="0">GSVA_cur!$A:$B</definedName>
    <definedName name="_xlnm.Print_Titles" localSheetId="3">NSVA_const!$A:$B</definedName>
    <definedName name="_xlnm.Print_Titles" localSheetId="2">NSVA_cur!$A:$B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0" i="12" l="1"/>
  <c r="P20" i="11"/>
  <c r="P20" i="1"/>
  <c r="P20" i="10"/>
  <c r="P34" i="12"/>
  <c r="P35" i="12"/>
  <c r="P37" i="12"/>
  <c r="P34" i="11"/>
  <c r="P35" i="11"/>
  <c r="P37" i="11"/>
  <c r="P37" i="1"/>
  <c r="P16" i="1"/>
  <c r="P17" i="1"/>
  <c r="P32" i="1" s="1"/>
  <c r="P16" i="11"/>
  <c r="P17" i="11"/>
  <c r="P16" i="12"/>
  <c r="P17" i="12"/>
  <c r="P16" i="10"/>
  <c r="P17" i="10"/>
  <c r="P6" i="1"/>
  <c r="P12" i="1" s="1"/>
  <c r="P6" i="11"/>
  <c r="P12" i="11" s="1"/>
  <c r="P6" i="12"/>
  <c r="P6" i="10"/>
  <c r="P32" i="11" l="1"/>
  <c r="P33" i="1"/>
  <c r="P33" i="12"/>
  <c r="P32" i="12"/>
  <c r="P12" i="12"/>
  <c r="P33" i="11"/>
  <c r="P32" i="10"/>
  <c r="P33" i="10"/>
  <c r="P12" i="10"/>
  <c r="O6" i="1"/>
  <c r="O16" i="1"/>
  <c r="O17" i="1"/>
  <c r="O20" i="1"/>
  <c r="O37" i="1"/>
  <c r="O6" i="11"/>
  <c r="O16" i="11"/>
  <c r="O17" i="11"/>
  <c r="O20" i="11"/>
  <c r="O34" i="11"/>
  <c r="O35" i="11"/>
  <c r="O37" i="11"/>
  <c r="O6" i="12"/>
  <c r="O12" i="12" s="1"/>
  <c r="O16" i="12"/>
  <c r="O17" i="12"/>
  <c r="O20" i="12"/>
  <c r="O34" i="12"/>
  <c r="O35" i="12"/>
  <c r="O37" i="12"/>
  <c r="O6" i="10"/>
  <c r="O16" i="10"/>
  <c r="O17" i="10"/>
  <c r="O20" i="10"/>
  <c r="P36" i="12" l="1"/>
  <c r="P38" i="12" s="1"/>
  <c r="P36" i="11"/>
  <c r="P36" i="1"/>
  <c r="P36" i="10"/>
  <c r="O33" i="1"/>
  <c r="O36" i="1" s="1"/>
  <c r="O32" i="1"/>
  <c r="O32" i="12"/>
  <c r="O33" i="12"/>
  <c r="O32" i="11"/>
  <c r="O12" i="1"/>
  <c r="O32" i="10"/>
  <c r="O33" i="10"/>
  <c r="O36" i="10" s="1"/>
  <c r="O12" i="10"/>
  <c r="O12" i="11"/>
  <c r="O33" i="11"/>
  <c r="P38" i="11" l="1"/>
  <c r="P38" i="1"/>
  <c r="P38" i="10"/>
  <c r="O36" i="12"/>
  <c r="O38" i="1"/>
  <c r="O38" i="10"/>
  <c r="O36" i="11"/>
  <c r="I2" i="1"/>
  <c r="I2" i="11"/>
  <c r="I2" i="12"/>
  <c r="I2" i="10"/>
  <c r="O38" i="12" l="1"/>
  <c r="O38" i="11"/>
  <c r="N34" i="12" l="1"/>
  <c r="N35" i="12"/>
  <c r="N37" i="12"/>
  <c r="N20" i="12"/>
  <c r="N34" i="11"/>
  <c r="N35" i="11"/>
  <c r="N37" i="11"/>
  <c r="N20" i="11"/>
  <c r="N20" i="1"/>
  <c r="N37" i="1"/>
  <c r="N20" i="10" l="1"/>
  <c r="N16" i="1"/>
  <c r="N17" i="1"/>
  <c r="N16" i="11"/>
  <c r="N17" i="11"/>
  <c r="N16" i="12"/>
  <c r="N17" i="12"/>
  <c r="N16" i="10"/>
  <c r="N17" i="10"/>
  <c r="N6" i="1"/>
  <c r="N6" i="11"/>
  <c r="N6" i="12"/>
  <c r="N6" i="10"/>
  <c r="N12" i="10" s="1"/>
  <c r="N32" i="12" l="1"/>
  <c r="N32" i="11"/>
  <c r="N32" i="1"/>
  <c r="N33" i="10"/>
  <c r="N33" i="12"/>
  <c r="N12" i="12"/>
  <c r="N33" i="11"/>
  <c r="N12" i="11"/>
  <c r="N33" i="1"/>
  <c r="N12" i="1"/>
  <c r="N32" i="10"/>
  <c r="D34" i="12"/>
  <c r="E34" i="12"/>
  <c r="F34" i="12"/>
  <c r="G34" i="12"/>
  <c r="H34" i="12"/>
  <c r="I34" i="12"/>
  <c r="J34" i="12"/>
  <c r="K34" i="12"/>
  <c r="L34" i="12"/>
  <c r="M34" i="12"/>
  <c r="D35" i="12"/>
  <c r="E35" i="12"/>
  <c r="F35" i="12"/>
  <c r="G35" i="12"/>
  <c r="H35" i="12"/>
  <c r="I35" i="12"/>
  <c r="J35" i="12"/>
  <c r="K35" i="12"/>
  <c r="L35" i="12"/>
  <c r="M35" i="12"/>
  <c r="D37" i="12"/>
  <c r="E37" i="12"/>
  <c r="F37" i="12"/>
  <c r="G37" i="12"/>
  <c r="H37" i="12"/>
  <c r="I37" i="12"/>
  <c r="J37" i="12"/>
  <c r="K37" i="12"/>
  <c r="L37" i="12"/>
  <c r="M37" i="12"/>
  <c r="M20" i="12"/>
  <c r="D34" i="11"/>
  <c r="E34" i="11"/>
  <c r="F34" i="11"/>
  <c r="G34" i="11"/>
  <c r="H34" i="11"/>
  <c r="I34" i="11"/>
  <c r="J34" i="11"/>
  <c r="K34" i="11"/>
  <c r="L34" i="11"/>
  <c r="M34" i="11"/>
  <c r="D35" i="11"/>
  <c r="E35" i="11"/>
  <c r="F35" i="11"/>
  <c r="G35" i="11"/>
  <c r="H35" i="11"/>
  <c r="I35" i="11"/>
  <c r="J35" i="11"/>
  <c r="K35" i="11"/>
  <c r="L35" i="11"/>
  <c r="M35" i="11"/>
  <c r="D37" i="11"/>
  <c r="E37" i="11"/>
  <c r="F37" i="11"/>
  <c r="G37" i="11"/>
  <c r="H37" i="11"/>
  <c r="I37" i="11"/>
  <c r="J37" i="11"/>
  <c r="K37" i="11"/>
  <c r="L37" i="11"/>
  <c r="M37" i="11"/>
  <c r="M20" i="11"/>
  <c r="D37" i="1"/>
  <c r="E37" i="1"/>
  <c r="F37" i="1"/>
  <c r="G37" i="1"/>
  <c r="H37" i="1"/>
  <c r="I37" i="1"/>
  <c r="J37" i="1"/>
  <c r="K37" i="1"/>
  <c r="L37" i="1"/>
  <c r="M37" i="1"/>
  <c r="M20" i="1"/>
  <c r="M20" i="10"/>
  <c r="N36" i="12" l="1"/>
  <c r="N36" i="11"/>
  <c r="N36" i="10"/>
  <c r="N36" i="1"/>
  <c r="M17" i="1"/>
  <c r="M17" i="11"/>
  <c r="M17" i="12"/>
  <c r="M17" i="10"/>
  <c r="M16" i="1"/>
  <c r="M16" i="11"/>
  <c r="M16" i="12"/>
  <c r="M16" i="10"/>
  <c r="M6" i="1"/>
  <c r="M6" i="11"/>
  <c r="M6" i="12"/>
  <c r="M6" i="10"/>
  <c r="M32" i="12" l="1"/>
  <c r="N38" i="12"/>
  <c r="M32" i="11"/>
  <c r="M12" i="11"/>
  <c r="N38" i="11"/>
  <c r="M32" i="1"/>
  <c r="N38" i="10"/>
  <c r="M33" i="10"/>
  <c r="M12" i="10"/>
  <c r="M33" i="12"/>
  <c r="N38" i="1"/>
  <c r="M12" i="12"/>
  <c r="M33" i="11"/>
  <c r="M33" i="1"/>
  <c r="M12" i="1"/>
  <c r="M32" i="10"/>
  <c r="L17" i="12"/>
  <c r="L17" i="11"/>
  <c r="L17" i="1"/>
  <c r="L17" i="10"/>
  <c r="M36" i="12" l="1"/>
  <c r="M36" i="11"/>
  <c r="M36" i="10"/>
  <c r="M36" i="1"/>
  <c r="L20" i="1"/>
  <c r="L20" i="11"/>
  <c r="L20" i="12"/>
  <c r="L20" i="10"/>
  <c r="L16" i="1"/>
  <c r="L16" i="11"/>
  <c r="L16" i="12"/>
  <c r="L16" i="10"/>
  <c r="L6" i="1"/>
  <c r="L6" i="11"/>
  <c r="L6" i="12"/>
  <c r="L6" i="10"/>
  <c r="C35" i="11"/>
  <c r="C34" i="11"/>
  <c r="C37" i="11"/>
  <c r="K20" i="11"/>
  <c r="J20" i="11"/>
  <c r="I20" i="11"/>
  <c r="H20" i="11"/>
  <c r="G20" i="11"/>
  <c r="F20" i="11"/>
  <c r="E20" i="11"/>
  <c r="D20" i="11"/>
  <c r="C20" i="11"/>
  <c r="K17" i="11"/>
  <c r="J17" i="11"/>
  <c r="I17" i="11"/>
  <c r="H17" i="11"/>
  <c r="G17" i="11"/>
  <c r="F17" i="11"/>
  <c r="E17" i="11"/>
  <c r="D17" i="11"/>
  <c r="C17" i="11"/>
  <c r="K16" i="11"/>
  <c r="J16" i="11"/>
  <c r="I16" i="11"/>
  <c r="H16" i="11"/>
  <c r="G16" i="11"/>
  <c r="F16" i="11"/>
  <c r="E16" i="11"/>
  <c r="D16" i="11"/>
  <c r="C16" i="11"/>
  <c r="K6" i="11"/>
  <c r="J6" i="11"/>
  <c r="I6" i="11"/>
  <c r="I12" i="11" s="1"/>
  <c r="H6" i="11"/>
  <c r="G6" i="11"/>
  <c r="F6" i="11"/>
  <c r="E6" i="11"/>
  <c r="E12" i="11" s="1"/>
  <c r="D6" i="11"/>
  <c r="C6" i="11"/>
  <c r="C12" i="11" s="1"/>
  <c r="K20" i="12"/>
  <c r="D20" i="12"/>
  <c r="E20" i="12"/>
  <c r="F20" i="12"/>
  <c r="G20" i="12"/>
  <c r="H20" i="12"/>
  <c r="I20" i="12"/>
  <c r="J20" i="12"/>
  <c r="L32" i="12" l="1"/>
  <c r="M38" i="12"/>
  <c r="L33" i="12"/>
  <c r="M38" i="11"/>
  <c r="L32" i="11"/>
  <c r="L32" i="1"/>
  <c r="L32" i="10"/>
  <c r="M38" i="10"/>
  <c r="L12" i="10"/>
  <c r="H32" i="11"/>
  <c r="I32" i="11"/>
  <c r="K32" i="11"/>
  <c r="G32" i="11"/>
  <c r="M38" i="1"/>
  <c r="H12" i="11"/>
  <c r="H33" i="11"/>
  <c r="H36" i="11" s="1"/>
  <c r="H38" i="11" s="1"/>
  <c r="K12" i="11"/>
  <c r="K33" i="11"/>
  <c r="D32" i="11"/>
  <c r="E32" i="11"/>
  <c r="F32" i="11"/>
  <c r="G12" i="11"/>
  <c r="G33" i="11"/>
  <c r="G36" i="11" s="1"/>
  <c r="G38" i="11" s="1"/>
  <c r="L33" i="11"/>
  <c r="J12" i="11"/>
  <c r="J33" i="11"/>
  <c r="J36" i="11" s="1"/>
  <c r="J38" i="11" s="1"/>
  <c r="D12" i="11"/>
  <c r="D33" i="11"/>
  <c r="D36" i="11" s="1"/>
  <c r="D38" i="11" s="1"/>
  <c r="I33" i="11"/>
  <c r="I36" i="11" s="1"/>
  <c r="I38" i="11" s="1"/>
  <c r="E33" i="11"/>
  <c r="E36" i="11" s="1"/>
  <c r="E38" i="11" s="1"/>
  <c r="F12" i="11"/>
  <c r="F33" i="11"/>
  <c r="F36" i="11" s="1"/>
  <c r="F38" i="11" s="1"/>
  <c r="J32" i="11"/>
  <c r="L12" i="12"/>
  <c r="C32" i="11"/>
  <c r="L12" i="11"/>
  <c r="L33" i="1"/>
  <c r="L12" i="1"/>
  <c r="L33" i="10"/>
  <c r="C33" i="11"/>
  <c r="C36" i="11" s="1"/>
  <c r="C38" i="11" s="1"/>
  <c r="L36" i="12" l="1"/>
  <c r="K36" i="11"/>
  <c r="K38" i="11" s="1"/>
  <c r="L36" i="11"/>
  <c r="L36" i="1"/>
  <c r="L36" i="10"/>
  <c r="K20" i="1"/>
  <c r="K20" i="10"/>
  <c r="K17" i="1"/>
  <c r="K17" i="12"/>
  <c r="K17" i="10"/>
  <c r="K16" i="1"/>
  <c r="K16" i="12"/>
  <c r="K16" i="10"/>
  <c r="K6" i="1"/>
  <c r="K6" i="12"/>
  <c r="K6" i="10"/>
  <c r="K32" i="12" l="1"/>
  <c r="L38" i="12"/>
  <c r="K33" i="12"/>
  <c r="L38" i="11"/>
  <c r="L38" i="1"/>
  <c r="L38" i="10"/>
  <c r="K12" i="12"/>
  <c r="K12" i="1"/>
  <c r="K32" i="1"/>
  <c r="K33" i="1"/>
  <c r="K32" i="10"/>
  <c r="K12" i="10"/>
  <c r="K33" i="10"/>
  <c r="K36" i="12" l="1"/>
  <c r="K36" i="1"/>
  <c r="K36" i="10"/>
  <c r="J17" i="12"/>
  <c r="J32" i="12" s="1"/>
  <c r="J17" i="1"/>
  <c r="J17" i="10"/>
  <c r="J20" i="1"/>
  <c r="J20" i="10"/>
  <c r="J16" i="1"/>
  <c r="J16" i="12"/>
  <c r="J16" i="10"/>
  <c r="J6" i="1"/>
  <c r="J6" i="12"/>
  <c r="J6" i="10"/>
  <c r="J33" i="12" l="1"/>
  <c r="J36" i="12" s="1"/>
  <c r="J38" i="12" s="1"/>
  <c r="K38" i="12"/>
  <c r="K38" i="1"/>
  <c r="K38" i="10"/>
  <c r="J12" i="1"/>
  <c r="J12" i="10"/>
  <c r="J12" i="12"/>
  <c r="J32" i="1"/>
  <c r="J33" i="1"/>
  <c r="J32" i="10"/>
  <c r="J33" i="10"/>
  <c r="I20" i="1"/>
  <c r="I20" i="10"/>
  <c r="I16" i="1"/>
  <c r="I17" i="1"/>
  <c r="I16" i="12"/>
  <c r="I17" i="12"/>
  <c r="I32" i="12" s="1"/>
  <c r="I16" i="10"/>
  <c r="I17" i="10"/>
  <c r="I6" i="1"/>
  <c r="I6" i="12"/>
  <c r="I6" i="10"/>
  <c r="I33" i="12" l="1"/>
  <c r="I36" i="12" s="1"/>
  <c r="I38" i="12" s="1"/>
  <c r="I12" i="12"/>
  <c r="I12" i="1"/>
  <c r="J36" i="1"/>
  <c r="J36" i="10"/>
  <c r="I32" i="1"/>
  <c r="I12" i="10"/>
  <c r="I33" i="1"/>
  <c r="I33" i="10"/>
  <c r="I32" i="10"/>
  <c r="D20" i="1"/>
  <c r="E20" i="1"/>
  <c r="F20" i="1"/>
  <c r="G20" i="1"/>
  <c r="H20" i="1"/>
  <c r="D20" i="10"/>
  <c r="E20" i="10"/>
  <c r="F20" i="10"/>
  <c r="G20" i="10"/>
  <c r="H20" i="10"/>
  <c r="J38" i="1" l="1"/>
  <c r="J38" i="10"/>
  <c r="I36" i="1"/>
  <c r="I36" i="10"/>
  <c r="G17" i="1"/>
  <c r="H17" i="1"/>
  <c r="G17" i="12"/>
  <c r="G32" i="12" s="1"/>
  <c r="H17" i="12"/>
  <c r="H32" i="12" s="1"/>
  <c r="G17" i="10"/>
  <c r="H17" i="10"/>
  <c r="G16" i="1"/>
  <c r="H16" i="1"/>
  <c r="G16" i="12"/>
  <c r="H16" i="12"/>
  <c r="G16" i="10"/>
  <c r="H16" i="10"/>
  <c r="G6" i="1"/>
  <c r="H6" i="1"/>
  <c r="G6" i="12"/>
  <c r="H6" i="12"/>
  <c r="G6" i="10"/>
  <c r="H6" i="10"/>
  <c r="G33" i="12" l="1"/>
  <c r="G36" i="12" s="1"/>
  <c r="G38" i="12" s="1"/>
  <c r="H33" i="12"/>
  <c r="H36" i="12" s="1"/>
  <c r="H38" i="12" s="1"/>
  <c r="I38" i="1"/>
  <c r="I38" i="10"/>
  <c r="G12" i="12"/>
  <c r="G32" i="1"/>
  <c r="H32" i="1"/>
  <c r="H12" i="1"/>
  <c r="H32" i="10"/>
  <c r="G32" i="10"/>
  <c r="G33" i="10"/>
  <c r="H33" i="10"/>
  <c r="H12" i="12"/>
  <c r="G33" i="1"/>
  <c r="H33" i="1"/>
  <c r="G12" i="1"/>
  <c r="H12" i="10"/>
  <c r="G12" i="10"/>
  <c r="H36" i="1" l="1"/>
  <c r="G36" i="1"/>
  <c r="G36" i="10"/>
  <c r="H36" i="10"/>
  <c r="H38" i="1" l="1"/>
  <c r="G38" i="1"/>
  <c r="H38" i="10"/>
  <c r="G38" i="10"/>
  <c r="C35" i="12" l="1"/>
  <c r="C34" i="12"/>
  <c r="C37" i="12"/>
  <c r="C37" i="1"/>
  <c r="C20" i="12" l="1"/>
  <c r="F17" i="12"/>
  <c r="F32" i="12" s="1"/>
  <c r="E17" i="12"/>
  <c r="E32" i="12" s="1"/>
  <c r="D17" i="12"/>
  <c r="D32" i="12" s="1"/>
  <c r="C17" i="12"/>
  <c r="F16" i="12"/>
  <c r="E16" i="12"/>
  <c r="D16" i="12"/>
  <c r="C16" i="12"/>
  <c r="F6" i="12"/>
  <c r="E6" i="12"/>
  <c r="D6" i="12"/>
  <c r="C6" i="12"/>
  <c r="C20" i="1"/>
  <c r="F17" i="1"/>
  <c r="E17" i="1"/>
  <c r="D17" i="1"/>
  <c r="C17" i="1"/>
  <c r="F16" i="1"/>
  <c r="E16" i="1"/>
  <c r="D16" i="1"/>
  <c r="C16" i="1"/>
  <c r="F6" i="1"/>
  <c r="E6" i="1"/>
  <c r="D6" i="1"/>
  <c r="C6" i="1"/>
  <c r="F17" i="10"/>
  <c r="F16" i="10"/>
  <c r="F6" i="10"/>
  <c r="C20" i="10"/>
  <c r="E17" i="10"/>
  <c r="D17" i="10"/>
  <c r="C17" i="10"/>
  <c r="E16" i="10"/>
  <c r="D16" i="10"/>
  <c r="C16" i="10"/>
  <c r="E6" i="10"/>
  <c r="D6" i="10"/>
  <c r="C6" i="10"/>
  <c r="E33" i="12" l="1"/>
  <c r="E36" i="12" s="1"/>
  <c r="E38" i="12" s="1"/>
  <c r="F33" i="12"/>
  <c r="F36" i="12" s="1"/>
  <c r="F38" i="12" s="1"/>
  <c r="D33" i="12"/>
  <c r="D36" i="12" s="1"/>
  <c r="D38" i="12" s="1"/>
  <c r="C32" i="1"/>
  <c r="C33" i="12"/>
  <c r="C32" i="12"/>
  <c r="E12" i="12"/>
  <c r="D32" i="1"/>
  <c r="F32" i="1"/>
  <c r="E32" i="1"/>
  <c r="C33" i="1"/>
  <c r="D33" i="1"/>
  <c r="E33" i="1"/>
  <c r="F33" i="1"/>
  <c r="C12" i="10"/>
  <c r="F33" i="10"/>
  <c r="F32" i="10"/>
  <c r="D33" i="10"/>
  <c r="F12" i="10"/>
  <c r="C12" i="12"/>
  <c r="D12" i="12"/>
  <c r="F12" i="12"/>
  <c r="D12" i="1"/>
  <c r="C12" i="1"/>
  <c r="E12" i="1"/>
  <c r="F12" i="1"/>
  <c r="D12" i="10"/>
  <c r="C33" i="10"/>
  <c r="D32" i="10"/>
  <c r="E32" i="10"/>
  <c r="E33" i="10"/>
  <c r="C32" i="10"/>
  <c r="E12" i="10"/>
  <c r="C36" i="12" l="1"/>
  <c r="C36" i="1"/>
  <c r="C38" i="1" s="1"/>
  <c r="E36" i="1"/>
  <c r="D36" i="1"/>
  <c r="F36" i="1"/>
  <c r="D36" i="10"/>
  <c r="F36" i="10"/>
  <c r="C36" i="10"/>
  <c r="E36" i="10"/>
  <c r="E38" i="1" l="1"/>
  <c r="F38" i="1"/>
  <c r="D38" i="1"/>
  <c r="C38" i="12"/>
  <c r="D38" i="10"/>
  <c r="E38" i="10"/>
  <c r="F38" i="10"/>
  <c r="C38" i="10"/>
</calcChain>
</file>

<file path=xl/sharedStrings.xml><?xml version="1.0" encoding="utf-8"?>
<sst xmlns="http://schemas.openxmlformats.org/spreadsheetml/2006/main" count="284" uniqueCount="77">
  <si>
    <t>S.No.</t>
  </si>
  <si>
    <t>Item</t>
  </si>
  <si>
    <t>Agriculture, forestry and fishing</t>
  </si>
  <si>
    <t>Mining and quarrying</t>
  </si>
  <si>
    <t>Manufacturing</t>
  </si>
  <si>
    <t>Electricity, gas, water supply &amp; other utility services</t>
  </si>
  <si>
    <t>Construction</t>
  </si>
  <si>
    <t>Trade, repair, hotels and restaurants</t>
  </si>
  <si>
    <t>Trade &amp; repair services</t>
  </si>
  <si>
    <t>Hotels &amp; restaurants</t>
  </si>
  <si>
    <t>Transport, storage, communication &amp; services related to broadcasting</t>
  </si>
  <si>
    <t>Railways</t>
  </si>
  <si>
    <t>Road transport</t>
  </si>
  <si>
    <t>Water transport</t>
  </si>
  <si>
    <t>Air transport</t>
  </si>
  <si>
    <t>Services incidental to transport</t>
  </si>
  <si>
    <t>Storage</t>
  </si>
  <si>
    <t>Communication &amp; services related to broadcasting</t>
  </si>
  <si>
    <t>Financial services</t>
  </si>
  <si>
    <t>Real estate, ownership of dwelling &amp; professional services</t>
  </si>
  <si>
    <t>Other services</t>
  </si>
  <si>
    <t>2011-12</t>
  </si>
  <si>
    <t>2012-13</t>
  </si>
  <si>
    <t>2013-14</t>
  </si>
  <si>
    <t>Subsidies on products</t>
  </si>
  <si>
    <t>Taxes on Products</t>
  </si>
  <si>
    <t>1.</t>
  </si>
  <si>
    <t>12.</t>
  </si>
  <si>
    <t>Primary</t>
  </si>
  <si>
    <t>Secondary</t>
  </si>
  <si>
    <t>Tertiary</t>
  </si>
  <si>
    <r>
      <t>2.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</si>
  <si>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3.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</si>
  <si>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4.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</si>
  <si>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5.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</si>
  <si>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6.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</si>
  <si>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7.</t>
    </r>
    <r>
      <rPr>
        <sz val="7"/>
        <rFont val="Times New Roman"/>
        <family val="1"/>
      </rPr>
      <t xml:space="preserve">      </t>
    </r>
    <r>
      <rPr>
        <sz val="11"/>
        <rFont val="Times New Roman"/>
        <family val="1"/>
      </rPr>
      <t> </t>
    </r>
  </si>
  <si>
    <r>
      <t>8.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</si>
  <si>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9.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</si>
  <si>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10.</t>
    </r>
    <r>
      <rPr>
        <sz val="7"/>
        <rFont val="Times New Roman"/>
        <family val="1"/>
      </rPr>
      <t xml:space="preserve">  </t>
    </r>
    <r>
      <rPr>
        <sz val="12"/>
        <rFont val="Times New Roman"/>
        <family val="1"/>
      </rPr>
      <t> </t>
    </r>
  </si>
  <si>
    <r>
      <t>11.</t>
    </r>
    <r>
      <rPr>
        <sz val="7"/>
        <rFont val="Times New Roman"/>
        <family val="1"/>
      </rPr>
      <t xml:space="preserve">  </t>
    </r>
    <r>
      <rPr>
        <sz val="12"/>
        <rFont val="Times New Roman"/>
        <family val="1"/>
      </rPr>
      <t> </t>
    </r>
  </si>
  <si>
    <t>TOTAL GSVA at basic prices</t>
  </si>
  <si>
    <t>Population ('00)</t>
  </si>
  <si>
    <t>13.</t>
  </si>
  <si>
    <t>14.</t>
  </si>
  <si>
    <t>15.</t>
  </si>
  <si>
    <t>16.</t>
  </si>
  <si>
    <t>17.</t>
  </si>
  <si>
    <t>Gross State Value Added by economic activity at current prices</t>
  </si>
  <si>
    <t>Gross State Value Added by economic activity at constant (2011-12) prices</t>
  </si>
  <si>
    <t>Net State Value Added by economic activity at current prices</t>
  </si>
  <si>
    <t>TOTAL NSVA at basic prices</t>
  </si>
  <si>
    <t>Net State Value Added by economic activity at constant (2011-12) prices</t>
  </si>
  <si>
    <t>State :</t>
  </si>
  <si>
    <t>Public administration</t>
  </si>
  <si>
    <t>Gross State Domestic Product</t>
  </si>
  <si>
    <t>2014-15</t>
  </si>
  <si>
    <t>(Rs. in lakh)</t>
  </si>
  <si>
    <t>Per Capita GSDP (Rs.)</t>
  </si>
  <si>
    <t>Crops</t>
  </si>
  <si>
    <t>Livestock</t>
  </si>
  <si>
    <t>Forestry and logging</t>
  </si>
  <si>
    <t>Fishing and aquaculture</t>
  </si>
  <si>
    <t>Net State Domestic Product</t>
  </si>
  <si>
    <t>Per Capita NSDP (Rs.)</t>
  </si>
  <si>
    <t>2015-16</t>
  </si>
  <si>
    <t>Himachal Pradesh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</si>
  <si>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</si>
  <si>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</si>
  <si>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</si>
  <si>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</si>
  <si>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</si>
  <si>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</si>
  <si>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</si>
  <si>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</si>
  <si>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Source:  Directorate of Economics &amp; Statistics of respective State Governments.</t>
  </si>
  <si>
    <t>2024-25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</si>
</sst>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8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7"/>
      <name val="Times New Roman"/>
      <family val="1"/>
    </font>
    <font>
      <sz val="11"/>
      <name val="Times New Roman"/>
      <family val="1"/>
    </font>
    <font>
      <b/>
      <i/>
      <sz val="11"/>
      <name val="Calibri"/>
      <family val="2"/>
      <scheme val="minor"/>
    </font>
    <font>
      <b/>
      <sz val="14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30">
    <xf numFmtId="0" fontId="0" fillId="0" borderId="0"/>
    <xf numFmtId="0" fontId="1" fillId="0" borderId="0"/>
    <xf numFmtId="0" fontId="2" fillId="0" borderId="0"/>
    <xf numFmtId="0" fontId="3" fillId="0" borderId="0"/>
    <xf numFmtId="0" fontId="5" fillId="0" borderId="0"/>
    <xf numFmtId="0" fontId="4" fillId="0" borderId="0"/>
    <xf numFmtId="0" fontId="5" fillId="0" borderId="0"/>
    <xf numFmtId="0" fontId="4" fillId="2" borderId="2" applyNumberFormat="0" applyFont="0" applyAlignment="0" applyProtection="0"/>
    <xf numFmtId="0" fontId="5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7" fillId="2" borderId="2" applyNumberFormat="0" applyFont="0" applyAlignment="0" applyProtection="0"/>
    <xf numFmtId="0" fontId="8" fillId="0" borderId="0"/>
    <xf numFmtId="164" fontId="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4" fontId="4" fillId="0" borderId="0" applyFont="0" applyFill="0" applyBorder="0" applyAlignment="0" applyProtection="0"/>
    <xf numFmtId="0" fontId="3" fillId="0" borderId="0"/>
  </cellStyleXfs>
  <cellXfs count="43">
    <xf numFmtId="0" fontId="0" fillId="0" borderId="0" xfId="0"/>
    <xf numFmtId="0" fontId="6" fillId="0" borderId="0" xfId="0" applyFont="1"/>
    <xf numFmtId="0" fontId="6" fillId="0" borderId="0" xfId="0" applyFont="1" applyProtection="1">
      <protection locked="0"/>
    </xf>
    <xf numFmtId="1" fontId="6" fillId="0" borderId="0" xfId="0" applyNumberFormat="1" applyFont="1"/>
    <xf numFmtId="1" fontId="6" fillId="0" borderId="0" xfId="0" applyNumberFormat="1" applyFont="1" applyProtection="1">
      <protection locked="0"/>
    </xf>
    <xf numFmtId="1" fontId="9" fillId="0" borderId="0" xfId="0" applyNumberFormat="1" applyFont="1" applyProtection="1">
      <protection locked="0"/>
    </xf>
    <xf numFmtId="0" fontId="15" fillId="0" borderId="0" xfId="0" applyFont="1" applyProtection="1">
      <protection locked="0"/>
    </xf>
    <xf numFmtId="0" fontId="10" fillId="0" borderId="0" xfId="0" applyFont="1" applyAlignment="1">
      <alignment horizontal="left" vertical="center"/>
    </xf>
    <xf numFmtId="0" fontId="6" fillId="0" borderId="0" xfId="0" quotePrefix="1" applyFont="1" applyProtection="1">
      <protection locked="0"/>
    </xf>
    <xf numFmtId="1" fontId="16" fillId="0" borderId="1" xfId="0" applyNumberFormat="1" applyFont="1" applyBorder="1"/>
    <xf numFmtId="1" fontId="17" fillId="0" borderId="1" xfId="0" applyNumberFormat="1" applyFont="1" applyBorder="1"/>
    <xf numFmtId="49" fontId="10" fillId="0" borderId="1" xfId="0" applyNumberFormat="1" applyFont="1" applyBorder="1" applyAlignment="1" applyProtection="1">
      <alignment vertical="center" wrapText="1"/>
      <protection locked="0"/>
    </xf>
    <xf numFmtId="0" fontId="10" fillId="0" borderId="1" xfId="0" applyFont="1" applyBorder="1" applyAlignment="1" applyProtection="1">
      <alignment vertical="center" wrapText="1"/>
      <protection locked="0"/>
    </xf>
    <xf numFmtId="0" fontId="6" fillId="0" borderId="1" xfId="0" applyFont="1" applyBorder="1" applyProtection="1">
      <protection locked="0"/>
    </xf>
    <xf numFmtId="0" fontId="6" fillId="0" borderId="1" xfId="0" applyFont="1" applyBorder="1"/>
    <xf numFmtId="1" fontId="6" fillId="0" borderId="1" xfId="0" applyNumberFormat="1" applyFont="1" applyBorder="1"/>
    <xf numFmtId="49" fontId="11" fillId="0" borderId="1" xfId="0" applyNumberFormat="1" applyFont="1" applyBorder="1" applyAlignment="1" applyProtection="1">
      <alignment horizontal="right" vertical="center" wrapText="1"/>
      <protection locked="0"/>
    </xf>
    <xf numFmtId="0" fontId="6" fillId="0" borderId="1" xfId="0" applyFont="1" applyBorder="1" applyAlignment="1" applyProtection="1">
      <alignment horizontal="left" vertical="center" wrapText="1"/>
      <protection locked="0"/>
    </xf>
    <xf numFmtId="49" fontId="11" fillId="0" borderId="1" xfId="0" applyNumberFormat="1" applyFont="1" applyBorder="1" applyAlignment="1" applyProtection="1">
      <alignment vertical="center" wrapText="1"/>
      <protection locked="0"/>
    </xf>
    <xf numFmtId="49" fontId="13" fillId="0" borderId="1" xfId="0" applyNumberFormat="1" applyFont="1" applyBorder="1" applyAlignment="1">
      <alignment vertical="center" wrapText="1"/>
    </xf>
    <xf numFmtId="0" fontId="6" fillId="0" borderId="1" xfId="0" applyFont="1" applyBorder="1" applyAlignment="1">
      <alignment horizontal="left" vertical="top" wrapText="1"/>
    </xf>
    <xf numFmtId="49" fontId="11" fillId="0" borderId="1" xfId="0" quotePrefix="1" applyNumberFormat="1" applyFont="1" applyBorder="1" applyAlignment="1">
      <alignment vertical="center" wrapText="1"/>
    </xf>
    <xf numFmtId="0" fontId="6" fillId="0" borderId="1" xfId="0" applyFont="1" applyBorder="1" applyAlignment="1" applyProtection="1">
      <alignment vertical="center" wrapText="1"/>
      <protection locked="0"/>
    </xf>
    <xf numFmtId="49" fontId="11" fillId="3" borderId="1" xfId="0" applyNumberFormat="1" applyFont="1" applyFill="1" applyBorder="1" applyAlignment="1">
      <alignment vertical="center" wrapText="1"/>
    </xf>
    <xf numFmtId="0" fontId="6" fillId="3" borderId="1" xfId="0" applyFont="1" applyFill="1" applyBorder="1" applyAlignment="1">
      <alignment horizontal="left" vertical="center" wrapText="1"/>
    </xf>
    <xf numFmtId="1" fontId="6" fillId="3" borderId="1" xfId="0" applyNumberFormat="1" applyFont="1" applyFill="1" applyBorder="1"/>
    <xf numFmtId="1" fontId="6" fillId="3" borderId="0" xfId="0" applyNumberFormat="1" applyFont="1" applyFill="1"/>
    <xf numFmtId="0" fontId="6" fillId="3" borderId="0" xfId="0" applyFont="1" applyFill="1"/>
    <xf numFmtId="0" fontId="6" fillId="3" borderId="0" xfId="0" applyFont="1" applyFill="1" applyProtection="1">
      <protection locked="0"/>
    </xf>
    <xf numFmtId="49" fontId="11" fillId="3" borderId="1" xfId="0" applyNumberFormat="1" applyFont="1" applyFill="1" applyBorder="1" applyAlignment="1" applyProtection="1">
      <alignment vertical="center" wrapText="1"/>
      <protection locked="0"/>
    </xf>
    <xf numFmtId="0" fontId="14" fillId="3" borderId="1" xfId="0" applyFont="1" applyFill="1" applyBorder="1" applyAlignment="1" applyProtection="1">
      <alignment horizontal="left" vertical="center" wrapText="1"/>
      <protection locked="0"/>
    </xf>
    <xf numFmtId="1" fontId="6" fillId="3" borderId="1" xfId="0" applyNumberFormat="1" applyFont="1" applyFill="1" applyBorder="1" applyProtection="1">
      <protection locked="0"/>
    </xf>
    <xf numFmtId="1" fontId="6" fillId="3" borderId="0" xfId="0" applyNumberFormat="1" applyFont="1" applyFill="1" applyProtection="1">
      <protection locked="0"/>
    </xf>
    <xf numFmtId="0" fontId="9" fillId="3" borderId="1" xfId="0" applyFont="1" applyFill="1" applyBorder="1" applyAlignment="1">
      <alignment horizontal="left" vertical="center" wrapText="1"/>
    </xf>
    <xf numFmtId="49" fontId="11" fillId="3" borderId="1" xfId="0" quotePrefix="1" applyNumberFormat="1" applyFont="1" applyFill="1" applyBorder="1" applyAlignment="1">
      <alignment vertical="center" wrapText="1"/>
    </xf>
    <xf numFmtId="0" fontId="6" fillId="3" borderId="1" xfId="0" applyFont="1" applyFill="1" applyBorder="1" applyAlignment="1" applyProtection="1">
      <alignment vertical="center" wrapText="1"/>
      <protection locked="0"/>
    </xf>
    <xf numFmtId="0" fontId="6" fillId="3" borderId="1" xfId="0" applyFont="1" applyFill="1" applyBorder="1" applyProtection="1">
      <protection locked="0"/>
    </xf>
    <xf numFmtId="1" fontId="16" fillId="0" borderId="0" xfId="0" applyNumberFormat="1" applyFont="1"/>
    <xf numFmtId="1" fontId="17" fillId="0" borderId="0" xfId="0" applyNumberFormat="1" applyFont="1"/>
    <xf numFmtId="49" fontId="11" fillId="0" borderId="1" xfId="0" applyNumberFormat="1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49" fontId="13" fillId="3" borderId="1" xfId="0" applyNumberFormat="1" applyFont="1" applyFill="1" applyBorder="1" applyAlignment="1">
      <alignment vertical="center" wrapText="1"/>
    </xf>
    <xf numFmtId="0" fontId="6" fillId="3" borderId="1" xfId="0" applyFont="1" applyFill="1" applyBorder="1" applyAlignment="1">
      <alignment horizontal="left" vertical="top" wrapText="1"/>
    </xf>
  </cellXfs>
  <cellStyles count="530">
    <cellStyle name="Comma 2" xfId="15" xr:uid="{00000000-0005-0000-0000-000000000000}"/>
    <cellStyle name="Comma 2 2" xfId="528" xr:uid="{00000000-0005-0000-0000-000001000000}"/>
    <cellStyle name="Normal" xfId="0" builtinId="0"/>
    <cellStyle name="Normal 2" xfId="2" xr:uid="{00000000-0005-0000-0000-000003000000}"/>
    <cellStyle name="Normal 2 2" xfId="8" xr:uid="{00000000-0005-0000-0000-000004000000}"/>
    <cellStyle name="Normal 2 2 2" xfId="10" xr:uid="{00000000-0005-0000-0000-000005000000}"/>
    <cellStyle name="Normal 2 2 3" xfId="18" xr:uid="{00000000-0005-0000-0000-000006000000}"/>
    <cellStyle name="Normal 2 3" xfId="5" xr:uid="{00000000-0005-0000-0000-000007000000}"/>
    <cellStyle name="Normal 2 3 2" xfId="529" xr:uid="{00000000-0005-0000-0000-000008000000}"/>
    <cellStyle name="Normal 2 4" xfId="9" xr:uid="{00000000-0005-0000-0000-000009000000}"/>
    <cellStyle name="Normal 2 4 2" xfId="17" xr:uid="{00000000-0005-0000-0000-00000A000000}"/>
    <cellStyle name="Normal 3" xfId="1" xr:uid="{00000000-0005-0000-0000-00000B000000}"/>
    <cellStyle name="Normal 3 2" xfId="6" xr:uid="{00000000-0005-0000-0000-00000C000000}"/>
    <cellStyle name="Normal 3 2 2" xfId="11" xr:uid="{00000000-0005-0000-0000-00000D000000}"/>
    <cellStyle name="Normal 3 3" xfId="16" xr:uid="{00000000-0005-0000-0000-00000E000000}"/>
    <cellStyle name="Normal 4" xfId="3" xr:uid="{00000000-0005-0000-0000-00000F000000}"/>
    <cellStyle name="Normal 5" xfId="4" xr:uid="{00000000-0005-0000-0000-000010000000}"/>
    <cellStyle name="Normal 5 2" xfId="12" xr:uid="{00000000-0005-0000-0000-000011000000}"/>
    <cellStyle name="Normal 6" xfId="14" xr:uid="{00000000-0005-0000-0000-000012000000}"/>
    <cellStyle name="Note 2" xfId="7" xr:uid="{00000000-0005-0000-0000-000013000000}"/>
    <cellStyle name="Note 2 2" xfId="13" xr:uid="{00000000-0005-0000-0000-000014000000}"/>
    <cellStyle name="style1405592468105" xfId="19" xr:uid="{00000000-0005-0000-0000-000015000000}"/>
    <cellStyle name="style1405593752700" xfId="20" xr:uid="{00000000-0005-0000-0000-000016000000}"/>
    <cellStyle name="style1406113848636" xfId="21" xr:uid="{00000000-0005-0000-0000-000017000000}"/>
    <cellStyle name="style1406113848741" xfId="22" xr:uid="{00000000-0005-0000-0000-000018000000}"/>
    <cellStyle name="style1406113848796" xfId="23" xr:uid="{00000000-0005-0000-0000-000019000000}"/>
    <cellStyle name="style1406113848827" xfId="24" xr:uid="{00000000-0005-0000-0000-00001A000000}"/>
    <cellStyle name="style1406113848859" xfId="25" xr:uid="{00000000-0005-0000-0000-00001B000000}"/>
    <cellStyle name="style1406113848891" xfId="26" xr:uid="{00000000-0005-0000-0000-00001C000000}"/>
    <cellStyle name="style1406113848925" xfId="27" xr:uid="{00000000-0005-0000-0000-00001D000000}"/>
    <cellStyle name="style1406113848965" xfId="28" xr:uid="{00000000-0005-0000-0000-00001E000000}"/>
    <cellStyle name="style1406113848998" xfId="29" xr:uid="{00000000-0005-0000-0000-00001F000000}"/>
    <cellStyle name="style1406113849028" xfId="30" xr:uid="{00000000-0005-0000-0000-000020000000}"/>
    <cellStyle name="style1406113849058" xfId="31" xr:uid="{00000000-0005-0000-0000-000021000000}"/>
    <cellStyle name="style1406113849090" xfId="32" xr:uid="{00000000-0005-0000-0000-000022000000}"/>
    <cellStyle name="style1406113849117" xfId="33" xr:uid="{00000000-0005-0000-0000-000023000000}"/>
    <cellStyle name="style1406113849144" xfId="34" xr:uid="{00000000-0005-0000-0000-000024000000}"/>
    <cellStyle name="style1406113849183" xfId="35" xr:uid="{00000000-0005-0000-0000-000025000000}"/>
    <cellStyle name="style1406113849217" xfId="36" xr:uid="{00000000-0005-0000-0000-000026000000}"/>
    <cellStyle name="style1406113849255" xfId="37" xr:uid="{00000000-0005-0000-0000-000027000000}"/>
    <cellStyle name="style1406113849284" xfId="38" xr:uid="{00000000-0005-0000-0000-000028000000}"/>
    <cellStyle name="style1406113849311" xfId="39" xr:uid="{00000000-0005-0000-0000-000029000000}"/>
    <cellStyle name="style1406113849339" xfId="40" xr:uid="{00000000-0005-0000-0000-00002A000000}"/>
    <cellStyle name="style1406113849367" xfId="41" xr:uid="{00000000-0005-0000-0000-00002B000000}"/>
    <cellStyle name="style1406113849389" xfId="42" xr:uid="{00000000-0005-0000-0000-00002C000000}"/>
    <cellStyle name="style1406113849413" xfId="43" xr:uid="{00000000-0005-0000-0000-00002D000000}"/>
    <cellStyle name="style1406113849558" xfId="44" xr:uid="{00000000-0005-0000-0000-00002E000000}"/>
    <cellStyle name="style1406113849582" xfId="45" xr:uid="{00000000-0005-0000-0000-00002F000000}"/>
    <cellStyle name="style1406113849605" xfId="46" xr:uid="{00000000-0005-0000-0000-000030000000}"/>
    <cellStyle name="style1406113849630" xfId="47" xr:uid="{00000000-0005-0000-0000-000031000000}"/>
    <cellStyle name="style1406113849653" xfId="48" xr:uid="{00000000-0005-0000-0000-000032000000}"/>
    <cellStyle name="style1406113849674" xfId="49" xr:uid="{00000000-0005-0000-0000-000033000000}"/>
    <cellStyle name="style1406113849701" xfId="50" xr:uid="{00000000-0005-0000-0000-000034000000}"/>
    <cellStyle name="style1406113849728" xfId="51" xr:uid="{00000000-0005-0000-0000-000035000000}"/>
    <cellStyle name="style1406113849754" xfId="52" xr:uid="{00000000-0005-0000-0000-000036000000}"/>
    <cellStyle name="style1406113849781" xfId="53" xr:uid="{00000000-0005-0000-0000-000037000000}"/>
    <cellStyle name="style1406113849808" xfId="54" xr:uid="{00000000-0005-0000-0000-000038000000}"/>
    <cellStyle name="style1406113849835" xfId="55" xr:uid="{00000000-0005-0000-0000-000039000000}"/>
    <cellStyle name="style1406113849856" xfId="56" xr:uid="{00000000-0005-0000-0000-00003A000000}"/>
    <cellStyle name="style1406113849876" xfId="57" xr:uid="{00000000-0005-0000-0000-00003B000000}"/>
    <cellStyle name="style1406113849898" xfId="58" xr:uid="{00000000-0005-0000-0000-00003C000000}"/>
    <cellStyle name="style1406113849921" xfId="59" xr:uid="{00000000-0005-0000-0000-00003D000000}"/>
    <cellStyle name="style1406113849947" xfId="60" xr:uid="{00000000-0005-0000-0000-00003E000000}"/>
    <cellStyle name="style1406113849975" xfId="61" xr:uid="{00000000-0005-0000-0000-00003F000000}"/>
    <cellStyle name="style1406113850004" xfId="62" xr:uid="{00000000-0005-0000-0000-000040000000}"/>
    <cellStyle name="style1406113850027" xfId="63" xr:uid="{00000000-0005-0000-0000-000041000000}"/>
    <cellStyle name="style1406113850054" xfId="64" xr:uid="{00000000-0005-0000-0000-000042000000}"/>
    <cellStyle name="style1406113850081" xfId="65" xr:uid="{00000000-0005-0000-0000-000043000000}"/>
    <cellStyle name="style1406113850103" xfId="66" xr:uid="{00000000-0005-0000-0000-000044000000}"/>
    <cellStyle name="style1406113850129" xfId="67" xr:uid="{00000000-0005-0000-0000-000045000000}"/>
    <cellStyle name="style1406113850156" xfId="68" xr:uid="{00000000-0005-0000-0000-000046000000}"/>
    <cellStyle name="style1406113850182" xfId="69" xr:uid="{00000000-0005-0000-0000-000047000000}"/>
    <cellStyle name="style1406113850203" xfId="70" xr:uid="{00000000-0005-0000-0000-000048000000}"/>
    <cellStyle name="style1406113850224" xfId="71" xr:uid="{00000000-0005-0000-0000-000049000000}"/>
    <cellStyle name="style1406113850258" xfId="72" xr:uid="{00000000-0005-0000-0000-00004A000000}"/>
    <cellStyle name="style1406113850331" xfId="73" xr:uid="{00000000-0005-0000-0000-00004B000000}"/>
    <cellStyle name="style1406113850358" xfId="74" xr:uid="{00000000-0005-0000-0000-00004C000000}"/>
    <cellStyle name="style1406113850380" xfId="75" xr:uid="{00000000-0005-0000-0000-00004D000000}"/>
    <cellStyle name="style1406113850409" xfId="76" xr:uid="{00000000-0005-0000-0000-00004E000000}"/>
    <cellStyle name="style1406113850431" xfId="77" xr:uid="{00000000-0005-0000-0000-00004F000000}"/>
    <cellStyle name="style1406113850452" xfId="78" xr:uid="{00000000-0005-0000-0000-000050000000}"/>
    <cellStyle name="style1406113850474" xfId="79" xr:uid="{00000000-0005-0000-0000-000051000000}"/>
    <cellStyle name="style1406113850501" xfId="80" xr:uid="{00000000-0005-0000-0000-000052000000}"/>
    <cellStyle name="style1406113850522" xfId="81" xr:uid="{00000000-0005-0000-0000-000053000000}"/>
    <cellStyle name="style1406113850542" xfId="82" xr:uid="{00000000-0005-0000-0000-000054000000}"/>
    <cellStyle name="style1406113850570" xfId="83" xr:uid="{00000000-0005-0000-0000-000055000000}"/>
    <cellStyle name="style1406113850591" xfId="84" xr:uid="{00000000-0005-0000-0000-000056000000}"/>
    <cellStyle name="style1406113850614" xfId="85" xr:uid="{00000000-0005-0000-0000-000057000000}"/>
    <cellStyle name="style1406113850636" xfId="86" xr:uid="{00000000-0005-0000-0000-000058000000}"/>
    <cellStyle name="style1406113850655" xfId="87" xr:uid="{00000000-0005-0000-0000-000059000000}"/>
    <cellStyle name="style1406113850674" xfId="88" xr:uid="{00000000-0005-0000-0000-00005A000000}"/>
    <cellStyle name="style1406113850723" xfId="89" xr:uid="{00000000-0005-0000-0000-00005B000000}"/>
    <cellStyle name="style1406113850767" xfId="90" xr:uid="{00000000-0005-0000-0000-00005C000000}"/>
    <cellStyle name="style1406113850816" xfId="91" xr:uid="{00000000-0005-0000-0000-00005D000000}"/>
    <cellStyle name="style1406114189185" xfId="92" xr:uid="{00000000-0005-0000-0000-00005E000000}"/>
    <cellStyle name="style1406114189213" xfId="93" xr:uid="{00000000-0005-0000-0000-00005F000000}"/>
    <cellStyle name="style1406114189239" xfId="94" xr:uid="{00000000-0005-0000-0000-000060000000}"/>
    <cellStyle name="style1406114189259" xfId="95" xr:uid="{00000000-0005-0000-0000-000061000000}"/>
    <cellStyle name="style1406114189283" xfId="96" xr:uid="{00000000-0005-0000-0000-000062000000}"/>
    <cellStyle name="style1406114189307" xfId="97" xr:uid="{00000000-0005-0000-0000-000063000000}"/>
    <cellStyle name="style1406114189331" xfId="98" xr:uid="{00000000-0005-0000-0000-000064000000}"/>
    <cellStyle name="style1406114189356" xfId="99" xr:uid="{00000000-0005-0000-0000-000065000000}"/>
    <cellStyle name="style1406114189382" xfId="100" xr:uid="{00000000-0005-0000-0000-000066000000}"/>
    <cellStyle name="style1406114189407" xfId="101" xr:uid="{00000000-0005-0000-0000-000067000000}"/>
    <cellStyle name="style1406114189432" xfId="102" xr:uid="{00000000-0005-0000-0000-000068000000}"/>
    <cellStyle name="style1406114189459" xfId="103" xr:uid="{00000000-0005-0000-0000-000069000000}"/>
    <cellStyle name="style1406114189481" xfId="104" xr:uid="{00000000-0005-0000-0000-00006A000000}"/>
    <cellStyle name="style1406114189505" xfId="105" xr:uid="{00000000-0005-0000-0000-00006B000000}"/>
    <cellStyle name="style1406114189535" xfId="106" xr:uid="{00000000-0005-0000-0000-00006C000000}"/>
    <cellStyle name="style1406114189560" xfId="107" xr:uid="{00000000-0005-0000-0000-00006D000000}"/>
    <cellStyle name="style1406114189585" xfId="108" xr:uid="{00000000-0005-0000-0000-00006E000000}"/>
    <cellStyle name="style1406114189616" xfId="109" xr:uid="{00000000-0005-0000-0000-00006F000000}"/>
    <cellStyle name="style1406114189644" xfId="110" xr:uid="{00000000-0005-0000-0000-000070000000}"/>
    <cellStyle name="style1406114189671" xfId="111" xr:uid="{00000000-0005-0000-0000-000071000000}"/>
    <cellStyle name="style1406114189696" xfId="112" xr:uid="{00000000-0005-0000-0000-000072000000}"/>
    <cellStyle name="style1406114189716" xfId="113" xr:uid="{00000000-0005-0000-0000-000073000000}"/>
    <cellStyle name="style1406114189736" xfId="114" xr:uid="{00000000-0005-0000-0000-000074000000}"/>
    <cellStyle name="style1406114189757" xfId="115" xr:uid="{00000000-0005-0000-0000-000075000000}"/>
    <cellStyle name="style1406114189778" xfId="116" xr:uid="{00000000-0005-0000-0000-000076000000}"/>
    <cellStyle name="style1406114189799" xfId="117" xr:uid="{00000000-0005-0000-0000-000077000000}"/>
    <cellStyle name="style1406114189820" xfId="118" xr:uid="{00000000-0005-0000-0000-000078000000}"/>
    <cellStyle name="style1406114189840" xfId="119" xr:uid="{00000000-0005-0000-0000-000079000000}"/>
    <cellStyle name="style1406114189860" xfId="120" xr:uid="{00000000-0005-0000-0000-00007A000000}"/>
    <cellStyle name="style1406114189886" xfId="121" xr:uid="{00000000-0005-0000-0000-00007B000000}"/>
    <cellStyle name="style1406114189911" xfId="122" xr:uid="{00000000-0005-0000-0000-00007C000000}"/>
    <cellStyle name="style1406114189990" xfId="123" xr:uid="{00000000-0005-0000-0000-00007D000000}"/>
    <cellStyle name="style1406114190017" xfId="124" xr:uid="{00000000-0005-0000-0000-00007E000000}"/>
    <cellStyle name="style1406114190044" xfId="125" xr:uid="{00000000-0005-0000-0000-00007F000000}"/>
    <cellStyle name="style1406114190069" xfId="126" xr:uid="{00000000-0005-0000-0000-000080000000}"/>
    <cellStyle name="style1406114190088" xfId="127" xr:uid="{00000000-0005-0000-0000-000081000000}"/>
    <cellStyle name="style1406114190108" xfId="128" xr:uid="{00000000-0005-0000-0000-000082000000}"/>
    <cellStyle name="style1406114190127" xfId="129" xr:uid="{00000000-0005-0000-0000-000083000000}"/>
    <cellStyle name="style1406114190148" xfId="130" xr:uid="{00000000-0005-0000-0000-000084000000}"/>
    <cellStyle name="style1406114190171" xfId="131" xr:uid="{00000000-0005-0000-0000-000085000000}"/>
    <cellStyle name="style1406114190195" xfId="132" xr:uid="{00000000-0005-0000-0000-000086000000}"/>
    <cellStyle name="style1406114190219" xfId="133" xr:uid="{00000000-0005-0000-0000-000087000000}"/>
    <cellStyle name="style1406114190238" xfId="134" xr:uid="{00000000-0005-0000-0000-000088000000}"/>
    <cellStyle name="style1406114190262" xfId="135" xr:uid="{00000000-0005-0000-0000-000089000000}"/>
    <cellStyle name="style1406114190285" xfId="136" xr:uid="{00000000-0005-0000-0000-00008A000000}"/>
    <cellStyle name="style1406114190303" xfId="137" xr:uid="{00000000-0005-0000-0000-00008B000000}"/>
    <cellStyle name="style1406114190327" xfId="138" xr:uid="{00000000-0005-0000-0000-00008C000000}"/>
    <cellStyle name="style1406114190351" xfId="139" xr:uid="{00000000-0005-0000-0000-00008D000000}"/>
    <cellStyle name="style1406114190375" xfId="140" xr:uid="{00000000-0005-0000-0000-00008E000000}"/>
    <cellStyle name="style1406114190395" xfId="141" xr:uid="{00000000-0005-0000-0000-00008F000000}"/>
    <cellStyle name="style1406114190415" xfId="142" xr:uid="{00000000-0005-0000-0000-000090000000}"/>
    <cellStyle name="style1406114190439" xfId="143" xr:uid="{00000000-0005-0000-0000-000091000000}"/>
    <cellStyle name="style1406114190464" xfId="144" xr:uid="{00000000-0005-0000-0000-000092000000}"/>
    <cellStyle name="style1406114190487" xfId="145" xr:uid="{00000000-0005-0000-0000-000093000000}"/>
    <cellStyle name="style1406114190507" xfId="146" xr:uid="{00000000-0005-0000-0000-000094000000}"/>
    <cellStyle name="style1406114190534" xfId="147" xr:uid="{00000000-0005-0000-0000-000095000000}"/>
    <cellStyle name="style1406114190553" xfId="148" xr:uid="{00000000-0005-0000-0000-000096000000}"/>
    <cellStyle name="style1406114190571" xfId="149" xr:uid="{00000000-0005-0000-0000-000097000000}"/>
    <cellStyle name="style1406114190588" xfId="150" xr:uid="{00000000-0005-0000-0000-000098000000}"/>
    <cellStyle name="style1406114190609" xfId="151" xr:uid="{00000000-0005-0000-0000-000099000000}"/>
    <cellStyle name="style1406114190628" xfId="152" xr:uid="{00000000-0005-0000-0000-00009A000000}"/>
    <cellStyle name="style1406114190647" xfId="153" xr:uid="{00000000-0005-0000-0000-00009B000000}"/>
    <cellStyle name="style1406114190666" xfId="154" xr:uid="{00000000-0005-0000-0000-00009C000000}"/>
    <cellStyle name="style1406114190687" xfId="155" xr:uid="{00000000-0005-0000-0000-00009D000000}"/>
    <cellStyle name="style1406114190844" xfId="156" xr:uid="{00000000-0005-0000-0000-00009E000000}"/>
    <cellStyle name="style1406114190863" xfId="157" xr:uid="{00000000-0005-0000-0000-00009F000000}"/>
    <cellStyle name="style1406114190881" xfId="158" xr:uid="{00000000-0005-0000-0000-0000A0000000}"/>
    <cellStyle name="style1406114190900" xfId="159" xr:uid="{00000000-0005-0000-0000-0000A1000000}"/>
    <cellStyle name="style1406114190959" xfId="160" xr:uid="{00000000-0005-0000-0000-0000A2000000}"/>
    <cellStyle name="style1406114191014" xfId="161" xr:uid="{00000000-0005-0000-0000-0000A3000000}"/>
    <cellStyle name="style1406114191303" xfId="162" xr:uid="{00000000-0005-0000-0000-0000A4000000}"/>
    <cellStyle name="style1406114191912" xfId="163" xr:uid="{00000000-0005-0000-0000-0000A5000000}"/>
    <cellStyle name="style1406114345186" xfId="164" xr:uid="{00000000-0005-0000-0000-0000A6000000}"/>
    <cellStyle name="style1406114345361" xfId="165" xr:uid="{00000000-0005-0000-0000-0000A7000000}"/>
    <cellStyle name="style1406114398523" xfId="166" xr:uid="{00000000-0005-0000-0000-0000A8000000}"/>
    <cellStyle name="style1406114398549" xfId="167" xr:uid="{00000000-0005-0000-0000-0000A9000000}"/>
    <cellStyle name="style1406114398571" xfId="168" xr:uid="{00000000-0005-0000-0000-0000AA000000}"/>
    <cellStyle name="style1406114398589" xfId="169" xr:uid="{00000000-0005-0000-0000-0000AB000000}"/>
    <cellStyle name="style1406114398610" xfId="170" xr:uid="{00000000-0005-0000-0000-0000AC000000}"/>
    <cellStyle name="style1406114398632" xfId="171" xr:uid="{00000000-0005-0000-0000-0000AD000000}"/>
    <cellStyle name="style1406114398654" xfId="172" xr:uid="{00000000-0005-0000-0000-0000AE000000}"/>
    <cellStyle name="style1406114398679" xfId="173" xr:uid="{00000000-0005-0000-0000-0000AF000000}"/>
    <cellStyle name="style1406114398703" xfId="174" xr:uid="{00000000-0005-0000-0000-0000B0000000}"/>
    <cellStyle name="style1406114398726" xfId="175" xr:uid="{00000000-0005-0000-0000-0000B1000000}"/>
    <cellStyle name="style1406114398750" xfId="176" xr:uid="{00000000-0005-0000-0000-0000B2000000}"/>
    <cellStyle name="style1406114398774" xfId="177" xr:uid="{00000000-0005-0000-0000-0000B3000000}"/>
    <cellStyle name="style1406114398792" xfId="178" xr:uid="{00000000-0005-0000-0000-0000B4000000}"/>
    <cellStyle name="style1406114398812" xfId="179" xr:uid="{00000000-0005-0000-0000-0000B5000000}"/>
    <cellStyle name="style1406114398835" xfId="180" xr:uid="{00000000-0005-0000-0000-0000B6000000}"/>
    <cellStyle name="style1406114398855" xfId="181" xr:uid="{00000000-0005-0000-0000-0000B7000000}"/>
    <cellStyle name="style1406114398880" xfId="182" xr:uid="{00000000-0005-0000-0000-0000B8000000}"/>
    <cellStyle name="style1406114398898" xfId="183" xr:uid="{00000000-0005-0000-0000-0000B9000000}"/>
    <cellStyle name="style1406114398922" xfId="184" xr:uid="{00000000-0005-0000-0000-0000BA000000}"/>
    <cellStyle name="style1406114398946" xfId="185" xr:uid="{00000000-0005-0000-0000-0000BB000000}"/>
    <cellStyle name="style1406114398972" xfId="186" xr:uid="{00000000-0005-0000-0000-0000BC000000}"/>
    <cellStyle name="style1406114398991" xfId="187" xr:uid="{00000000-0005-0000-0000-0000BD000000}"/>
    <cellStyle name="style1406114399009" xfId="188" xr:uid="{00000000-0005-0000-0000-0000BE000000}"/>
    <cellStyle name="style1406114399027" xfId="189" xr:uid="{00000000-0005-0000-0000-0000BF000000}"/>
    <cellStyle name="style1406114399044" xfId="190" xr:uid="{00000000-0005-0000-0000-0000C0000000}"/>
    <cellStyle name="style1406114399064" xfId="191" xr:uid="{00000000-0005-0000-0000-0000C1000000}"/>
    <cellStyle name="style1406114399083" xfId="192" xr:uid="{00000000-0005-0000-0000-0000C2000000}"/>
    <cellStyle name="style1406114399102" xfId="193" xr:uid="{00000000-0005-0000-0000-0000C3000000}"/>
    <cellStyle name="style1406114399120" xfId="194" xr:uid="{00000000-0005-0000-0000-0000C4000000}"/>
    <cellStyle name="style1406114399144" xfId="195" xr:uid="{00000000-0005-0000-0000-0000C5000000}"/>
    <cellStyle name="style1406114399167" xfId="196" xr:uid="{00000000-0005-0000-0000-0000C6000000}"/>
    <cellStyle name="style1406114399199" xfId="197" xr:uid="{00000000-0005-0000-0000-0000C7000000}"/>
    <cellStyle name="style1406114399226" xfId="198" xr:uid="{00000000-0005-0000-0000-0000C8000000}"/>
    <cellStyle name="style1406114399254" xfId="199" xr:uid="{00000000-0005-0000-0000-0000C9000000}"/>
    <cellStyle name="style1406114399277" xfId="200" xr:uid="{00000000-0005-0000-0000-0000CA000000}"/>
    <cellStyle name="style1406114399294" xfId="201" xr:uid="{00000000-0005-0000-0000-0000CB000000}"/>
    <cellStyle name="style1406114399311" xfId="202" xr:uid="{00000000-0005-0000-0000-0000CC000000}"/>
    <cellStyle name="style1406114399329" xfId="203" xr:uid="{00000000-0005-0000-0000-0000CD000000}"/>
    <cellStyle name="style1406114399348" xfId="204" xr:uid="{00000000-0005-0000-0000-0000CE000000}"/>
    <cellStyle name="style1406114399367" xfId="205" xr:uid="{00000000-0005-0000-0000-0000CF000000}"/>
    <cellStyle name="style1406114399389" xfId="206" xr:uid="{00000000-0005-0000-0000-0000D0000000}"/>
    <cellStyle name="style1406114399411" xfId="207" xr:uid="{00000000-0005-0000-0000-0000D1000000}"/>
    <cellStyle name="style1406114399490" xfId="208" xr:uid="{00000000-0005-0000-0000-0000D2000000}"/>
    <cellStyle name="style1406114399512" xfId="209" xr:uid="{00000000-0005-0000-0000-0000D3000000}"/>
    <cellStyle name="style1406114399534" xfId="210" xr:uid="{00000000-0005-0000-0000-0000D4000000}"/>
    <cellStyle name="style1406114399551" xfId="211" xr:uid="{00000000-0005-0000-0000-0000D5000000}"/>
    <cellStyle name="style1406114399576" xfId="212" xr:uid="{00000000-0005-0000-0000-0000D6000000}"/>
    <cellStyle name="style1406114399599" xfId="213" xr:uid="{00000000-0005-0000-0000-0000D7000000}"/>
    <cellStyle name="style1406114399622" xfId="214" xr:uid="{00000000-0005-0000-0000-0000D8000000}"/>
    <cellStyle name="style1406114399641" xfId="215" xr:uid="{00000000-0005-0000-0000-0000D9000000}"/>
    <cellStyle name="style1406114399662" xfId="216" xr:uid="{00000000-0005-0000-0000-0000DA000000}"/>
    <cellStyle name="style1406114399689" xfId="217" xr:uid="{00000000-0005-0000-0000-0000DB000000}"/>
    <cellStyle name="style1406114399716" xfId="218" xr:uid="{00000000-0005-0000-0000-0000DC000000}"/>
    <cellStyle name="style1406114399740" xfId="219" xr:uid="{00000000-0005-0000-0000-0000DD000000}"/>
    <cellStyle name="style1406114399758" xfId="220" xr:uid="{00000000-0005-0000-0000-0000DE000000}"/>
    <cellStyle name="style1406114399783" xfId="221" xr:uid="{00000000-0005-0000-0000-0000DF000000}"/>
    <cellStyle name="style1406114399802" xfId="222" xr:uid="{00000000-0005-0000-0000-0000E0000000}"/>
    <cellStyle name="style1406114399820" xfId="223" xr:uid="{00000000-0005-0000-0000-0000E1000000}"/>
    <cellStyle name="style1406114399839" xfId="224" xr:uid="{00000000-0005-0000-0000-0000E2000000}"/>
    <cellStyle name="style1406114399860" xfId="225" xr:uid="{00000000-0005-0000-0000-0000E3000000}"/>
    <cellStyle name="style1406114399878" xfId="226" xr:uid="{00000000-0005-0000-0000-0000E4000000}"/>
    <cellStyle name="style1406114399896" xfId="227" xr:uid="{00000000-0005-0000-0000-0000E5000000}"/>
    <cellStyle name="style1406114399914" xfId="228" xr:uid="{00000000-0005-0000-0000-0000E6000000}"/>
    <cellStyle name="style1406114399932" xfId="229" xr:uid="{00000000-0005-0000-0000-0000E7000000}"/>
    <cellStyle name="style1406114399951" xfId="230" xr:uid="{00000000-0005-0000-0000-0000E8000000}"/>
    <cellStyle name="style1406114399969" xfId="231" xr:uid="{00000000-0005-0000-0000-0000E9000000}"/>
    <cellStyle name="style1406114399987" xfId="232" xr:uid="{00000000-0005-0000-0000-0000EA000000}"/>
    <cellStyle name="style1406114400018" xfId="233" xr:uid="{00000000-0005-0000-0000-0000EB000000}"/>
    <cellStyle name="style1406114400104" xfId="234" xr:uid="{00000000-0005-0000-0000-0000EC000000}"/>
    <cellStyle name="style1406114400339" xfId="235" xr:uid="{00000000-0005-0000-0000-0000ED000000}"/>
    <cellStyle name="style1406114400806" xfId="236" xr:uid="{00000000-0005-0000-0000-0000EE000000}"/>
    <cellStyle name="style1406114440149" xfId="237" xr:uid="{00000000-0005-0000-0000-0000EF000000}"/>
    <cellStyle name="style1406114440175" xfId="238" xr:uid="{00000000-0005-0000-0000-0000F0000000}"/>
    <cellStyle name="style1406114440200" xfId="239" xr:uid="{00000000-0005-0000-0000-0000F1000000}"/>
    <cellStyle name="style1406114440219" xfId="240" xr:uid="{00000000-0005-0000-0000-0000F2000000}"/>
    <cellStyle name="style1406114440242" xfId="241" xr:uid="{00000000-0005-0000-0000-0000F3000000}"/>
    <cellStyle name="style1406114440265" xfId="242" xr:uid="{00000000-0005-0000-0000-0000F4000000}"/>
    <cellStyle name="style1406114440288" xfId="243" xr:uid="{00000000-0005-0000-0000-0000F5000000}"/>
    <cellStyle name="style1406114440311" xfId="244" xr:uid="{00000000-0005-0000-0000-0000F6000000}"/>
    <cellStyle name="style1406114440332" xfId="245" xr:uid="{00000000-0005-0000-0000-0000F7000000}"/>
    <cellStyle name="style1406114440354" xfId="246" xr:uid="{00000000-0005-0000-0000-0000F8000000}"/>
    <cellStyle name="style1406114440375" xfId="247" xr:uid="{00000000-0005-0000-0000-0000F9000000}"/>
    <cellStyle name="style1406114440396" xfId="248" xr:uid="{00000000-0005-0000-0000-0000FA000000}"/>
    <cellStyle name="style1406114440413" xfId="249" xr:uid="{00000000-0005-0000-0000-0000FB000000}"/>
    <cellStyle name="style1406114440430" xfId="250" xr:uid="{00000000-0005-0000-0000-0000FC000000}"/>
    <cellStyle name="style1406114440452" xfId="251" xr:uid="{00000000-0005-0000-0000-0000FD000000}"/>
    <cellStyle name="style1406114440470" xfId="252" xr:uid="{00000000-0005-0000-0000-0000FE000000}"/>
    <cellStyle name="style1406114440492" xfId="253" xr:uid="{00000000-0005-0000-0000-0000FF000000}"/>
    <cellStyle name="style1406114440509" xfId="254" xr:uid="{00000000-0005-0000-0000-000000010000}"/>
    <cellStyle name="style1406114440531" xfId="255" xr:uid="{00000000-0005-0000-0000-000001010000}"/>
    <cellStyle name="style1406114440552" xfId="256" xr:uid="{00000000-0005-0000-0000-000002010000}"/>
    <cellStyle name="style1406114440573" xfId="257" xr:uid="{00000000-0005-0000-0000-000003010000}"/>
    <cellStyle name="style1406114440590" xfId="258" xr:uid="{00000000-0005-0000-0000-000004010000}"/>
    <cellStyle name="style1406114440607" xfId="259" xr:uid="{00000000-0005-0000-0000-000005010000}"/>
    <cellStyle name="style1406114440624" xfId="260" xr:uid="{00000000-0005-0000-0000-000006010000}"/>
    <cellStyle name="style1406114440641" xfId="261" xr:uid="{00000000-0005-0000-0000-000007010000}"/>
    <cellStyle name="style1406114440657" xfId="262" xr:uid="{00000000-0005-0000-0000-000008010000}"/>
    <cellStyle name="style1406114440676" xfId="263" xr:uid="{00000000-0005-0000-0000-000009010000}"/>
    <cellStyle name="style1406114440693" xfId="264" xr:uid="{00000000-0005-0000-0000-00000A010000}"/>
    <cellStyle name="style1406114440711" xfId="265" xr:uid="{00000000-0005-0000-0000-00000B010000}"/>
    <cellStyle name="style1406114440733" xfId="266" xr:uid="{00000000-0005-0000-0000-00000C010000}"/>
    <cellStyle name="style1406114440756" xfId="267" xr:uid="{00000000-0005-0000-0000-00000D010000}"/>
    <cellStyle name="style1406114440778" xfId="268" xr:uid="{00000000-0005-0000-0000-00000E010000}"/>
    <cellStyle name="style1406114440801" xfId="269" xr:uid="{00000000-0005-0000-0000-00000F010000}"/>
    <cellStyle name="style1406114440831" xfId="270" xr:uid="{00000000-0005-0000-0000-000010010000}"/>
    <cellStyle name="style1406114440854" xfId="271" xr:uid="{00000000-0005-0000-0000-000011010000}"/>
    <cellStyle name="style1406114440871" xfId="272" xr:uid="{00000000-0005-0000-0000-000012010000}"/>
    <cellStyle name="style1406114440888" xfId="273" xr:uid="{00000000-0005-0000-0000-000013010000}"/>
    <cellStyle name="style1406114440905" xfId="274" xr:uid="{00000000-0005-0000-0000-000014010000}"/>
    <cellStyle name="style1406114440922" xfId="275" xr:uid="{00000000-0005-0000-0000-000015010000}"/>
    <cellStyle name="style1406114440941" xfId="276" xr:uid="{00000000-0005-0000-0000-000016010000}"/>
    <cellStyle name="style1406114440964" xfId="277" xr:uid="{00000000-0005-0000-0000-000017010000}"/>
    <cellStyle name="style1406114440986" xfId="278" xr:uid="{00000000-0005-0000-0000-000018010000}"/>
    <cellStyle name="style1406114441003" xfId="279" xr:uid="{00000000-0005-0000-0000-000019010000}"/>
    <cellStyle name="style1406114441024" xfId="280" xr:uid="{00000000-0005-0000-0000-00001A010000}"/>
    <cellStyle name="style1406114441046" xfId="281" xr:uid="{00000000-0005-0000-0000-00001B010000}"/>
    <cellStyle name="style1406114441063" xfId="282" xr:uid="{00000000-0005-0000-0000-00001C010000}"/>
    <cellStyle name="style1406114441085" xfId="283" xr:uid="{00000000-0005-0000-0000-00001D010000}"/>
    <cellStyle name="style1406114441106" xfId="284" xr:uid="{00000000-0005-0000-0000-00001E010000}"/>
    <cellStyle name="style1406114441127" xfId="285" xr:uid="{00000000-0005-0000-0000-00001F010000}"/>
    <cellStyle name="style1406114441144" xfId="286" xr:uid="{00000000-0005-0000-0000-000020010000}"/>
    <cellStyle name="style1406114441245" xfId="287" xr:uid="{00000000-0005-0000-0000-000021010000}"/>
    <cellStyle name="style1406114441267" xfId="288" xr:uid="{00000000-0005-0000-0000-000022010000}"/>
    <cellStyle name="style1406114441288" xfId="289" xr:uid="{00000000-0005-0000-0000-000023010000}"/>
    <cellStyle name="style1406114441309" xfId="290" xr:uid="{00000000-0005-0000-0000-000024010000}"/>
    <cellStyle name="style1406114441326" xfId="291" xr:uid="{00000000-0005-0000-0000-000025010000}"/>
    <cellStyle name="style1406114441350" xfId="292" xr:uid="{00000000-0005-0000-0000-000026010000}"/>
    <cellStyle name="style1406114441369" xfId="293" xr:uid="{00000000-0005-0000-0000-000027010000}"/>
    <cellStyle name="style1406114441387" xfId="294" xr:uid="{00000000-0005-0000-0000-000028010000}"/>
    <cellStyle name="style1406114441405" xfId="295" xr:uid="{00000000-0005-0000-0000-000029010000}"/>
    <cellStyle name="style1406114441425" xfId="296" xr:uid="{00000000-0005-0000-0000-00002A010000}"/>
    <cellStyle name="style1406114441444" xfId="297" xr:uid="{00000000-0005-0000-0000-00002B010000}"/>
    <cellStyle name="style1406114441462" xfId="298" xr:uid="{00000000-0005-0000-0000-00002C010000}"/>
    <cellStyle name="style1406114441479" xfId="299" xr:uid="{00000000-0005-0000-0000-00002D010000}"/>
    <cellStyle name="style1406114441496" xfId="300" xr:uid="{00000000-0005-0000-0000-00002E010000}"/>
    <cellStyle name="style1406114441514" xfId="301" xr:uid="{00000000-0005-0000-0000-00002F010000}"/>
    <cellStyle name="style1406114441532" xfId="302" xr:uid="{00000000-0005-0000-0000-000030010000}"/>
    <cellStyle name="style1406114441549" xfId="303" xr:uid="{00000000-0005-0000-0000-000031010000}"/>
    <cellStyle name="style1406114441566" xfId="304" xr:uid="{00000000-0005-0000-0000-000032010000}"/>
    <cellStyle name="style1406114441594" xfId="305" xr:uid="{00000000-0005-0000-0000-000033010000}"/>
    <cellStyle name="style1406114441626" xfId="306" xr:uid="{00000000-0005-0000-0000-000034010000}"/>
    <cellStyle name="style1406114442197" xfId="307" xr:uid="{00000000-0005-0000-0000-000035010000}"/>
    <cellStyle name="style1406114490232" xfId="308" xr:uid="{00000000-0005-0000-0000-000036010000}"/>
    <cellStyle name="style1406114490278" xfId="309" xr:uid="{00000000-0005-0000-0000-000037010000}"/>
    <cellStyle name="style1406114490860" xfId="310" xr:uid="{00000000-0005-0000-0000-000038010000}"/>
    <cellStyle name="style1406114491098" xfId="311" xr:uid="{00000000-0005-0000-0000-000039010000}"/>
    <cellStyle name="style1406114491204" xfId="312" xr:uid="{00000000-0005-0000-0000-00003A010000}"/>
    <cellStyle name="style1406114491528" xfId="313" xr:uid="{00000000-0005-0000-0000-00003B010000}"/>
    <cellStyle name="style1406114491549" xfId="314" xr:uid="{00000000-0005-0000-0000-00003C010000}"/>
    <cellStyle name="style1406114491606" xfId="315" xr:uid="{00000000-0005-0000-0000-00003D010000}"/>
    <cellStyle name="style1406114491677" xfId="316" xr:uid="{00000000-0005-0000-0000-00003E010000}"/>
    <cellStyle name="style1406182998088" xfId="317" xr:uid="{00000000-0005-0000-0000-00003F010000}"/>
    <cellStyle name="style1406182998186" xfId="318" xr:uid="{00000000-0005-0000-0000-000040010000}"/>
    <cellStyle name="style1406183036983" xfId="319" xr:uid="{00000000-0005-0000-0000-000041010000}"/>
    <cellStyle name="style1411446450504" xfId="320" xr:uid="{00000000-0005-0000-0000-000042010000}"/>
    <cellStyle name="style1411446450551" xfId="321" xr:uid="{00000000-0005-0000-0000-000043010000}"/>
    <cellStyle name="style1411446450598" xfId="322" xr:uid="{00000000-0005-0000-0000-000044010000}"/>
    <cellStyle name="style1411446450629" xfId="323" xr:uid="{00000000-0005-0000-0000-000045010000}"/>
    <cellStyle name="style1411446450660" xfId="324" xr:uid="{00000000-0005-0000-0000-000046010000}"/>
    <cellStyle name="style1411446450738" xfId="325" xr:uid="{00000000-0005-0000-0000-000047010000}"/>
    <cellStyle name="style1411446450769" xfId="326" xr:uid="{00000000-0005-0000-0000-000048010000}"/>
    <cellStyle name="style1411446450801" xfId="327" xr:uid="{00000000-0005-0000-0000-000049010000}"/>
    <cellStyle name="style1411446450847" xfId="328" xr:uid="{00000000-0005-0000-0000-00004A010000}"/>
    <cellStyle name="style1411446450879" xfId="329" xr:uid="{00000000-0005-0000-0000-00004B010000}"/>
    <cellStyle name="style1411446450910" xfId="330" xr:uid="{00000000-0005-0000-0000-00004C010000}"/>
    <cellStyle name="style1411446450957" xfId="331" xr:uid="{00000000-0005-0000-0000-00004D010000}"/>
    <cellStyle name="style1411446450988" xfId="332" xr:uid="{00000000-0005-0000-0000-00004E010000}"/>
    <cellStyle name="style1411446451019" xfId="333" xr:uid="{00000000-0005-0000-0000-00004F010000}"/>
    <cellStyle name="style1411446451050" xfId="334" xr:uid="{00000000-0005-0000-0000-000050010000}"/>
    <cellStyle name="style1411446451128" xfId="335" xr:uid="{00000000-0005-0000-0000-000051010000}"/>
    <cellStyle name="style1411446451159" xfId="336" xr:uid="{00000000-0005-0000-0000-000052010000}"/>
    <cellStyle name="style1411446451191" xfId="337" xr:uid="{00000000-0005-0000-0000-000053010000}"/>
    <cellStyle name="style1411446451206" xfId="338" xr:uid="{00000000-0005-0000-0000-000054010000}"/>
    <cellStyle name="style1411446451237" xfId="339" xr:uid="{00000000-0005-0000-0000-000055010000}"/>
    <cellStyle name="style1411446451269" xfId="340" xr:uid="{00000000-0005-0000-0000-000056010000}"/>
    <cellStyle name="style1411446451284" xfId="341" xr:uid="{00000000-0005-0000-0000-000057010000}"/>
    <cellStyle name="style1411446451315" xfId="342" xr:uid="{00000000-0005-0000-0000-000058010000}"/>
    <cellStyle name="style1411446451331" xfId="343" xr:uid="{00000000-0005-0000-0000-000059010000}"/>
    <cellStyle name="style1411446451362" xfId="344" xr:uid="{00000000-0005-0000-0000-00005A010000}"/>
    <cellStyle name="style1411446451378" xfId="345" xr:uid="{00000000-0005-0000-0000-00005B010000}"/>
    <cellStyle name="style1411446451409" xfId="346" xr:uid="{00000000-0005-0000-0000-00005C010000}"/>
    <cellStyle name="style1411446451471" xfId="347" xr:uid="{00000000-0005-0000-0000-00005D010000}"/>
    <cellStyle name="style1411446451518" xfId="348" xr:uid="{00000000-0005-0000-0000-00005E010000}"/>
    <cellStyle name="style1411446451549" xfId="349" xr:uid="{00000000-0005-0000-0000-00005F010000}"/>
    <cellStyle name="style1411446451581" xfId="350" xr:uid="{00000000-0005-0000-0000-000060010000}"/>
    <cellStyle name="style1411446451596" xfId="351" xr:uid="{00000000-0005-0000-0000-000061010000}"/>
    <cellStyle name="style1411446451627" xfId="352" xr:uid="{00000000-0005-0000-0000-000062010000}"/>
    <cellStyle name="style1411446451659" xfId="353" xr:uid="{00000000-0005-0000-0000-000063010000}"/>
    <cellStyle name="style1411446451690" xfId="354" xr:uid="{00000000-0005-0000-0000-000064010000}"/>
    <cellStyle name="style1411446451705" xfId="355" xr:uid="{00000000-0005-0000-0000-000065010000}"/>
    <cellStyle name="style1411446451721" xfId="356" xr:uid="{00000000-0005-0000-0000-000066010000}"/>
    <cellStyle name="style1411446451752" xfId="357" xr:uid="{00000000-0005-0000-0000-000067010000}"/>
    <cellStyle name="style1411446451815" xfId="358" xr:uid="{00000000-0005-0000-0000-000068010000}"/>
    <cellStyle name="style1411446451846" xfId="359" xr:uid="{00000000-0005-0000-0000-000069010000}"/>
    <cellStyle name="style1411446451877" xfId="360" xr:uid="{00000000-0005-0000-0000-00006A010000}"/>
    <cellStyle name="style1411446451893" xfId="361" xr:uid="{00000000-0005-0000-0000-00006B010000}"/>
    <cellStyle name="style1411446451924" xfId="362" xr:uid="{00000000-0005-0000-0000-00006C010000}"/>
    <cellStyle name="style1411446451955" xfId="363" xr:uid="{00000000-0005-0000-0000-00006D010000}"/>
    <cellStyle name="style1411446451971" xfId="364" xr:uid="{00000000-0005-0000-0000-00006E010000}"/>
    <cellStyle name="style1411446452002" xfId="365" xr:uid="{00000000-0005-0000-0000-00006F010000}"/>
    <cellStyle name="style1411446452033" xfId="366" xr:uid="{00000000-0005-0000-0000-000070010000}"/>
    <cellStyle name="style1411446452049" xfId="367" xr:uid="{00000000-0005-0000-0000-000071010000}"/>
    <cellStyle name="style1411446452111" xfId="368" xr:uid="{00000000-0005-0000-0000-000072010000}"/>
    <cellStyle name="style1411446452142" xfId="369" xr:uid="{00000000-0005-0000-0000-000073010000}"/>
    <cellStyle name="style1411446452158" xfId="370" xr:uid="{00000000-0005-0000-0000-000074010000}"/>
    <cellStyle name="style1411446452189" xfId="371" xr:uid="{00000000-0005-0000-0000-000075010000}"/>
    <cellStyle name="style1411446452220" xfId="372" xr:uid="{00000000-0005-0000-0000-000076010000}"/>
    <cellStyle name="style1411446452236" xfId="373" xr:uid="{00000000-0005-0000-0000-000077010000}"/>
    <cellStyle name="style1411446452267" xfId="374" xr:uid="{00000000-0005-0000-0000-000078010000}"/>
    <cellStyle name="style1411446452298" xfId="375" xr:uid="{00000000-0005-0000-0000-000079010000}"/>
    <cellStyle name="style1411446452314" xfId="376" xr:uid="{00000000-0005-0000-0000-00007A010000}"/>
    <cellStyle name="style1411446452329" xfId="377" xr:uid="{00000000-0005-0000-0000-00007B010000}"/>
    <cellStyle name="style1411446452361" xfId="378" xr:uid="{00000000-0005-0000-0000-00007C010000}"/>
    <cellStyle name="style1411446452407" xfId="379" xr:uid="{00000000-0005-0000-0000-00007D010000}"/>
    <cellStyle name="style1411446452439" xfId="380" xr:uid="{00000000-0005-0000-0000-00007E010000}"/>
    <cellStyle name="style1411446452454" xfId="381" xr:uid="{00000000-0005-0000-0000-00007F010000}"/>
    <cellStyle name="style1411446452485" xfId="382" xr:uid="{00000000-0005-0000-0000-000080010000}"/>
    <cellStyle name="style1411446452501" xfId="383" xr:uid="{00000000-0005-0000-0000-000081010000}"/>
    <cellStyle name="style1411446452532" xfId="384" xr:uid="{00000000-0005-0000-0000-000082010000}"/>
    <cellStyle name="style1411446452548" xfId="385" xr:uid="{00000000-0005-0000-0000-000083010000}"/>
    <cellStyle name="style1411446452563" xfId="386" xr:uid="{00000000-0005-0000-0000-000084010000}"/>
    <cellStyle name="style1411449801970" xfId="387" xr:uid="{00000000-0005-0000-0000-000085010000}"/>
    <cellStyle name="style1411449802014" xfId="388" xr:uid="{00000000-0005-0000-0000-000086010000}"/>
    <cellStyle name="style1411449802039" xfId="389" xr:uid="{00000000-0005-0000-0000-000087010000}"/>
    <cellStyle name="style1411449802064" xfId="390" xr:uid="{00000000-0005-0000-0000-000088010000}"/>
    <cellStyle name="style1411449802092" xfId="391" xr:uid="{00000000-0005-0000-0000-000089010000}"/>
    <cellStyle name="style1411449802118" xfId="392" xr:uid="{00000000-0005-0000-0000-00008A010000}"/>
    <cellStyle name="style1411449802516" xfId="393" xr:uid="{00000000-0005-0000-0000-00008B010000}"/>
    <cellStyle name="style1411449802578" xfId="394" xr:uid="{00000000-0005-0000-0000-00008C010000}"/>
    <cellStyle name="style1411449802602" xfId="395" xr:uid="{00000000-0005-0000-0000-00008D010000}"/>
    <cellStyle name="style1411449802628" xfId="396" xr:uid="{00000000-0005-0000-0000-00008E010000}"/>
    <cellStyle name="style1411449802695" xfId="397" xr:uid="{00000000-0005-0000-0000-00008F010000}"/>
    <cellStyle name="style1411449802719" xfId="398" xr:uid="{00000000-0005-0000-0000-000090010000}"/>
    <cellStyle name="style1411449802744" xfId="399" xr:uid="{00000000-0005-0000-0000-000091010000}"/>
    <cellStyle name="style1411449802916" xfId="400" xr:uid="{00000000-0005-0000-0000-000092010000}"/>
    <cellStyle name="style1411449802935" xfId="401" xr:uid="{00000000-0005-0000-0000-000093010000}"/>
    <cellStyle name="style1411449802987" xfId="402" xr:uid="{00000000-0005-0000-0000-000094010000}"/>
    <cellStyle name="style1411449803130" xfId="403" xr:uid="{00000000-0005-0000-0000-000095010000}"/>
    <cellStyle name="style1411449803296" xfId="404" xr:uid="{00000000-0005-0000-0000-000096010000}"/>
    <cellStyle name="style1411449803317" xfId="405" xr:uid="{00000000-0005-0000-0000-000097010000}"/>
    <cellStyle name="style1411449803337" xfId="406" xr:uid="{00000000-0005-0000-0000-000098010000}"/>
    <cellStyle name="style1411449803356" xfId="407" xr:uid="{00000000-0005-0000-0000-000099010000}"/>
    <cellStyle name="style1411449803379" xfId="408" xr:uid="{00000000-0005-0000-0000-00009A010000}"/>
    <cellStyle name="style1411449803400" xfId="409" xr:uid="{00000000-0005-0000-0000-00009B010000}"/>
    <cellStyle name="style1411449803420" xfId="410" xr:uid="{00000000-0005-0000-0000-00009C010000}"/>
    <cellStyle name="style1411449803440" xfId="411" xr:uid="{00000000-0005-0000-0000-00009D010000}"/>
    <cellStyle name="style1411449803461" xfId="412" xr:uid="{00000000-0005-0000-0000-00009E010000}"/>
    <cellStyle name="style1411449803483" xfId="413" xr:uid="{00000000-0005-0000-0000-00009F010000}"/>
    <cellStyle name="style1411449803510" xfId="414" xr:uid="{00000000-0005-0000-0000-0000A0010000}"/>
    <cellStyle name="style1411449803534" xfId="415" xr:uid="{00000000-0005-0000-0000-0000A1010000}"/>
    <cellStyle name="style1411449803554" xfId="416" xr:uid="{00000000-0005-0000-0000-0000A2010000}"/>
    <cellStyle name="style1411449803577" xfId="417" xr:uid="{00000000-0005-0000-0000-0000A3010000}"/>
    <cellStyle name="style1411451081406" xfId="418" xr:uid="{00000000-0005-0000-0000-0000A4010000}"/>
    <cellStyle name="style1411451081449" xfId="419" xr:uid="{00000000-0005-0000-0000-0000A5010000}"/>
    <cellStyle name="style1411451081472" xfId="420" xr:uid="{00000000-0005-0000-0000-0000A6010000}"/>
    <cellStyle name="style1411451081497" xfId="421" xr:uid="{00000000-0005-0000-0000-0000A7010000}"/>
    <cellStyle name="style1411451081522" xfId="422" xr:uid="{00000000-0005-0000-0000-0000A8010000}"/>
    <cellStyle name="style1411451081547" xfId="423" xr:uid="{00000000-0005-0000-0000-0000A9010000}"/>
    <cellStyle name="style1411451081953" xfId="424" xr:uid="{00000000-0005-0000-0000-0000AA010000}"/>
    <cellStyle name="style1411451082017" xfId="425" xr:uid="{00000000-0005-0000-0000-0000AB010000}"/>
    <cellStyle name="style1411451082043" xfId="426" xr:uid="{00000000-0005-0000-0000-0000AC010000}"/>
    <cellStyle name="style1411451082068" xfId="427" xr:uid="{00000000-0005-0000-0000-0000AD010000}"/>
    <cellStyle name="style1411451082091" xfId="428" xr:uid="{00000000-0005-0000-0000-0000AE010000}"/>
    <cellStyle name="style1411451082115" xfId="429" xr:uid="{00000000-0005-0000-0000-0000AF010000}"/>
    <cellStyle name="style1411451082188" xfId="430" xr:uid="{00000000-0005-0000-0000-0000B0010000}"/>
    <cellStyle name="style1411451082364" xfId="431" xr:uid="{00000000-0005-0000-0000-0000B1010000}"/>
    <cellStyle name="style1411451082383" xfId="432" xr:uid="{00000000-0005-0000-0000-0000B2010000}"/>
    <cellStyle name="style1411451082433" xfId="433" xr:uid="{00000000-0005-0000-0000-0000B3010000}"/>
    <cellStyle name="style1411451082533" xfId="434" xr:uid="{00000000-0005-0000-0000-0000B4010000}"/>
    <cellStyle name="style1411451082735" xfId="435" xr:uid="{00000000-0005-0000-0000-0000B5010000}"/>
    <cellStyle name="style1411451082754" xfId="436" xr:uid="{00000000-0005-0000-0000-0000B6010000}"/>
    <cellStyle name="style1411451082774" xfId="437" xr:uid="{00000000-0005-0000-0000-0000B7010000}"/>
    <cellStyle name="style1411451082793" xfId="438" xr:uid="{00000000-0005-0000-0000-0000B8010000}"/>
    <cellStyle name="style1411451082814" xfId="439" xr:uid="{00000000-0005-0000-0000-0000B9010000}"/>
    <cellStyle name="style1411451082834" xfId="440" xr:uid="{00000000-0005-0000-0000-0000BA010000}"/>
    <cellStyle name="style1411451082853" xfId="441" xr:uid="{00000000-0005-0000-0000-0000BB010000}"/>
    <cellStyle name="style1411451082873" xfId="442" xr:uid="{00000000-0005-0000-0000-0000BC010000}"/>
    <cellStyle name="style1411451082893" xfId="443" xr:uid="{00000000-0005-0000-0000-0000BD010000}"/>
    <cellStyle name="style1411451082912" xfId="444" xr:uid="{00000000-0005-0000-0000-0000BE010000}"/>
    <cellStyle name="style1411451082933" xfId="445" xr:uid="{00000000-0005-0000-0000-0000BF010000}"/>
    <cellStyle name="style1411451082954" xfId="446" xr:uid="{00000000-0005-0000-0000-0000C0010000}"/>
    <cellStyle name="style1411451082974" xfId="447" xr:uid="{00000000-0005-0000-0000-0000C1010000}"/>
    <cellStyle name="style1411451082993" xfId="448" xr:uid="{00000000-0005-0000-0000-0000C2010000}"/>
    <cellStyle name="style1411451083012" xfId="449" xr:uid="{00000000-0005-0000-0000-0000C3010000}"/>
    <cellStyle name="style1411542382001" xfId="450" xr:uid="{00000000-0005-0000-0000-0000C4010000}"/>
    <cellStyle name="style1411542382059" xfId="451" xr:uid="{00000000-0005-0000-0000-0000C5010000}"/>
    <cellStyle name="style1411542382094" xfId="452" xr:uid="{00000000-0005-0000-0000-0000C6010000}"/>
    <cellStyle name="style1411542382123" xfId="453" xr:uid="{00000000-0005-0000-0000-0000C7010000}"/>
    <cellStyle name="style1411542382156" xfId="454" xr:uid="{00000000-0005-0000-0000-0000C8010000}"/>
    <cellStyle name="style1411542382190" xfId="455" xr:uid="{00000000-0005-0000-0000-0000C9010000}"/>
    <cellStyle name="style1411542382225" xfId="456" xr:uid="{00000000-0005-0000-0000-0000CA010000}"/>
    <cellStyle name="style1411542382311" xfId="457" xr:uid="{00000000-0005-0000-0000-0000CB010000}"/>
    <cellStyle name="style1411542382346" xfId="458" xr:uid="{00000000-0005-0000-0000-0000CC010000}"/>
    <cellStyle name="style1411542382378" xfId="459" xr:uid="{00000000-0005-0000-0000-0000CD010000}"/>
    <cellStyle name="style1411542382409" xfId="460" xr:uid="{00000000-0005-0000-0000-0000CE010000}"/>
    <cellStyle name="style1411542382440" xfId="461" xr:uid="{00000000-0005-0000-0000-0000CF010000}"/>
    <cellStyle name="style1411542382466" xfId="462" xr:uid="{00000000-0005-0000-0000-0000D0010000}"/>
    <cellStyle name="style1411542382491" xfId="463" xr:uid="{00000000-0005-0000-0000-0000D1010000}"/>
    <cellStyle name="style1411542382523" xfId="464" xr:uid="{00000000-0005-0000-0000-0000D2010000}"/>
    <cellStyle name="style1411542382556" xfId="465" xr:uid="{00000000-0005-0000-0000-0000D3010000}"/>
    <cellStyle name="style1411542382585" xfId="466" xr:uid="{00000000-0005-0000-0000-0000D4010000}"/>
    <cellStyle name="style1411542382613" xfId="467" xr:uid="{00000000-0005-0000-0000-0000D5010000}"/>
    <cellStyle name="style1411542382701" xfId="468" xr:uid="{00000000-0005-0000-0000-0000D6010000}"/>
    <cellStyle name="style1411542382751" xfId="469" xr:uid="{00000000-0005-0000-0000-0000D7010000}"/>
    <cellStyle name="style1411542382774" xfId="470" xr:uid="{00000000-0005-0000-0000-0000D8010000}"/>
    <cellStyle name="style1411542382797" xfId="471" xr:uid="{00000000-0005-0000-0000-0000D9010000}"/>
    <cellStyle name="style1411542382821" xfId="472" xr:uid="{00000000-0005-0000-0000-0000DA010000}"/>
    <cellStyle name="style1411542382844" xfId="473" xr:uid="{00000000-0005-0000-0000-0000DB010000}"/>
    <cellStyle name="style1411542382872" xfId="474" xr:uid="{00000000-0005-0000-0000-0000DC010000}"/>
    <cellStyle name="style1411542382898" xfId="475" xr:uid="{00000000-0005-0000-0000-0000DD010000}"/>
    <cellStyle name="style1411542382921" xfId="476" xr:uid="{00000000-0005-0000-0000-0000DE010000}"/>
    <cellStyle name="style1411542382949" xfId="477" xr:uid="{00000000-0005-0000-0000-0000DF010000}"/>
    <cellStyle name="style1411542382977" xfId="478" xr:uid="{00000000-0005-0000-0000-0000E0010000}"/>
    <cellStyle name="style1411542383005" xfId="479" xr:uid="{00000000-0005-0000-0000-0000E1010000}"/>
    <cellStyle name="style1411542383036" xfId="480" xr:uid="{00000000-0005-0000-0000-0000E2010000}"/>
    <cellStyle name="style1411542383066" xfId="481" xr:uid="{00000000-0005-0000-0000-0000E3010000}"/>
    <cellStyle name="style1411542383094" xfId="482" xr:uid="{00000000-0005-0000-0000-0000E4010000}"/>
    <cellStyle name="style1411542383116" xfId="483" xr:uid="{00000000-0005-0000-0000-0000E5010000}"/>
    <cellStyle name="style1411542383137" xfId="484" xr:uid="{00000000-0005-0000-0000-0000E6010000}"/>
    <cellStyle name="style1411542383160" xfId="485" xr:uid="{00000000-0005-0000-0000-0000E7010000}"/>
    <cellStyle name="style1411542383184" xfId="486" xr:uid="{00000000-0005-0000-0000-0000E8010000}"/>
    <cellStyle name="style1411542383249" xfId="487" xr:uid="{00000000-0005-0000-0000-0000E9010000}"/>
    <cellStyle name="style1411542383276" xfId="488" xr:uid="{00000000-0005-0000-0000-0000EA010000}"/>
    <cellStyle name="style1411542383303" xfId="489" xr:uid="{00000000-0005-0000-0000-0000EB010000}"/>
    <cellStyle name="style1411542383332" xfId="490" xr:uid="{00000000-0005-0000-0000-0000EC010000}"/>
    <cellStyle name="style1411542383355" xfId="491" xr:uid="{00000000-0005-0000-0000-0000ED010000}"/>
    <cellStyle name="style1411542383382" xfId="492" xr:uid="{00000000-0005-0000-0000-0000EE010000}"/>
    <cellStyle name="style1411542383409" xfId="493" xr:uid="{00000000-0005-0000-0000-0000EF010000}"/>
    <cellStyle name="style1411542383430" xfId="494" xr:uid="{00000000-0005-0000-0000-0000F0010000}"/>
    <cellStyle name="style1411542383457" xfId="495" xr:uid="{00000000-0005-0000-0000-0000F1010000}"/>
    <cellStyle name="style1411542383483" xfId="496" xr:uid="{00000000-0005-0000-0000-0000F2010000}"/>
    <cellStyle name="style1411542383510" xfId="497" xr:uid="{00000000-0005-0000-0000-0000F3010000}"/>
    <cellStyle name="style1411542383530" xfId="498" xr:uid="{00000000-0005-0000-0000-0000F4010000}"/>
    <cellStyle name="style1411542383552" xfId="499" xr:uid="{00000000-0005-0000-0000-0000F5010000}"/>
    <cellStyle name="style1411542383579" xfId="500" xr:uid="{00000000-0005-0000-0000-0000F6010000}"/>
    <cellStyle name="style1411542383606" xfId="501" xr:uid="{00000000-0005-0000-0000-0000F7010000}"/>
    <cellStyle name="style1411542383632" xfId="502" xr:uid="{00000000-0005-0000-0000-0000F8010000}"/>
    <cellStyle name="style1411542383654" xfId="503" xr:uid="{00000000-0005-0000-0000-0000F9010000}"/>
    <cellStyle name="style1411542383684" xfId="504" xr:uid="{00000000-0005-0000-0000-0000FA010000}"/>
    <cellStyle name="style1411542383710" xfId="505" xr:uid="{00000000-0005-0000-0000-0000FB010000}"/>
    <cellStyle name="style1411542383732" xfId="506" xr:uid="{00000000-0005-0000-0000-0000FC010000}"/>
    <cellStyle name="style1411542383756" xfId="507" xr:uid="{00000000-0005-0000-0000-0000FD010000}"/>
    <cellStyle name="style1411542383790" xfId="508" xr:uid="{00000000-0005-0000-0000-0000FE010000}"/>
    <cellStyle name="style1411542383813" xfId="509" xr:uid="{00000000-0005-0000-0000-0000FF010000}"/>
    <cellStyle name="style1411542383835" xfId="510" xr:uid="{00000000-0005-0000-0000-000000020000}"/>
    <cellStyle name="style1411542383858" xfId="511" xr:uid="{00000000-0005-0000-0000-000001020000}"/>
    <cellStyle name="style1411542383881" xfId="512" xr:uid="{00000000-0005-0000-0000-000002020000}"/>
    <cellStyle name="style1411542383904" xfId="513" xr:uid="{00000000-0005-0000-0000-000003020000}"/>
    <cellStyle name="style1411542383967" xfId="514" xr:uid="{00000000-0005-0000-0000-000004020000}"/>
    <cellStyle name="style1411542383989" xfId="515" xr:uid="{00000000-0005-0000-0000-000005020000}"/>
    <cellStyle name="style1411542384009" xfId="516" xr:uid="{00000000-0005-0000-0000-000006020000}"/>
    <cellStyle name="style1411542384030" xfId="517" xr:uid="{00000000-0005-0000-0000-000007020000}"/>
    <cellStyle name="style1411542384052" xfId="518" xr:uid="{00000000-0005-0000-0000-000008020000}"/>
    <cellStyle name="style1411542384115" xfId="519" xr:uid="{00000000-0005-0000-0000-000009020000}"/>
    <cellStyle name="style1411542384148" xfId="520" xr:uid="{00000000-0005-0000-0000-00000A020000}"/>
    <cellStyle name="style1411542384169" xfId="521" xr:uid="{00000000-0005-0000-0000-00000B020000}"/>
    <cellStyle name="style1411542384188" xfId="522" xr:uid="{00000000-0005-0000-0000-00000C020000}"/>
    <cellStyle name="style1411542384208" xfId="523" xr:uid="{00000000-0005-0000-0000-00000D020000}"/>
    <cellStyle name="style1411542384227" xfId="524" xr:uid="{00000000-0005-0000-0000-00000E020000}"/>
    <cellStyle name="style1411542384246" xfId="525" xr:uid="{00000000-0005-0000-0000-00000F020000}"/>
    <cellStyle name="style1411542384273" xfId="526" xr:uid="{00000000-0005-0000-0000-000010020000}"/>
    <cellStyle name="style1411542384293" xfId="527" xr:uid="{00000000-0005-0000-0000-000011020000}"/>
  </cellStyles>
  <dxfs count="0"/>
  <tableStyles count="0" defaultTableStyle="TableStyleMedium2" defaultPivotStyle="PivotStyleMedium9"/>
  <colors>
    <mruColors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ndhra%20Pradesh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SVA_cur"/>
      <sheetName val="GSVA_const"/>
      <sheetName val="NSVA_cur"/>
      <sheetName val="NSVA_const"/>
    </sheetNames>
    <sheetDataSet>
      <sheetData sheetId="0">
        <row r="3">
          <cell r="I3" t="str">
            <v>01.08.2025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W39"/>
  <sheetViews>
    <sheetView zoomScale="68" zoomScaleNormal="68" zoomScaleSheetLayoutView="100" workbookViewId="0">
      <pane xSplit="2" ySplit="5" topLeftCell="C6" activePane="bottomRight" state="frozen"/>
      <selection activeCell="C50" sqref="C50:O83"/>
      <selection pane="topRight" activeCell="C50" sqref="C50:O83"/>
      <selection pane="bottomLeft" activeCell="C50" sqref="C50:O83"/>
      <selection pane="bottomRight" activeCell="U29" sqref="U29"/>
    </sheetView>
  </sheetViews>
  <sheetFormatPr defaultColWidth="8.85546875" defaultRowHeight="15" x14ac:dyDescent="0.25"/>
  <cols>
    <col min="1" max="1" width="11" style="2" customWidth="1"/>
    <col min="2" max="2" width="34.140625" style="2" customWidth="1"/>
    <col min="3" max="6" width="12.85546875" style="2" customWidth="1"/>
    <col min="7" max="16" width="12.85546875" style="1" customWidth="1"/>
    <col min="17" max="18" width="9.140625" style="2" customWidth="1"/>
    <col min="19" max="19" width="11.85546875" style="2" customWidth="1"/>
    <col min="20" max="20" width="11.28515625" style="2" customWidth="1"/>
    <col min="21" max="21" width="11.7109375" style="1" customWidth="1"/>
    <col min="22" max="22" width="9.140625" style="2" customWidth="1"/>
    <col min="23" max="23" width="10.85546875" style="2" customWidth="1"/>
    <col min="24" max="24" width="10.85546875" style="1" customWidth="1"/>
    <col min="25" max="25" width="11" style="2" customWidth="1"/>
    <col min="26" max="28" width="11.42578125" style="2" customWidth="1"/>
    <col min="29" max="56" width="9.140625" style="2" customWidth="1"/>
    <col min="57" max="57" width="12.42578125" style="2" customWidth="1"/>
    <col min="58" max="79" width="9.140625" style="2" customWidth="1"/>
    <col min="80" max="80" width="12.140625" style="2" customWidth="1"/>
    <col min="81" max="84" width="9.140625" style="2" customWidth="1"/>
    <col min="85" max="89" width="9.140625" style="2" hidden="1" customWidth="1"/>
    <col min="90" max="90" width="9.140625" style="2" customWidth="1"/>
    <col min="91" max="95" width="9.140625" style="2" hidden="1" customWidth="1"/>
    <col min="96" max="96" width="9.140625" style="2" customWidth="1"/>
    <col min="97" max="101" width="9.140625" style="2" hidden="1" customWidth="1"/>
    <col min="102" max="102" width="9.140625" style="2" customWidth="1"/>
    <col min="103" max="107" width="9.140625" style="2" hidden="1" customWidth="1"/>
    <col min="108" max="108" width="9.140625" style="2" customWidth="1"/>
    <col min="109" max="113" width="9.140625" style="2" hidden="1" customWidth="1"/>
    <col min="114" max="114" width="9.140625" style="1" customWidth="1"/>
    <col min="115" max="119" width="9.140625" style="1" hidden="1" customWidth="1"/>
    <col min="120" max="120" width="9.140625" style="1" customWidth="1"/>
    <col min="121" max="125" width="9.140625" style="1" hidden="1" customWidth="1"/>
    <col min="126" max="126" width="9.140625" style="1" customWidth="1"/>
    <col min="127" max="131" width="9.140625" style="1" hidden="1" customWidth="1"/>
    <col min="132" max="132" width="9.140625" style="1" customWidth="1"/>
    <col min="133" max="162" width="9.140625" style="2" customWidth="1"/>
    <col min="163" max="163" width="9.140625" style="2" hidden="1" customWidth="1"/>
    <col min="164" max="171" width="9.140625" style="2" customWidth="1"/>
    <col min="172" max="172" width="9.140625" style="2" hidden="1" customWidth="1"/>
    <col min="173" max="177" width="9.140625" style="2" customWidth="1"/>
    <col min="178" max="178" width="9.140625" style="2" hidden="1" customWidth="1"/>
    <col min="179" max="188" width="9.140625" style="2" customWidth="1"/>
    <col min="189" max="192" width="8.85546875" style="2"/>
    <col min="193" max="193" width="12.7109375" style="2" bestFit="1" customWidth="1"/>
    <col min="194" max="16384" width="8.85546875" style="2"/>
  </cols>
  <sheetData>
    <row r="1" spans="1:193" ht="18.75" x14ac:dyDescent="0.3">
      <c r="A1" s="2" t="s">
        <v>53</v>
      </c>
      <c r="B1" s="6" t="s">
        <v>66</v>
      </c>
      <c r="W1" s="3"/>
    </row>
    <row r="2" spans="1:193" ht="15.75" x14ac:dyDescent="0.25">
      <c r="A2" s="7" t="s">
        <v>48</v>
      </c>
      <c r="I2" s="1" t="str">
        <f>[1]GSVA_cur!$I$3</f>
        <v>01.08.2025</v>
      </c>
    </row>
    <row r="3" spans="1:193" ht="15.75" x14ac:dyDescent="0.25">
      <c r="A3" s="7"/>
    </row>
    <row r="4" spans="1:193" ht="15.75" x14ac:dyDescent="0.25">
      <c r="A4" s="7"/>
      <c r="E4" s="8"/>
      <c r="F4" s="8" t="s">
        <v>57</v>
      </c>
    </row>
    <row r="5" spans="1:193" ht="15.75" x14ac:dyDescent="0.25">
      <c r="A5" s="11" t="s">
        <v>0</v>
      </c>
      <c r="B5" s="12" t="s">
        <v>1</v>
      </c>
      <c r="C5" s="13" t="s">
        <v>21</v>
      </c>
      <c r="D5" s="13" t="s">
        <v>22</v>
      </c>
      <c r="E5" s="13" t="s">
        <v>23</v>
      </c>
      <c r="F5" s="13" t="s">
        <v>56</v>
      </c>
      <c r="G5" s="14" t="s">
        <v>65</v>
      </c>
      <c r="H5" s="14" t="s">
        <v>67</v>
      </c>
      <c r="I5" s="14" t="s">
        <v>68</v>
      </c>
      <c r="J5" s="14" t="s">
        <v>69</v>
      </c>
      <c r="K5" s="14" t="s">
        <v>70</v>
      </c>
      <c r="L5" s="14" t="s">
        <v>71</v>
      </c>
      <c r="M5" s="14" t="s">
        <v>72</v>
      </c>
      <c r="N5" s="14" t="s">
        <v>73</v>
      </c>
      <c r="O5" s="14" t="s">
        <v>74</v>
      </c>
      <c r="P5" s="14" t="s">
        <v>76</v>
      </c>
    </row>
    <row r="6" spans="1:193" s="27" customFormat="1" ht="15.75" x14ac:dyDescent="0.25">
      <c r="A6" s="23" t="s">
        <v>26</v>
      </c>
      <c r="B6" s="24" t="s">
        <v>2</v>
      </c>
      <c r="C6" s="25">
        <f>SUM(C7:C10)</f>
        <v>1162626.0815015535</v>
      </c>
      <c r="D6" s="25">
        <f t="shared" ref="D6:E6" si="0">SUM(D7:D10)</f>
        <v>1313711.9139405536</v>
      </c>
      <c r="E6" s="25">
        <f t="shared" si="0"/>
        <v>1497801.2142775124</v>
      </c>
      <c r="F6" s="25">
        <f t="shared" ref="F6:N6" si="1">SUM(F7:F10)</f>
        <v>1494802.7913076777</v>
      </c>
      <c r="G6" s="25">
        <f t="shared" si="1"/>
        <v>1704691.0675391594</v>
      </c>
      <c r="H6" s="25">
        <f t="shared" si="1"/>
        <v>1800693.4015509686</v>
      </c>
      <c r="I6" s="25">
        <f t="shared" si="1"/>
        <v>1610541.8659849109</v>
      </c>
      <c r="J6" s="25">
        <f t="shared" si="1"/>
        <v>1776663.6679099563</v>
      </c>
      <c r="K6" s="25">
        <f t="shared" si="1"/>
        <v>2287758.1829354102</v>
      </c>
      <c r="L6" s="25">
        <f t="shared" si="1"/>
        <v>2083805.490271095</v>
      </c>
      <c r="M6" s="25">
        <f t="shared" si="1"/>
        <v>2244765.7581019877</v>
      </c>
      <c r="N6" s="25">
        <f t="shared" si="1"/>
        <v>2316704.0975052761</v>
      </c>
      <c r="O6" s="25">
        <f t="shared" ref="O6:P6" si="2">SUM(O7:O10)</f>
        <v>2721185.799241032</v>
      </c>
      <c r="P6" s="25">
        <f t="shared" si="2"/>
        <v>3059974.7250349005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K6" s="28"/>
    </row>
    <row r="7" spans="1:193" ht="15.75" x14ac:dyDescent="0.25">
      <c r="A7" s="16">
        <v>1.1000000000000001</v>
      </c>
      <c r="B7" s="17" t="s">
        <v>59</v>
      </c>
      <c r="C7" s="9">
        <v>673401.52077943971</v>
      </c>
      <c r="D7" s="9">
        <v>814909.49963819061</v>
      </c>
      <c r="E7" s="9">
        <v>938018.73816574528</v>
      </c>
      <c r="F7" s="9">
        <v>817058.02050313016</v>
      </c>
      <c r="G7" s="9">
        <v>964071.21254272154</v>
      </c>
      <c r="H7" s="9">
        <v>967465.86617772013</v>
      </c>
      <c r="I7" s="9">
        <v>965836.5095464827</v>
      </c>
      <c r="J7" s="9">
        <v>1028641.8156465481</v>
      </c>
      <c r="K7" s="9">
        <v>1360565.0933995652</v>
      </c>
      <c r="L7" s="9">
        <v>1234069.1859914945</v>
      </c>
      <c r="M7" s="9">
        <v>1363204.5349236592</v>
      </c>
      <c r="N7" s="9">
        <v>1392863.6106413519</v>
      </c>
      <c r="O7" s="9">
        <v>1764139.3102534246</v>
      </c>
      <c r="P7" s="37">
        <v>2073953.7938949221</v>
      </c>
      <c r="Q7" s="4"/>
      <c r="R7" s="4"/>
      <c r="S7" s="4"/>
      <c r="T7" s="4"/>
      <c r="U7" s="3"/>
      <c r="V7" s="4"/>
      <c r="W7" s="4"/>
      <c r="X7" s="3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1"/>
      <c r="GI7" s="1"/>
      <c r="GJ7" s="1"/>
    </row>
    <row r="8" spans="1:193" ht="15.75" x14ac:dyDescent="0.25">
      <c r="A8" s="16">
        <v>1.2</v>
      </c>
      <c r="B8" s="17" t="s">
        <v>60</v>
      </c>
      <c r="C8" s="9">
        <v>115315.05736971243</v>
      </c>
      <c r="D8" s="9">
        <v>109696.60203282474</v>
      </c>
      <c r="E8" s="9">
        <v>108442.12381823502</v>
      </c>
      <c r="F8" s="9">
        <v>110868.03019820113</v>
      </c>
      <c r="G8" s="9">
        <v>140565.95143462843</v>
      </c>
      <c r="H8" s="9">
        <v>147717.36982764883</v>
      </c>
      <c r="I8" s="9">
        <v>165889.58582845377</v>
      </c>
      <c r="J8" s="9">
        <v>246454.62171157452</v>
      </c>
      <c r="K8" s="9">
        <v>258116.54860876198</v>
      </c>
      <c r="L8" s="9">
        <v>261862.97954334164</v>
      </c>
      <c r="M8" s="9">
        <v>250129.23600361083</v>
      </c>
      <c r="N8" s="9">
        <v>225203.52466359167</v>
      </c>
      <c r="O8" s="9">
        <v>264017.2755003983</v>
      </c>
      <c r="P8" s="37">
        <v>294348.19757454674</v>
      </c>
      <c r="Q8" s="4"/>
      <c r="R8" s="4"/>
      <c r="S8" s="4"/>
      <c r="T8" s="4"/>
      <c r="U8" s="3"/>
      <c r="V8" s="4"/>
      <c r="W8" s="4"/>
      <c r="X8" s="3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1"/>
      <c r="GI8" s="1"/>
      <c r="GJ8" s="1"/>
    </row>
    <row r="9" spans="1:193" ht="15.75" x14ac:dyDescent="0.25">
      <c r="A9" s="16">
        <v>1.3</v>
      </c>
      <c r="B9" s="17" t="s">
        <v>61</v>
      </c>
      <c r="C9" s="9">
        <v>368734.88310827641</v>
      </c>
      <c r="D9" s="9">
        <v>383149.55734084453</v>
      </c>
      <c r="E9" s="9">
        <v>443091.29604791012</v>
      </c>
      <c r="F9" s="9">
        <v>556908.43199269625</v>
      </c>
      <c r="G9" s="9">
        <v>588812.70520593144</v>
      </c>
      <c r="H9" s="9">
        <v>673101.29697238258</v>
      </c>
      <c r="I9" s="9">
        <v>462618.33249815373</v>
      </c>
      <c r="J9" s="9">
        <v>484004.33384156926</v>
      </c>
      <c r="K9" s="9">
        <v>650195.47998196655</v>
      </c>
      <c r="L9" s="9">
        <v>567235.33868938196</v>
      </c>
      <c r="M9" s="9">
        <v>608772.57652229269</v>
      </c>
      <c r="N9" s="9">
        <v>671861.01026835456</v>
      </c>
      <c r="O9" s="9">
        <v>665083.16394618177</v>
      </c>
      <c r="P9" s="9">
        <v>661770.63631549245</v>
      </c>
      <c r="Q9" s="4"/>
      <c r="R9" s="4"/>
      <c r="S9" s="4"/>
      <c r="T9" s="4"/>
      <c r="U9" s="3"/>
      <c r="V9" s="4"/>
      <c r="W9" s="4"/>
      <c r="X9" s="3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1"/>
      <c r="GI9" s="1"/>
      <c r="GJ9" s="1"/>
    </row>
    <row r="10" spans="1:193" ht="15.75" x14ac:dyDescent="0.25">
      <c r="A10" s="16">
        <v>1.4</v>
      </c>
      <c r="B10" s="17" t="s">
        <v>62</v>
      </c>
      <c r="C10" s="9">
        <v>5174.6202441251453</v>
      </c>
      <c r="D10" s="9">
        <v>5956.2549286936101</v>
      </c>
      <c r="E10" s="9">
        <v>8249.0562456221069</v>
      </c>
      <c r="F10" s="9">
        <v>9968.3086136501533</v>
      </c>
      <c r="G10" s="9">
        <v>11241.198355877923</v>
      </c>
      <c r="H10" s="9">
        <v>12408.868573217243</v>
      </c>
      <c r="I10" s="9">
        <v>16197.438111820777</v>
      </c>
      <c r="J10" s="9">
        <v>17562.896710264606</v>
      </c>
      <c r="K10" s="9">
        <v>18881.060945116555</v>
      </c>
      <c r="L10" s="9">
        <v>20637.986046877002</v>
      </c>
      <c r="M10" s="9">
        <v>22659.410652425271</v>
      </c>
      <c r="N10" s="9">
        <v>26775.951931977732</v>
      </c>
      <c r="O10" s="9">
        <v>27946.04954102734</v>
      </c>
      <c r="P10" s="9">
        <v>29902.097249939194</v>
      </c>
      <c r="Q10" s="4"/>
      <c r="R10" s="4"/>
      <c r="S10" s="4"/>
      <c r="T10" s="4"/>
      <c r="U10" s="3"/>
      <c r="V10" s="4"/>
      <c r="W10" s="4"/>
      <c r="X10" s="3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1"/>
      <c r="GI10" s="1"/>
      <c r="GJ10" s="1"/>
    </row>
    <row r="11" spans="1:193" ht="15.75" x14ac:dyDescent="0.25">
      <c r="A11" s="18" t="s">
        <v>31</v>
      </c>
      <c r="B11" s="17" t="s">
        <v>3</v>
      </c>
      <c r="C11" s="9">
        <v>28639.691893177765</v>
      </c>
      <c r="D11" s="9">
        <v>30543.897727296873</v>
      </c>
      <c r="E11" s="9">
        <v>28476.253413552829</v>
      </c>
      <c r="F11" s="9">
        <v>31699.708740602575</v>
      </c>
      <c r="G11" s="9">
        <v>34621.16411772625</v>
      </c>
      <c r="H11" s="9">
        <v>75496.891457862468</v>
      </c>
      <c r="I11" s="9">
        <v>36746.381598591121</v>
      </c>
      <c r="J11" s="9">
        <v>44001.28486926663</v>
      </c>
      <c r="K11" s="9">
        <v>46209.929715629747</v>
      </c>
      <c r="L11" s="9">
        <v>42248.121011092844</v>
      </c>
      <c r="M11" s="9">
        <v>52751.126046986523</v>
      </c>
      <c r="N11" s="9">
        <v>64170.561508408806</v>
      </c>
      <c r="O11" s="9">
        <v>95305.622829015832</v>
      </c>
      <c r="P11" s="9">
        <v>96777.635581137554</v>
      </c>
      <c r="Q11" s="4"/>
      <c r="R11" s="4"/>
      <c r="S11" s="4"/>
      <c r="T11" s="4"/>
      <c r="U11" s="3"/>
      <c r="V11" s="4"/>
      <c r="W11" s="4"/>
      <c r="X11" s="3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1"/>
      <c r="GI11" s="1"/>
      <c r="GJ11" s="1"/>
    </row>
    <row r="12" spans="1:193" s="28" customFormat="1" ht="15.75" x14ac:dyDescent="0.25">
      <c r="A12" s="29"/>
      <c r="B12" s="30" t="s">
        <v>28</v>
      </c>
      <c r="C12" s="31">
        <f>C6+C11</f>
        <v>1191265.7733947313</v>
      </c>
      <c r="D12" s="31">
        <f t="shared" ref="D12:E12" si="3">D6+D11</f>
        <v>1344255.8116678505</v>
      </c>
      <c r="E12" s="31">
        <f t="shared" si="3"/>
        <v>1526277.4676910653</v>
      </c>
      <c r="F12" s="31">
        <f t="shared" ref="F12:N12" si="4">F6+F11</f>
        <v>1526502.5000482802</v>
      </c>
      <c r="G12" s="31">
        <f t="shared" si="4"/>
        <v>1739312.2316568857</v>
      </c>
      <c r="H12" s="31">
        <f t="shared" si="4"/>
        <v>1876190.2930088311</v>
      </c>
      <c r="I12" s="31">
        <f t="shared" si="4"/>
        <v>1647288.247583502</v>
      </c>
      <c r="J12" s="31">
        <f t="shared" si="4"/>
        <v>1820664.952779223</v>
      </c>
      <c r="K12" s="31">
        <f t="shared" si="4"/>
        <v>2333968.1126510398</v>
      </c>
      <c r="L12" s="31">
        <f t="shared" si="4"/>
        <v>2126053.611282188</v>
      </c>
      <c r="M12" s="31">
        <f t="shared" si="4"/>
        <v>2297516.884148974</v>
      </c>
      <c r="N12" s="31">
        <f t="shared" si="4"/>
        <v>2380874.6590136848</v>
      </c>
      <c r="O12" s="31">
        <f t="shared" ref="O12:P12" si="5">O6+O11</f>
        <v>2816491.4220700478</v>
      </c>
      <c r="P12" s="31">
        <f t="shared" si="5"/>
        <v>3156752.3606160381</v>
      </c>
      <c r="Q12" s="4"/>
      <c r="R12" s="4"/>
      <c r="S12" s="4"/>
      <c r="T12" s="4"/>
      <c r="U12" s="3"/>
      <c r="V12" s="4"/>
      <c r="W12" s="4"/>
      <c r="X12" s="3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2"/>
      <c r="CT12" s="32"/>
      <c r="CU12" s="32"/>
      <c r="CV12" s="32"/>
      <c r="CW12" s="32"/>
      <c r="CX12" s="32"/>
      <c r="CY12" s="32"/>
      <c r="CZ12" s="32"/>
      <c r="DA12" s="32"/>
      <c r="DB12" s="32"/>
      <c r="DC12" s="32"/>
      <c r="DD12" s="32"/>
      <c r="DE12" s="32"/>
      <c r="DF12" s="32"/>
      <c r="DG12" s="32"/>
      <c r="DH12" s="32"/>
      <c r="DI12" s="32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32"/>
      <c r="ED12" s="32"/>
      <c r="EE12" s="32"/>
      <c r="EF12" s="32"/>
      <c r="EG12" s="32"/>
      <c r="EH12" s="32"/>
      <c r="EI12" s="32"/>
      <c r="EJ12" s="32"/>
      <c r="EK12" s="32"/>
      <c r="EL12" s="32"/>
      <c r="EM12" s="32"/>
      <c r="EN12" s="32"/>
      <c r="EO12" s="32"/>
      <c r="EP12" s="32"/>
      <c r="EQ12" s="32"/>
      <c r="ER12" s="32"/>
      <c r="ES12" s="32"/>
      <c r="ET12" s="32"/>
      <c r="EU12" s="32"/>
      <c r="EV12" s="32"/>
      <c r="EW12" s="32"/>
      <c r="EX12" s="32"/>
      <c r="EY12" s="32"/>
      <c r="EZ12" s="32"/>
      <c r="FA12" s="32"/>
      <c r="FB12" s="32"/>
      <c r="FC12" s="32"/>
      <c r="FD12" s="32"/>
      <c r="FE12" s="32"/>
      <c r="FF12" s="32"/>
      <c r="FG12" s="32"/>
      <c r="FH12" s="32"/>
      <c r="FI12" s="32"/>
      <c r="FJ12" s="32"/>
      <c r="FK12" s="32"/>
      <c r="FL12" s="32"/>
      <c r="FM12" s="32"/>
      <c r="FN12" s="32"/>
      <c r="FO12" s="32"/>
      <c r="FP12" s="32"/>
      <c r="FQ12" s="32"/>
      <c r="FR12" s="32"/>
      <c r="FS12" s="32"/>
      <c r="FT12" s="32"/>
      <c r="FU12" s="32"/>
      <c r="FV12" s="32"/>
      <c r="FW12" s="32"/>
      <c r="FX12" s="32"/>
      <c r="FY12" s="32"/>
      <c r="FZ12" s="32"/>
      <c r="GA12" s="32"/>
      <c r="GB12" s="32"/>
      <c r="GC12" s="32"/>
      <c r="GD12" s="32"/>
      <c r="GE12" s="32"/>
      <c r="GF12" s="32"/>
      <c r="GG12" s="32"/>
      <c r="GH12" s="27"/>
      <c r="GI12" s="27"/>
      <c r="GJ12" s="27"/>
    </row>
    <row r="13" spans="1:193" s="1" customFormat="1" ht="15.75" x14ac:dyDescent="0.25">
      <c r="A13" s="39" t="s">
        <v>32</v>
      </c>
      <c r="B13" s="40" t="s">
        <v>4</v>
      </c>
      <c r="C13" s="9">
        <v>1799826.1814169879</v>
      </c>
      <c r="D13" s="9">
        <v>2063113.0067930212</v>
      </c>
      <c r="E13" s="9">
        <v>2355433.1909117582</v>
      </c>
      <c r="F13" s="9">
        <v>2598199.3811383462</v>
      </c>
      <c r="G13" s="9">
        <v>2919650.4427197105</v>
      </c>
      <c r="H13" s="9">
        <v>3399754.4480883796</v>
      </c>
      <c r="I13" s="9">
        <v>3896547.425947268</v>
      </c>
      <c r="J13" s="9">
        <v>4368017.1913579619</v>
      </c>
      <c r="K13" s="9">
        <v>4341954.2444461621</v>
      </c>
      <c r="L13" s="9">
        <v>4240135.8585000001</v>
      </c>
      <c r="M13" s="9">
        <v>4517077.5360835642</v>
      </c>
      <c r="N13" s="9">
        <v>4848086.4439993277</v>
      </c>
      <c r="O13" s="9">
        <v>5250841.8225800358</v>
      </c>
      <c r="P13" s="9">
        <v>5658036.5338814808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K13" s="2"/>
    </row>
    <row r="14" spans="1:193" ht="30" x14ac:dyDescent="0.25">
      <c r="A14" s="18" t="s">
        <v>33</v>
      </c>
      <c r="B14" s="17" t="s">
        <v>5</v>
      </c>
      <c r="C14" s="9">
        <v>602407.89523970895</v>
      </c>
      <c r="D14" s="9">
        <v>619269.72924054496</v>
      </c>
      <c r="E14" s="9">
        <v>713480.03813751275</v>
      </c>
      <c r="F14" s="9">
        <v>756421.19990737177</v>
      </c>
      <c r="G14" s="9">
        <v>844349.01754716423</v>
      </c>
      <c r="H14" s="9">
        <v>757146.91776214773</v>
      </c>
      <c r="I14" s="9">
        <v>822846.56684937188</v>
      </c>
      <c r="J14" s="9">
        <v>855203.07569370873</v>
      </c>
      <c r="K14" s="9">
        <v>890301.63368454028</v>
      </c>
      <c r="L14" s="9">
        <v>863225.71808327071</v>
      </c>
      <c r="M14" s="9">
        <v>940115.76764613995</v>
      </c>
      <c r="N14" s="9">
        <v>1027641.4958729454</v>
      </c>
      <c r="O14" s="9">
        <v>1006781.9557278507</v>
      </c>
      <c r="P14" s="9">
        <v>976097.27504828933</v>
      </c>
      <c r="Q14" s="4"/>
      <c r="R14" s="4"/>
      <c r="S14" s="4"/>
      <c r="T14" s="4"/>
      <c r="U14" s="3"/>
      <c r="V14" s="4"/>
      <c r="W14" s="4"/>
      <c r="X14" s="3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3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3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3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1"/>
      <c r="GI14" s="1"/>
      <c r="GJ14" s="1"/>
    </row>
    <row r="15" spans="1:193" ht="15.75" x14ac:dyDescent="0.25">
      <c r="A15" s="18" t="s">
        <v>34</v>
      </c>
      <c r="B15" s="17" t="s">
        <v>6</v>
      </c>
      <c r="C15" s="9">
        <v>638216.17045650107</v>
      </c>
      <c r="D15" s="9">
        <v>711074.5111044395</v>
      </c>
      <c r="E15" s="9">
        <v>775083.61436557572</v>
      </c>
      <c r="F15" s="9">
        <v>807044.48542269319</v>
      </c>
      <c r="G15" s="9">
        <v>801175.24663065793</v>
      </c>
      <c r="H15" s="9">
        <v>866813.33811869321</v>
      </c>
      <c r="I15" s="9">
        <v>949890.42676842515</v>
      </c>
      <c r="J15" s="9">
        <v>1014879.1565012716</v>
      </c>
      <c r="K15" s="9">
        <v>1069057.9185769195</v>
      </c>
      <c r="L15" s="9">
        <v>1064775.1955279554</v>
      </c>
      <c r="M15" s="9">
        <v>1231814.1536438672</v>
      </c>
      <c r="N15" s="9">
        <v>1393425.3558285104</v>
      </c>
      <c r="O15" s="9">
        <v>1498862.9112471126</v>
      </c>
      <c r="P15" s="9">
        <v>1648873.4713548829</v>
      </c>
      <c r="Q15" s="4"/>
      <c r="R15" s="4"/>
      <c r="S15" s="4"/>
      <c r="T15" s="4"/>
      <c r="U15" s="3"/>
      <c r="V15" s="4"/>
      <c r="W15" s="4"/>
      <c r="X15" s="3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3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3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3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1"/>
      <c r="GI15" s="1"/>
      <c r="GJ15" s="1"/>
    </row>
    <row r="16" spans="1:193" s="28" customFormat="1" ht="15.75" x14ac:dyDescent="0.25">
      <c r="A16" s="29"/>
      <c r="B16" s="30" t="s">
        <v>29</v>
      </c>
      <c r="C16" s="31">
        <f>+C13+C14+C15</f>
        <v>3040450.247113198</v>
      </c>
      <c r="D16" s="31">
        <f t="shared" ref="D16:E16" si="6">+D13+D14+D15</f>
        <v>3393457.2471380057</v>
      </c>
      <c r="E16" s="31">
        <f t="shared" si="6"/>
        <v>3843996.8434148468</v>
      </c>
      <c r="F16" s="31">
        <f t="shared" ref="F16:H16" si="7">+F13+F14+F15</f>
        <v>4161665.0664684111</v>
      </c>
      <c r="G16" s="31">
        <f t="shared" si="7"/>
        <v>4565174.7068975326</v>
      </c>
      <c r="H16" s="31">
        <f t="shared" si="7"/>
        <v>5023714.7039692206</v>
      </c>
      <c r="I16" s="31">
        <f t="shared" ref="I16:M16" si="8">+I13+I14+I15</f>
        <v>5669284.4195650648</v>
      </c>
      <c r="J16" s="31">
        <f t="shared" si="8"/>
        <v>6238099.4235529425</v>
      </c>
      <c r="K16" s="31">
        <f t="shared" si="8"/>
        <v>6301313.7967076218</v>
      </c>
      <c r="L16" s="31">
        <f t="shared" si="8"/>
        <v>6168136.7721112259</v>
      </c>
      <c r="M16" s="31">
        <f t="shared" si="8"/>
        <v>6689007.4573735707</v>
      </c>
      <c r="N16" s="31">
        <f t="shared" ref="N16" si="9">+N13+N14+N15</f>
        <v>7269153.2957007838</v>
      </c>
      <c r="O16" s="31">
        <f t="shared" ref="O16:P16" si="10">+O13+O14+O15</f>
        <v>7756486.6895549996</v>
      </c>
      <c r="P16" s="31">
        <f t="shared" si="10"/>
        <v>8283007.2802846534</v>
      </c>
      <c r="Q16" s="4"/>
      <c r="R16" s="4"/>
      <c r="S16" s="4"/>
      <c r="T16" s="4"/>
      <c r="U16" s="3"/>
      <c r="V16" s="4"/>
      <c r="W16" s="4"/>
      <c r="X16" s="3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32"/>
      <c r="CB16" s="32"/>
      <c r="CC16" s="32"/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  <c r="CO16" s="32"/>
      <c r="CP16" s="32"/>
      <c r="CQ16" s="32"/>
      <c r="CR16" s="32"/>
      <c r="CS16" s="32"/>
      <c r="CT16" s="32"/>
      <c r="CU16" s="32"/>
      <c r="CV16" s="32"/>
      <c r="CW16" s="32"/>
      <c r="CX16" s="26"/>
      <c r="CY16" s="32"/>
      <c r="CZ16" s="32"/>
      <c r="DA16" s="32"/>
      <c r="DB16" s="32"/>
      <c r="DC16" s="32"/>
      <c r="DD16" s="32"/>
      <c r="DE16" s="32"/>
      <c r="DF16" s="32"/>
      <c r="DG16" s="32"/>
      <c r="DH16" s="32"/>
      <c r="DI16" s="32"/>
      <c r="DJ16" s="26"/>
      <c r="DK16" s="26"/>
      <c r="DL16" s="26"/>
      <c r="DM16" s="26"/>
      <c r="DN16" s="26"/>
      <c r="DO16" s="26"/>
      <c r="DP16" s="26"/>
      <c r="DQ16" s="26"/>
      <c r="DR16" s="26"/>
      <c r="DS16" s="26"/>
      <c r="DT16" s="26"/>
      <c r="DU16" s="26"/>
      <c r="DV16" s="26"/>
      <c r="DW16" s="26"/>
      <c r="DX16" s="26"/>
      <c r="DY16" s="26"/>
      <c r="DZ16" s="26"/>
      <c r="EA16" s="26"/>
      <c r="EB16" s="26"/>
      <c r="EC16" s="32"/>
      <c r="ED16" s="32"/>
      <c r="EE16" s="32"/>
      <c r="EF16" s="32"/>
      <c r="EG16" s="32"/>
      <c r="EH16" s="32"/>
      <c r="EI16" s="32"/>
      <c r="EJ16" s="32"/>
      <c r="EK16" s="32"/>
      <c r="EL16" s="32"/>
      <c r="EM16" s="32"/>
      <c r="EN16" s="32"/>
      <c r="EO16" s="32"/>
      <c r="EP16" s="32"/>
      <c r="EQ16" s="32"/>
      <c r="ER16" s="32"/>
      <c r="ES16" s="32"/>
      <c r="ET16" s="26"/>
      <c r="EU16" s="32"/>
      <c r="EV16" s="32"/>
      <c r="EW16" s="32"/>
      <c r="EX16" s="32"/>
      <c r="EY16" s="32"/>
      <c r="EZ16" s="32"/>
      <c r="FA16" s="32"/>
      <c r="FB16" s="32"/>
      <c r="FC16" s="32"/>
      <c r="FD16" s="32"/>
      <c r="FE16" s="32"/>
      <c r="FF16" s="32"/>
      <c r="FG16" s="32"/>
      <c r="FH16" s="32"/>
      <c r="FI16" s="32"/>
      <c r="FJ16" s="32"/>
      <c r="FK16" s="32"/>
      <c r="FL16" s="32"/>
      <c r="FM16" s="32"/>
      <c r="FN16" s="32"/>
      <c r="FO16" s="32"/>
      <c r="FP16" s="32"/>
      <c r="FQ16" s="32"/>
      <c r="FR16" s="26"/>
      <c r="FS16" s="32"/>
      <c r="FT16" s="32"/>
      <c r="FU16" s="32"/>
      <c r="FV16" s="32"/>
      <c r="FW16" s="32"/>
      <c r="FX16" s="32"/>
      <c r="FY16" s="32"/>
      <c r="FZ16" s="32"/>
      <c r="GA16" s="32"/>
      <c r="GB16" s="32"/>
      <c r="GC16" s="32"/>
      <c r="GD16" s="32"/>
      <c r="GE16" s="32"/>
      <c r="GF16" s="32"/>
      <c r="GG16" s="32"/>
      <c r="GH16" s="27"/>
      <c r="GI16" s="27"/>
      <c r="GJ16" s="27"/>
    </row>
    <row r="17" spans="1:193" s="27" customFormat="1" ht="15.75" x14ac:dyDescent="0.25">
      <c r="A17" s="23" t="s">
        <v>35</v>
      </c>
      <c r="B17" s="24" t="s">
        <v>7</v>
      </c>
      <c r="C17" s="25">
        <f>C18+C19</f>
        <v>456828.62660000002</v>
      </c>
      <c r="D17" s="25">
        <f t="shared" ref="D17:E17" si="11">D18+D19</f>
        <v>513987.56628742797</v>
      </c>
      <c r="E17" s="25">
        <f t="shared" si="11"/>
        <v>583015.79344533104</v>
      </c>
      <c r="F17" s="25">
        <f t="shared" ref="F17:H17" si="12">F18+F19</f>
        <v>667246.67818449531</v>
      </c>
      <c r="G17" s="25">
        <f t="shared" si="12"/>
        <v>735939.27950114023</v>
      </c>
      <c r="H17" s="25">
        <f t="shared" si="12"/>
        <v>820390.99813728745</v>
      </c>
      <c r="I17" s="25">
        <f t="shared" ref="I17:M17" si="13">I18+I19</f>
        <v>937350.05461953604</v>
      </c>
      <c r="J17" s="25">
        <f t="shared" si="13"/>
        <v>1069367.7107920456</v>
      </c>
      <c r="K17" s="25">
        <f t="shared" si="13"/>
        <v>1163149.8501918998</v>
      </c>
      <c r="L17" s="25">
        <f t="shared" si="13"/>
        <v>891433.40462690848</v>
      </c>
      <c r="M17" s="25">
        <f t="shared" si="13"/>
        <v>1132825.5668558469</v>
      </c>
      <c r="N17" s="25">
        <f t="shared" ref="N17" si="14">N18+N19</f>
        <v>1459612.5513562686</v>
      </c>
      <c r="O17" s="25">
        <f t="shared" ref="O17:P17" si="15">O18+O19</f>
        <v>1577397.4561102539</v>
      </c>
      <c r="P17" s="25">
        <f t="shared" si="15"/>
        <v>1670534.4225274539</v>
      </c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  <c r="CK17" s="26"/>
      <c r="CL17" s="26"/>
      <c r="CM17" s="26"/>
      <c r="CN17" s="26"/>
      <c r="CO17" s="26"/>
      <c r="CP17" s="26"/>
      <c r="CQ17" s="26"/>
      <c r="CR17" s="26"/>
      <c r="CS17" s="26"/>
      <c r="CT17" s="26"/>
      <c r="CU17" s="26"/>
      <c r="CV17" s="26"/>
      <c r="CW17" s="26"/>
      <c r="CX17" s="26"/>
      <c r="CY17" s="26"/>
      <c r="CZ17" s="26"/>
      <c r="DA17" s="26"/>
      <c r="DB17" s="26"/>
      <c r="DC17" s="26"/>
      <c r="DD17" s="26"/>
      <c r="DE17" s="26"/>
      <c r="DF17" s="26"/>
      <c r="DG17" s="26"/>
      <c r="DH17" s="26"/>
      <c r="DI17" s="26"/>
      <c r="DJ17" s="26"/>
      <c r="DK17" s="26"/>
      <c r="DL17" s="26"/>
      <c r="DM17" s="26"/>
      <c r="DN17" s="26"/>
      <c r="DO17" s="26"/>
      <c r="DP17" s="26"/>
      <c r="DQ17" s="26"/>
      <c r="DR17" s="26"/>
      <c r="DS17" s="26"/>
      <c r="DT17" s="26"/>
      <c r="DU17" s="26"/>
      <c r="DV17" s="26"/>
      <c r="DW17" s="26"/>
      <c r="DX17" s="26"/>
      <c r="DY17" s="26"/>
      <c r="DZ17" s="26"/>
      <c r="EA17" s="26"/>
      <c r="EB17" s="26"/>
      <c r="EC17" s="26"/>
      <c r="ED17" s="26"/>
      <c r="EE17" s="26"/>
      <c r="EF17" s="26"/>
      <c r="EG17" s="26"/>
      <c r="EH17" s="26"/>
      <c r="EI17" s="26"/>
      <c r="EJ17" s="26"/>
      <c r="EK17" s="26"/>
      <c r="EL17" s="26"/>
      <c r="EM17" s="26"/>
      <c r="EN17" s="26"/>
      <c r="EO17" s="26"/>
      <c r="EP17" s="26"/>
      <c r="EQ17" s="26"/>
      <c r="ER17" s="26"/>
      <c r="ES17" s="26"/>
      <c r="ET17" s="26"/>
      <c r="EU17" s="26"/>
      <c r="EV17" s="26"/>
      <c r="EW17" s="26"/>
      <c r="EX17" s="26"/>
      <c r="EY17" s="26"/>
      <c r="EZ17" s="26"/>
      <c r="FA17" s="26"/>
      <c r="FB17" s="26"/>
      <c r="FC17" s="26"/>
      <c r="FD17" s="26"/>
      <c r="FE17" s="26"/>
      <c r="FF17" s="26"/>
      <c r="FG17" s="26"/>
      <c r="FH17" s="26"/>
      <c r="FI17" s="26"/>
      <c r="FJ17" s="26"/>
      <c r="FK17" s="26"/>
      <c r="FL17" s="26"/>
      <c r="FM17" s="26"/>
      <c r="FN17" s="26"/>
      <c r="FO17" s="26"/>
      <c r="FP17" s="26"/>
      <c r="FQ17" s="26"/>
      <c r="FR17" s="26"/>
      <c r="FS17" s="26"/>
      <c r="FT17" s="26"/>
      <c r="FU17" s="26"/>
      <c r="FV17" s="26"/>
      <c r="FW17" s="26"/>
      <c r="FX17" s="26"/>
      <c r="FY17" s="26"/>
      <c r="FZ17" s="26"/>
      <c r="GA17" s="26"/>
      <c r="GB17" s="26"/>
      <c r="GC17" s="26"/>
      <c r="GD17" s="26"/>
      <c r="GE17" s="26"/>
      <c r="GF17" s="26"/>
      <c r="GG17" s="26"/>
      <c r="GK17" s="28"/>
    </row>
    <row r="18" spans="1:193" ht="15.75" x14ac:dyDescent="0.25">
      <c r="A18" s="16">
        <v>6.1</v>
      </c>
      <c r="B18" s="17" t="s">
        <v>8</v>
      </c>
      <c r="C18" s="9">
        <v>357260.09480000002</v>
      </c>
      <c r="D18" s="9">
        <v>407784.44128742797</v>
      </c>
      <c r="E18" s="9">
        <v>473097.78484533104</v>
      </c>
      <c r="F18" s="9">
        <v>552064.53937206883</v>
      </c>
      <c r="G18" s="9">
        <v>609915.00693307247</v>
      </c>
      <c r="H18" s="9">
        <v>683481.48439999996</v>
      </c>
      <c r="I18" s="9">
        <v>787167.9941764666</v>
      </c>
      <c r="J18" s="9">
        <v>907976.01994621265</v>
      </c>
      <c r="K18" s="9">
        <v>992709.44797500107</v>
      </c>
      <c r="L18" s="9">
        <v>816203.49122304388</v>
      </c>
      <c r="M18" s="9">
        <v>1008308.5252956034</v>
      </c>
      <c r="N18" s="9">
        <v>1220186.7611942228</v>
      </c>
      <c r="O18" s="9">
        <v>1309619.6171384212</v>
      </c>
      <c r="P18" s="9">
        <v>1377845.100547889</v>
      </c>
      <c r="Q18" s="4"/>
      <c r="R18" s="4"/>
      <c r="S18" s="4"/>
      <c r="T18" s="4"/>
      <c r="U18" s="3"/>
      <c r="V18" s="4"/>
      <c r="W18" s="4"/>
      <c r="X18" s="3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1"/>
      <c r="GI18" s="1"/>
      <c r="GJ18" s="1"/>
    </row>
    <row r="19" spans="1:193" ht="15.75" x14ac:dyDescent="0.25">
      <c r="A19" s="16">
        <v>6.2</v>
      </c>
      <c r="B19" s="17" t="s">
        <v>9</v>
      </c>
      <c r="C19" s="9">
        <v>99568.531799999997</v>
      </c>
      <c r="D19" s="9">
        <v>106203.125</v>
      </c>
      <c r="E19" s="9">
        <v>109918.0086</v>
      </c>
      <c r="F19" s="9">
        <v>115182.13881242643</v>
      </c>
      <c r="G19" s="9">
        <v>126024.27256806772</v>
      </c>
      <c r="H19" s="9">
        <v>136909.51373728746</v>
      </c>
      <c r="I19" s="9">
        <v>150182.06044306938</v>
      </c>
      <c r="J19" s="9">
        <v>161391.69084583284</v>
      </c>
      <c r="K19" s="9">
        <v>170440.40221689883</v>
      </c>
      <c r="L19" s="9">
        <v>75229.913403864615</v>
      </c>
      <c r="M19" s="9">
        <v>124517.04156024352</v>
      </c>
      <c r="N19" s="9">
        <v>239425.79016204583</v>
      </c>
      <c r="O19" s="9">
        <v>267777.83897183265</v>
      </c>
      <c r="P19" s="9">
        <v>292689.32197956485</v>
      </c>
      <c r="Q19" s="4"/>
      <c r="R19" s="4"/>
      <c r="S19" s="4"/>
      <c r="T19" s="4"/>
      <c r="U19" s="3"/>
      <c r="V19" s="4"/>
      <c r="W19" s="4"/>
      <c r="X19" s="3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1"/>
      <c r="GI19" s="1"/>
      <c r="GJ19" s="1"/>
    </row>
    <row r="20" spans="1:193" s="1" customFormat="1" ht="30" x14ac:dyDescent="0.25">
      <c r="A20" s="19" t="s">
        <v>36</v>
      </c>
      <c r="B20" s="20" t="s">
        <v>10</v>
      </c>
      <c r="C20" s="15">
        <f>SUM(C21:C27)</f>
        <v>300835.870796</v>
      </c>
      <c r="D20" s="15">
        <f t="shared" ref="D20:N20" si="16">SUM(D21:D27)</f>
        <v>351967.55537084176</v>
      </c>
      <c r="E20" s="15">
        <f t="shared" si="16"/>
        <v>445447.44939499034</v>
      </c>
      <c r="F20" s="15">
        <f t="shared" si="16"/>
        <v>509170.49298156193</v>
      </c>
      <c r="G20" s="15">
        <f t="shared" si="16"/>
        <v>578163.26833007089</v>
      </c>
      <c r="H20" s="15">
        <f t="shared" si="16"/>
        <v>599638.83965897455</v>
      </c>
      <c r="I20" s="15">
        <f t="shared" si="16"/>
        <v>648863.65960264357</v>
      </c>
      <c r="J20" s="15">
        <f t="shared" si="16"/>
        <v>681920.7100018023</v>
      </c>
      <c r="K20" s="15">
        <f t="shared" si="16"/>
        <v>729556.72206855239</v>
      </c>
      <c r="L20" s="15">
        <f t="shared" si="16"/>
        <v>671418.3878697406</v>
      </c>
      <c r="M20" s="15">
        <f t="shared" si="16"/>
        <v>854963.58645988675</v>
      </c>
      <c r="N20" s="15">
        <f t="shared" si="16"/>
        <v>897163.32271203934</v>
      </c>
      <c r="O20" s="15">
        <f t="shared" ref="O20:P20" si="17">SUM(O21:O27)</f>
        <v>954688.74272278824</v>
      </c>
      <c r="P20" s="15">
        <f t="shared" si="17"/>
        <v>1058112.6571898651</v>
      </c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K20" s="2"/>
    </row>
    <row r="21" spans="1:193" ht="15.75" x14ac:dyDescent="0.25">
      <c r="A21" s="16">
        <v>7.1</v>
      </c>
      <c r="B21" s="17" t="s">
        <v>11</v>
      </c>
      <c r="C21" s="9">
        <v>1720</v>
      </c>
      <c r="D21" s="9">
        <v>1919</v>
      </c>
      <c r="E21" s="9">
        <v>2309</v>
      </c>
      <c r="F21" s="9">
        <v>3002</v>
      </c>
      <c r="G21" s="9">
        <v>2936</v>
      </c>
      <c r="H21" s="9">
        <v>2640</v>
      </c>
      <c r="I21" s="9">
        <v>1788</v>
      </c>
      <c r="J21" s="9">
        <v>2058</v>
      </c>
      <c r="K21" s="9">
        <v>2268</v>
      </c>
      <c r="L21" s="9">
        <v>1521</v>
      </c>
      <c r="M21" s="9">
        <v>4974</v>
      </c>
      <c r="N21" s="9">
        <v>11203</v>
      </c>
      <c r="O21" s="9">
        <v>13779.69</v>
      </c>
      <c r="P21" s="9">
        <v>16949.018700000001</v>
      </c>
      <c r="Q21" s="4"/>
      <c r="R21" s="4"/>
      <c r="S21" s="4"/>
      <c r="T21" s="4"/>
      <c r="U21" s="3"/>
      <c r="V21" s="4"/>
      <c r="W21" s="4"/>
      <c r="X21" s="3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1"/>
      <c r="GI21" s="1"/>
      <c r="GJ21" s="1"/>
    </row>
    <row r="22" spans="1:193" ht="15.75" x14ac:dyDescent="0.25">
      <c r="A22" s="16">
        <v>7.2</v>
      </c>
      <c r="B22" s="17" t="s">
        <v>12</v>
      </c>
      <c r="C22" s="9">
        <v>169770.73120000001</v>
      </c>
      <c r="D22" s="9">
        <v>212616.78023028758</v>
      </c>
      <c r="E22" s="9">
        <v>273314.16020917322</v>
      </c>
      <c r="F22" s="9">
        <v>308974.29532824561</v>
      </c>
      <c r="G22" s="9">
        <v>341151.974066686</v>
      </c>
      <c r="H22" s="9">
        <v>348388.55300944328</v>
      </c>
      <c r="I22" s="9">
        <v>377569.27762762189</v>
      </c>
      <c r="J22" s="9">
        <v>407928.00327375776</v>
      </c>
      <c r="K22" s="9">
        <v>415769.08053292707</v>
      </c>
      <c r="L22" s="9">
        <v>328747.82566974056</v>
      </c>
      <c r="M22" s="9">
        <v>468984.9270083122</v>
      </c>
      <c r="N22" s="9">
        <v>488030.68835398625</v>
      </c>
      <c r="O22" s="9">
        <v>511111.64606525184</v>
      </c>
      <c r="P22" s="9">
        <v>561634.41750134411</v>
      </c>
      <c r="Q22" s="4"/>
      <c r="R22" s="4"/>
      <c r="S22" s="4"/>
      <c r="T22" s="4"/>
      <c r="U22" s="3"/>
      <c r="V22" s="4"/>
      <c r="W22" s="4"/>
      <c r="X22" s="3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1"/>
      <c r="GI22" s="1"/>
      <c r="GJ22" s="1"/>
    </row>
    <row r="23" spans="1:193" ht="15.75" x14ac:dyDescent="0.25">
      <c r="A23" s="16">
        <v>7.3</v>
      </c>
      <c r="B23" s="17" t="s">
        <v>13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4"/>
      <c r="R23" s="4"/>
      <c r="S23" s="4"/>
      <c r="T23" s="4"/>
      <c r="U23" s="3"/>
      <c r="V23" s="4"/>
      <c r="W23" s="4"/>
      <c r="X23" s="3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1"/>
      <c r="GI23" s="1"/>
      <c r="GJ23" s="1"/>
    </row>
    <row r="24" spans="1:193" ht="15.75" x14ac:dyDescent="0.25">
      <c r="A24" s="16">
        <v>7.4</v>
      </c>
      <c r="B24" s="17" t="s">
        <v>14</v>
      </c>
      <c r="C24" s="9">
        <v>897.60829999999999</v>
      </c>
      <c r="D24" s="9">
        <v>1670.0835</v>
      </c>
      <c r="E24" s="9">
        <v>1451.7888</v>
      </c>
      <c r="F24" s="9">
        <v>2318.8463140896238</v>
      </c>
      <c r="G24" s="9">
        <v>921.90995825075299</v>
      </c>
      <c r="H24" s="9">
        <v>1123.9652000000001</v>
      </c>
      <c r="I24" s="9">
        <v>1316.1765</v>
      </c>
      <c r="J24" s="9">
        <v>603.87261689265767</v>
      </c>
      <c r="K24" s="9">
        <v>1240.4929788372301</v>
      </c>
      <c r="L24" s="9">
        <v>1091.9428</v>
      </c>
      <c r="M24" s="9">
        <v>879.92629166516383</v>
      </c>
      <c r="N24" s="9">
        <v>1137.2713292752646</v>
      </c>
      <c r="O24" s="9">
        <v>2093.7286363845919</v>
      </c>
      <c r="P24" s="9">
        <v>2278.1633025743276</v>
      </c>
      <c r="Q24" s="4"/>
      <c r="R24" s="4"/>
      <c r="S24" s="4"/>
      <c r="T24" s="4"/>
      <c r="U24" s="3"/>
      <c r="V24" s="4"/>
      <c r="W24" s="4"/>
      <c r="X24" s="3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1"/>
      <c r="GI24" s="1"/>
      <c r="GJ24" s="1"/>
    </row>
    <row r="25" spans="1:193" ht="15.75" x14ac:dyDescent="0.25">
      <c r="A25" s="16">
        <v>7.5</v>
      </c>
      <c r="B25" s="17" t="s">
        <v>15</v>
      </c>
      <c r="C25" s="9">
        <v>813.8578</v>
      </c>
      <c r="D25" s="9">
        <v>1023.9473870033383</v>
      </c>
      <c r="E25" s="9">
        <v>1333.5168000000001</v>
      </c>
      <c r="F25" s="9">
        <v>1504.7832463773091</v>
      </c>
      <c r="G25" s="9">
        <v>1575.6279286467416</v>
      </c>
      <c r="H25" s="9">
        <v>5533.9744000000001</v>
      </c>
      <c r="I25" s="9">
        <v>6021.8771999999999</v>
      </c>
      <c r="J25" s="9">
        <v>6497.0399139949459</v>
      </c>
      <c r="K25" s="9">
        <v>6909.7721517467908</v>
      </c>
      <c r="L25" s="9">
        <v>2930.7979999999998</v>
      </c>
      <c r="M25" s="9">
        <v>4490.4152508796906</v>
      </c>
      <c r="N25" s="9">
        <v>6218.6035991854296</v>
      </c>
      <c r="O25" s="9">
        <v>7822.7578325990335</v>
      </c>
      <c r="P25" s="9">
        <v>9181.0095914533231</v>
      </c>
      <c r="Q25" s="4"/>
      <c r="R25" s="4"/>
      <c r="S25" s="4"/>
      <c r="T25" s="4"/>
      <c r="U25" s="3"/>
      <c r="V25" s="4"/>
      <c r="W25" s="4"/>
      <c r="X25" s="3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1"/>
      <c r="GI25" s="1"/>
      <c r="GJ25" s="1"/>
    </row>
    <row r="26" spans="1:193" ht="15.75" x14ac:dyDescent="0.25">
      <c r="A26" s="16">
        <v>7.6</v>
      </c>
      <c r="B26" s="17" t="s">
        <v>16</v>
      </c>
      <c r="C26" s="9">
        <v>163.11439999999999</v>
      </c>
      <c r="D26" s="9">
        <v>180.86614915254233</v>
      </c>
      <c r="E26" s="9">
        <v>120.12833220338983</v>
      </c>
      <c r="F26" s="9">
        <v>142.30912726228095</v>
      </c>
      <c r="G26" s="9">
        <v>142.55394158766637</v>
      </c>
      <c r="H26" s="9">
        <v>581.74556102014117</v>
      </c>
      <c r="I26" s="9">
        <v>135.59200000000001</v>
      </c>
      <c r="J26" s="9">
        <v>290.78879302336384</v>
      </c>
      <c r="K26" s="9">
        <v>189.91412667434255</v>
      </c>
      <c r="L26" s="9">
        <v>93.821399999999997</v>
      </c>
      <c r="M26" s="9">
        <v>282.0946397982645</v>
      </c>
      <c r="N26" s="9">
        <v>220.41746469726777</v>
      </c>
      <c r="O26" s="9">
        <v>228.49756862779509</v>
      </c>
      <c r="P26" s="9">
        <v>235.63118429588337</v>
      </c>
      <c r="Q26" s="4"/>
      <c r="R26" s="4"/>
      <c r="S26" s="4"/>
      <c r="T26" s="4"/>
      <c r="U26" s="3"/>
      <c r="V26" s="4"/>
      <c r="W26" s="4"/>
      <c r="X26" s="3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1"/>
      <c r="GI26" s="1"/>
      <c r="GJ26" s="1"/>
    </row>
    <row r="27" spans="1:193" ht="30" x14ac:dyDescent="0.25">
      <c r="A27" s="16">
        <v>7.7</v>
      </c>
      <c r="B27" s="17" t="s">
        <v>17</v>
      </c>
      <c r="C27" s="9">
        <v>127470.55909600001</v>
      </c>
      <c r="D27" s="9">
        <v>134556.87810439832</v>
      </c>
      <c r="E27" s="9">
        <v>166918.85525361379</v>
      </c>
      <c r="F27" s="9">
        <v>193228.25896558713</v>
      </c>
      <c r="G27" s="9">
        <v>231435.20243489969</v>
      </c>
      <c r="H27" s="9">
        <v>241370.60148851111</v>
      </c>
      <c r="I27" s="9">
        <v>262032.73627502169</v>
      </c>
      <c r="J27" s="9">
        <v>264543.00540413358</v>
      </c>
      <c r="K27" s="9">
        <v>303179.46227836702</v>
      </c>
      <c r="L27" s="9">
        <v>337033</v>
      </c>
      <c r="M27" s="9">
        <v>375352.22326923138</v>
      </c>
      <c r="N27" s="9">
        <v>390353.34196489514</v>
      </c>
      <c r="O27" s="9">
        <v>419652.422619925</v>
      </c>
      <c r="P27" s="9">
        <v>467834.41691019747</v>
      </c>
      <c r="Q27" s="4"/>
      <c r="R27" s="4"/>
      <c r="S27" s="4"/>
      <c r="T27" s="4"/>
      <c r="U27" s="3"/>
      <c r="V27" s="4"/>
      <c r="W27" s="4"/>
      <c r="X27" s="3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4"/>
      <c r="GG27" s="4"/>
      <c r="GH27" s="1"/>
      <c r="GI27" s="1"/>
      <c r="GJ27" s="1"/>
    </row>
    <row r="28" spans="1:193" ht="15.75" x14ac:dyDescent="0.25">
      <c r="A28" s="18" t="s">
        <v>37</v>
      </c>
      <c r="B28" s="17" t="s">
        <v>18</v>
      </c>
      <c r="C28" s="9">
        <v>287346</v>
      </c>
      <c r="D28" s="9">
        <v>318473</v>
      </c>
      <c r="E28" s="9">
        <v>332560</v>
      </c>
      <c r="F28" s="9">
        <v>376774</v>
      </c>
      <c r="G28" s="9">
        <v>426087</v>
      </c>
      <c r="H28" s="9">
        <v>414225</v>
      </c>
      <c r="I28" s="9">
        <v>377042</v>
      </c>
      <c r="J28" s="9">
        <v>408032</v>
      </c>
      <c r="K28" s="9">
        <v>427268</v>
      </c>
      <c r="L28" s="9">
        <v>464843</v>
      </c>
      <c r="M28" s="9">
        <v>532136</v>
      </c>
      <c r="N28" s="9">
        <v>616477</v>
      </c>
      <c r="O28" s="9">
        <v>703708.49549999996</v>
      </c>
      <c r="P28" s="9">
        <v>791672.05743749999</v>
      </c>
      <c r="Q28" s="4"/>
      <c r="R28" s="4"/>
      <c r="S28" s="4"/>
      <c r="T28" s="4"/>
      <c r="U28" s="3"/>
      <c r="V28" s="4"/>
      <c r="W28" s="4"/>
      <c r="X28" s="3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1"/>
      <c r="GI28" s="1"/>
      <c r="GJ28" s="1"/>
    </row>
    <row r="29" spans="1:193" ht="30" x14ac:dyDescent="0.25">
      <c r="A29" s="18" t="s">
        <v>38</v>
      </c>
      <c r="B29" s="17" t="s">
        <v>19</v>
      </c>
      <c r="C29" s="9">
        <v>674893.50534000003</v>
      </c>
      <c r="D29" s="9">
        <v>816169.76530083315</v>
      </c>
      <c r="E29" s="9">
        <v>967575.89409083338</v>
      </c>
      <c r="F29" s="9">
        <v>1095658.7986363091</v>
      </c>
      <c r="G29" s="9">
        <v>1167523.7768102095</v>
      </c>
      <c r="H29" s="9">
        <v>1275421.5201000001</v>
      </c>
      <c r="I29" s="9">
        <v>1423779.8449675469</v>
      </c>
      <c r="J29" s="9">
        <v>1560672.3245244045</v>
      </c>
      <c r="K29" s="9">
        <v>1601550.8901090894</v>
      </c>
      <c r="L29" s="9">
        <v>1647619.0368541188</v>
      </c>
      <c r="M29" s="9">
        <v>1902565.3546648144</v>
      </c>
      <c r="N29" s="9">
        <v>2201703.458012037</v>
      </c>
      <c r="O29" s="9">
        <v>2503942.1824435326</v>
      </c>
      <c r="P29" s="9">
        <v>2735751.0606013839</v>
      </c>
      <c r="Q29" s="4"/>
      <c r="R29" s="4"/>
      <c r="S29" s="4"/>
      <c r="T29" s="4"/>
      <c r="U29" s="3"/>
      <c r="V29" s="4"/>
      <c r="W29" s="4"/>
      <c r="X29" s="3"/>
      <c r="Y29" s="5"/>
      <c r="Z29" s="5"/>
      <c r="AA29" s="5"/>
      <c r="AB29" s="5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1"/>
      <c r="GI29" s="1"/>
      <c r="GJ29" s="1"/>
    </row>
    <row r="30" spans="1:193" ht="15.75" x14ac:dyDescent="0.25">
      <c r="A30" s="18" t="s">
        <v>39</v>
      </c>
      <c r="B30" s="17" t="s">
        <v>54</v>
      </c>
      <c r="C30" s="9">
        <v>375875</v>
      </c>
      <c r="D30" s="9">
        <v>437936</v>
      </c>
      <c r="E30" s="9">
        <v>468316</v>
      </c>
      <c r="F30" s="9">
        <v>522436.2</v>
      </c>
      <c r="G30" s="9">
        <v>543563.67999999993</v>
      </c>
      <c r="H30" s="9">
        <v>616428</v>
      </c>
      <c r="I30" s="9">
        <v>683289</v>
      </c>
      <c r="J30" s="9">
        <v>713756</v>
      </c>
      <c r="K30" s="9">
        <v>775892</v>
      </c>
      <c r="L30" s="9">
        <v>798047</v>
      </c>
      <c r="M30" s="9">
        <v>849174</v>
      </c>
      <c r="N30" s="9">
        <v>1075703</v>
      </c>
      <c r="O30" s="9">
        <v>1126968.39961</v>
      </c>
      <c r="P30" s="9">
        <v>1189715.7653032152</v>
      </c>
      <c r="Q30" s="4"/>
      <c r="R30" s="4"/>
      <c r="S30" s="4"/>
      <c r="T30" s="4"/>
      <c r="U30" s="3"/>
      <c r="V30" s="4"/>
      <c r="W30" s="4"/>
      <c r="X30" s="3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1"/>
      <c r="GI30" s="1"/>
      <c r="GJ30" s="1"/>
    </row>
    <row r="31" spans="1:193" ht="15.75" x14ac:dyDescent="0.25">
      <c r="A31" s="18" t="s">
        <v>40</v>
      </c>
      <c r="B31" s="17" t="s">
        <v>20</v>
      </c>
      <c r="C31" s="9">
        <v>612782.90888360061</v>
      </c>
      <c r="D31" s="9">
        <v>714592.67031176749</v>
      </c>
      <c r="E31" s="9">
        <v>768580.93651047559</v>
      </c>
      <c r="F31" s="9">
        <v>873699.29289455677</v>
      </c>
      <c r="G31" s="9">
        <v>969910.76572550216</v>
      </c>
      <c r="H31" s="9">
        <v>1123455.3969146621</v>
      </c>
      <c r="I31" s="9">
        <v>1273013.811353174</v>
      </c>
      <c r="J31" s="9">
        <v>1405888.7035208999</v>
      </c>
      <c r="K31" s="9">
        <v>1571467.5143243871</v>
      </c>
      <c r="L31" s="9">
        <v>1540901.6573693091</v>
      </c>
      <c r="M31" s="9">
        <v>1662687.1446126793</v>
      </c>
      <c r="N31" s="9">
        <v>2083325.7803739677</v>
      </c>
      <c r="O31" s="9">
        <v>2226783.7336662565</v>
      </c>
      <c r="P31" s="9">
        <v>2453923.6837663562</v>
      </c>
      <c r="Q31" s="4"/>
      <c r="R31" s="4"/>
      <c r="S31" s="4"/>
      <c r="T31" s="4"/>
      <c r="U31" s="3"/>
      <c r="V31" s="4"/>
      <c r="W31" s="4"/>
      <c r="X31" s="3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1"/>
      <c r="GI31" s="1"/>
      <c r="GJ31" s="1"/>
    </row>
    <row r="32" spans="1:193" s="28" customFormat="1" ht="15.75" x14ac:dyDescent="0.25">
      <c r="A32" s="29"/>
      <c r="B32" s="30" t="s">
        <v>30</v>
      </c>
      <c r="C32" s="31">
        <f>C17+C20+C28+C29+C30+C31</f>
        <v>2708561.9116196004</v>
      </c>
      <c r="D32" s="31">
        <f t="shared" ref="D32:E32" si="18">D17+D20+D28+D29+D30+D31</f>
        <v>3153126.5572708705</v>
      </c>
      <c r="E32" s="31">
        <f t="shared" si="18"/>
        <v>3565496.0734416302</v>
      </c>
      <c r="F32" s="31">
        <f t="shared" ref="F32:H32" si="19">F17+F20+F28+F29+F30+F31</f>
        <v>4044985.4626969234</v>
      </c>
      <c r="G32" s="31">
        <f t="shared" si="19"/>
        <v>4421187.770366922</v>
      </c>
      <c r="H32" s="31">
        <f t="shared" si="19"/>
        <v>4849559.7548109237</v>
      </c>
      <c r="I32" s="31">
        <f t="shared" ref="I32:K32" si="20">I17+I20+I28+I29+I30+I31</f>
        <v>5343338.3705429006</v>
      </c>
      <c r="J32" s="31">
        <f t="shared" si="20"/>
        <v>5839637.4488391522</v>
      </c>
      <c r="K32" s="31">
        <f t="shared" si="20"/>
        <v>6268884.9766939282</v>
      </c>
      <c r="L32" s="31">
        <f t="shared" ref="L32:M32" si="21">L17+L20+L28+L29+L30+L31</f>
        <v>6014262.4867200768</v>
      </c>
      <c r="M32" s="31">
        <f t="shared" si="21"/>
        <v>6934351.6525932271</v>
      </c>
      <c r="N32" s="31">
        <f t="shared" ref="N32" si="22">N17+N20+N28+N29+N30+N31</f>
        <v>8333985.1124543119</v>
      </c>
      <c r="O32" s="31">
        <f t="shared" ref="O32:P32" si="23">O17+O20+O28+O29+O30+O31</f>
        <v>9093489.01005283</v>
      </c>
      <c r="P32" s="31">
        <f t="shared" si="23"/>
        <v>9899709.6468257736</v>
      </c>
      <c r="Q32" s="4"/>
      <c r="R32" s="4"/>
      <c r="S32" s="4"/>
      <c r="T32" s="4"/>
      <c r="U32" s="3"/>
      <c r="V32" s="4"/>
      <c r="W32" s="4"/>
      <c r="X32" s="3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  <c r="CI32" s="32"/>
      <c r="CJ32" s="32"/>
      <c r="CK32" s="32"/>
      <c r="CL32" s="32"/>
      <c r="CM32" s="32"/>
      <c r="CN32" s="32"/>
      <c r="CO32" s="32"/>
      <c r="CP32" s="32"/>
      <c r="CQ32" s="32"/>
      <c r="CR32" s="32"/>
      <c r="CS32" s="32"/>
      <c r="CT32" s="32"/>
      <c r="CU32" s="32"/>
      <c r="CV32" s="32"/>
      <c r="CW32" s="32"/>
      <c r="CX32" s="32"/>
      <c r="CY32" s="32"/>
      <c r="CZ32" s="32"/>
      <c r="DA32" s="32"/>
      <c r="DB32" s="32"/>
      <c r="DC32" s="32"/>
      <c r="DD32" s="32"/>
      <c r="DE32" s="32"/>
      <c r="DF32" s="32"/>
      <c r="DG32" s="32"/>
      <c r="DH32" s="32"/>
      <c r="DI32" s="32"/>
      <c r="DJ32" s="26"/>
      <c r="DK32" s="26"/>
      <c r="DL32" s="26"/>
      <c r="DM32" s="26"/>
      <c r="DN32" s="26"/>
      <c r="DO32" s="26"/>
      <c r="DP32" s="26"/>
      <c r="DQ32" s="26"/>
      <c r="DR32" s="26"/>
      <c r="DS32" s="26"/>
      <c r="DT32" s="26"/>
      <c r="DU32" s="26"/>
      <c r="DV32" s="26"/>
      <c r="DW32" s="26"/>
      <c r="DX32" s="26"/>
      <c r="DY32" s="26"/>
      <c r="DZ32" s="26"/>
      <c r="EA32" s="26"/>
      <c r="EB32" s="26"/>
      <c r="EC32" s="32"/>
      <c r="ED32" s="32"/>
      <c r="EE32" s="32"/>
      <c r="EF32" s="32"/>
      <c r="EG32" s="32"/>
      <c r="EH32" s="32"/>
      <c r="EI32" s="32"/>
      <c r="EJ32" s="32"/>
      <c r="EK32" s="32"/>
      <c r="EL32" s="32"/>
      <c r="EM32" s="32"/>
      <c r="EN32" s="32"/>
      <c r="EO32" s="32"/>
      <c r="EP32" s="32"/>
      <c r="EQ32" s="32"/>
      <c r="ER32" s="32"/>
      <c r="ES32" s="32"/>
      <c r="ET32" s="32"/>
      <c r="EU32" s="32"/>
      <c r="EV32" s="32"/>
      <c r="EW32" s="32"/>
      <c r="EX32" s="32"/>
      <c r="EY32" s="32"/>
      <c r="EZ32" s="32"/>
      <c r="FA32" s="32"/>
      <c r="FB32" s="32"/>
      <c r="FC32" s="32"/>
      <c r="FD32" s="32"/>
      <c r="FE32" s="32"/>
      <c r="FF32" s="32"/>
      <c r="FG32" s="32"/>
      <c r="FH32" s="32"/>
      <c r="FI32" s="32"/>
      <c r="FJ32" s="32"/>
      <c r="FK32" s="32"/>
      <c r="FL32" s="32"/>
      <c r="FM32" s="32"/>
      <c r="FN32" s="32"/>
      <c r="FO32" s="32"/>
      <c r="FP32" s="32"/>
      <c r="FQ32" s="32"/>
      <c r="FR32" s="32"/>
      <c r="FS32" s="32"/>
      <c r="FT32" s="32"/>
      <c r="FU32" s="32"/>
      <c r="FV32" s="32"/>
      <c r="FW32" s="32"/>
      <c r="FX32" s="32"/>
      <c r="FY32" s="32"/>
      <c r="FZ32" s="32"/>
      <c r="GA32" s="32"/>
      <c r="GB32" s="32"/>
      <c r="GC32" s="32"/>
      <c r="GD32" s="32"/>
      <c r="GE32" s="32"/>
      <c r="GF32" s="32"/>
      <c r="GG32" s="32"/>
      <c r="GH32" s="27"/>
      <c r="GI32" s="27"/>
      <c r="GJ32" s="27"/>
    </row>
    <row r="33" spans="1:193" s="27" customFormat="1" ht="15.75" x14ac:dyDescent="0.25">
      <c r="A33" s="23" t="s">
        <v>27</v>
      </c>
      <c r="B33" s="33" t="s">
        <v>41</v>
      </c>
      <c r="C33" s="25">
        <f>C6+C11+C13+C14+C15+C17+C20+C28+C29+C30+C31</f>
        <v>6940277.9321275288</v>
      </c>
      <c r="D33" s="25">
        <f>D6+D11+D13+D14+D15+D17+D20+D28+D29+D30+D31</f>
        <v>7890839.6160767265</v>
      </c>
      <c r="E33" s="25">
        <f>E6+E11+E13+E14+E15+E17+E20+E28+E29+E30+E31</f>
        <v>8935770.3845475428</v>
      </c>
      <c r="F33" s="25">
        <f>F6+F11+F13+F14+F15+F17+F20+F28+F29+F30+F31</f>
        <v>9733153.0292136148</v>
      </c>
      <c r="G33" s="25">
        <f t="shared" ref="G33:H33" si="24">G6+G11+G13+G14+G15+G17+G20+G28+G29+G30+G31</f>
        <v>10725674.708921341</v>
      </c>
      <c r="H33" s="25">
        <f t="shared" si="24"/>
        <v>11749464.751788978</v>
      </c>
      <c r="I33" s="25">
        <f t="shared" ref="I33:K33" si="25">I6+I11+I13+I14+I15+I17+I20+I28+I29+I30+I31</f>
        <v>12659911.037691467</v>
      </c>
      <c r="J33" s="25">
        <f t="shared" si="25"/>
        <v>13898401.825171318</v>
      </c>
      <c r="K33" s="25">
        <f t="shared" si="25"/>
        <v>14904166.886052592</v>
      </c>
      <c r="L33" s="25">
        <f t="shared" ref="L33:M33" si="26">L6+L11+L13+L14+L15+L17+L20+L28+L29+L30+L31</f>
        <v>14308452.870113488</v>
      </c>
      <c r="M33" s="25">
        <f t="shared" si="26"/>
        <v>15920875.994115772</v>
      </c>
      <c r="N33" s="25">
        <f t="shared" ref="N33" si="27">N6+N11+N13+N14+N15+N17+N20+N28+N29+N30+N31</f>
        <v>17984013.06716878</v>
      </c>
      <c r="O33" s="25">
        <f t="shared" ref="O33:P33" si="28">O6+O11+O13+O14+O15+O17+O20+O28+O29+O30+O31</f>
        <v>19666467.121677879</v>
      </c>
      <c r="P33" s="25">
        <f t="shared" si="28"/>
        <v>21339469.287726469</v>
      </c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  <c r="CK33" s="26"/>
      <c r="CL33" s="26"/>
      <c r="CM33" s="26"/>
      <c r="CN33" s="26"/>
      <c r="CO33" s="26"/>
      <c r="CP33" s="26"/>
      <c r="CQ33" s="26"/>
      <c r="CR33" s="26"/>
      <c r="CS33" s="26"/>
      <c r="CT33" s="26"/>
      <c r="CU33" s="26"/>
      <c r="CV33" s="26"/>
      <c r="CW33" s="26"/>
      <c r="CX33" s="26"/>
      <c r="CY33" s="26"/>
      <c r="CZ33" s="26"/>
      <c r="DA33" s="26"/>
      <c r="DB33" s="26"/>
      <c r="DC33" s="26"/>
      <c r="DD33" s="26"/>
      <c r="DE33" s="26"/>
      <c r="DF33" s="26"/>
      <c r="DG33" s="26"/>
      <c r="DH33" s="26"/>
      <c r="DI33" s="26"/>
      <c r="DJ33" s="26"/>
      <c r="DK33" s="26"/>
      <c r="DL33" s="26"/>
      <c r="DM33" s="26"/>
      <c r="DN33" s="26"/>
      <c r="DO33" s="26"/>
      <c r="DP33" s="26"/>
      <c r="DQ33" s="26"/>
      <c r="DR33" s="26"/>
      <c r="DS33" s="26"/>
      <c r="DT33" s="26"/>
      <c r="DU33" s="26"/>
      <c r="DV33" s="26"/>
      <c r="DW33" s="26"/>
      <c r="DX33" s="26"/>
      <c r="DY33" s="26"/>
      <c r="DZ33" s="26"/>
      <c r="EA33" s="26"/>
      <c r="EB33" s="26"/>
      <c r="EC33" s="26"/>
      <c r="ED33" s="26"/>
      <c r="EE33" s="26"/>
      <c r="EF33" s="26"/>
      <c r="EG33" s="26"/>
      <c r="EH33" s="26"/>
      <c r="EI33" s="26"/>
      <c r="EJ33" s="26"/>
      <c r="EK33" s="26"/>
      <c r="EL33" s="26"/>
      <c r="EM33" s="26"/>
      <c r="EN33" s="26"/>
      <c r="EO33" s="26"/>
      <c r="EP33" s="26"/>
      <c r="EQ33" s="26"/>
      <c r="ER33" s="26"/>
      <c r="ES33" s="26"/>
      <c r="ET33" s="26"/>
      <c r="EU33" s="26"/>
      <c r="EV33" s="26"/>
      <c r="EW33" s="26"/>
      <c r="EX33" s="26"/>
      <c r="EY33" s="26"/>
      <c r="EZ33" s="26"/>
      <c r="FA33" s="26"/>
      <c r="FB33" s="26"/>
      <c r="FC33" s="26"/>
      <c r="FD33" s="26"/>
      <c r="FE33" s="26"/>
      <c r="FF33" s="26"/>
      <c r="FG33" s="26"/>
      <c r="FH33" s="26"/>
      <c r="FI33" s="26"/>
      <c r="FJ33" s="26"/>
      <c r="FK33" s="26"/>
      <c r="FL33" s="26"/>
      <c r="FM33" s="26"/>
      <c r="FN33" s="26"/>
      <c r="FO33" s="26"/>
      <c r="FP33" s="26"/>
      <c r="FQ33" s="26"/>
      <c r="FR33" s="26"/>
      <c r="FS33" s="26"/>
      <c r="FT33" s="26"/>
      <c r="FU33" s="26"/>
      <c r="FV33" s="26"/>
      <c r="FW33" s="26"/>
      <c r="FX33" s="26"/>
      <c r="FY33" s="26"/>
      <c r="FZ33" s="26"/>
      <c r="GA33" s="26"/>
      <c r="GB33" s="26"/>
      <c r="GC33" s="26"/>
      <c r="GD33" s="26"/>
      <c r="GE33" s="26"/>
      <c r="GF33" s="26"/>
      <c r="GG33" s="26"/>
      <c r="GK33" s="28"/>
    </row>
    <row r="34" spans="1:193" ht="15.75" x14ac:dyDescent="0.25">
      <c r="A34" s="21" t="s">
        <v>43</v>
      </c>
      <c r="B34" s="22" t="s">
        <v>25</v>
      </c>
      <c r="C34" s="9">
        <v>551418</v>
      </c>
      <c r="D34" s="9">
        <v>637988</v>
      </c>
      <c r="E34" s="9">
        <v>759234</v>
      </c>
      <c r="F34" s="9">
        <v>898696</v>
      </c>
      <c r="G34" s="9">
        <v>986997</v>
      </c>
      <c r="H34" s="9">
        <v>1007814</v>
      </c>
      <c r="I34" s="9">
        <v>1371671</v>
      </c>
      <c r="J34" s="9">
        <v>1152159</v>
      </c>
      <c r="K34" s="9">
        <v>1205311</v>
      </c>
      <c r="L34" s="9">
        <v>1179794</v>
      </c>
      <c r="M34" s="9">
        <v>1499230</v>
      </c>
      <c r="N34" s="9">
        <v>1660259.303818709</v>
      </c>
      <c r="O34" s="9">
        <v>1911885.3540744686</v>
      </c>
      <c r="P34" s="37">
        <v>2256024.7178078732</v>
      </c>
      <c r="Q34" s="4"/>
      <c r="R34" s="4"/>
      <c r="S34" s="4"/>
      <c r="T34" s="4"/>
      <c r="U34" s="3"/>
      <c r="V34" s="4"/>
      <c r="W34" s="4"/>
      <c r="X34" s="3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  <c r="GD34" s="4"/>
      <c r="GE34" s="4"/>
      <c r="GF34" s="4"/>
    </row>
    <row r="35" spans="1:193" ht="15.75" x14ac:dyDescent="0.25">
      <c r="A35" s="21" t="s">
        <v>44</v>
      </c>
      <c r="B35" s="22" t="s">
        <v>24</v>
      </c>
      <c r="C35" s="9">
        <v>219713</v>
      </c>
      <c r="D35" s="9">
        <v>246849</v>
      </c>
      <c r="E35" s="9">
        <v>218589</v>
      </c>
      <c r="F35" s="9">
        <v>254617</v>
      </c>
      <c r="G35" s="9">
        <v>288731</v>
      </c>
      <c r="H35" s="9">
        <v>193915</v>
      </c>
      <c r="I35" s="9">
        <v>176473</v>
      </c>
      <c r="J35" s="9">
        <v>212232</v>
      </c>
      <c r="K35" s="9">
        <v>193076</v>
      </c>
      <c r="L35" s="9">
        <v>297705</v>
      </c>
      <c r="M35" s="9">
        <v>382511</v>
      </c>
      <c r="N35" s="9">
        <v>441659</v>
      </c>
      <c r="O35" s="9">
        <v>361409</v>
      </c>
      <c r="P35" s="37">
        <v>426462.62000000005</v>
      </c>
      <c r="Q35" s="4"/>
      <c r="R35" s="4"/>
      <c r="S35" s="4"/>
      <c r="T35" s="4"/>
      <c r="U35" s="3"/>
      <c r="V35" s="4"/>
      <c r="W35" s="4"/>
      <c r="X35" s="3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  <c r="GD35" s="4"/>
      <c r="GE35" s="4"/>
      <c r="GF35" s="4"/>
    </row>
    <row r="36" spans="1:193" s="28" customFormat="1" ht="15.75" x14ac:dyDescent="0.25">
      <c r="A36" s="34" t="s">
        <v>45</v>
      </c>
      <c r="B36" s="35" t="s">
        <v>55</v>
      </c>
      <c r="C36" s="31">
        <f>C33+C34-C35</f>
        <v>7271982.9321275288</v>
      </c>
      <c r="D36" s="31">
        <f t="shared" ref="D36:E36" si="29">D33+D34-D35</f>
        <v>8281978.6160767265</v>
      </c>
      <c r="E36" s="31">
        <f t="shared" si="29"/>
        <v>9476415.3845475428</v>
      </c>
      <c r="F36" s="31">
        <f t="shared" ref="F36:N36" si="30">F33+F34-F35</f>
        <v>10377232.029213615</v>
      </c>
      <c r="G36" s="31">
        <f t="shared" si="30"/>
        <v>11423940.708921341</v>
      </c>
      <c r="H36" s="31">
        <f t="shared" si="30"/>
        <v>12563363.751788978</v>
      </c>
      <c r="I36" s="31">
        <f t="shared" si="30"/>
        <v>13855109.037691467</v>
      </c>
      <c r="J36" s="31">
        <f t="shared" si="30"/>
        <v>14838328.825171318</v>
      </c>
      <c r="K36" s="31">
        <f t="shared" si="30"/>
        <v>15916401.886052592</v>
      </c>
      <c r="L36" s="31">
        <f t="shared" si="30"/>
        <v>15190541.870113488</v>
      </c>
      <c r="M36" s="31">
        <f t="shared" si="30"/>
        <v>17037594.99411577</v>
      </c>
      <c r="N36" s="31">
        <f t="shared" si="30"/>
        <v>19202613.37098749</v>
      </c>
      <c r="O36" s="31">
        <f t="shared" ref="O36:P36" si="31">O33+O34-O35</f>
        <v>21216943.475752346</v>
      </c>
      <c r="P36" s="31">
        <f t="shared" si="31"/>
        <v>23169031.385534342</v>
      </c>
      <c r="Q36" s="4"/>
      <c r="R36" s="4"/>
      <c r="S36" s="4"/>
      <c r="T36" s="4"/>
      <c r="U36" s="3"/>
      <c r="V36" s="4"/>
      <c r="W36" s="4"/>
      <c r="X36" s="3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2"/>
      <c r="BP36" s="32"/>
      <c r="BQ36" s="32"/>
      <c r="BR36" s="32"/>
      <c r="BS36" s="32"/>
      <c r="BT36" s="32"/>
      <c r="BU36" s="32"/>
      <c r="BV36" s="32"/>
      <c r="BW36" s="32"/>
      <c r="BX36" s="32"/>
      <c r="BY36" s="32"/>
      <c r="BZ36" s="32"/>
      <c r="CA36" s="32"/>
      <c r="CB36" s="32"/>
      <c r="CC36" s="32"/>
      <c r="CD36" s="32"/>
      <c r="CE36" s="32"/>
      <c r="CF36" s="32"/>
      <c r="CG36" s="32"/>
      <c r="CH36" s="32"/>
      <c r="CI36" s="32"/>
      <c r="CJ36" s="32"/>
      <c r="CK36" s="32"/>
      <c r="CL36" s="32"/>
      <c r="CM36" s="32"/>
      <c r="CN36" s="32"/>
      <c r="CO36" s="32"/>
      <c r="CP36" s="32"/>
      <c r="CQ36" s="32"/>
      <c r="CR36" s="32"/>
      <c r="CS36" s="32"/>
      <c r="CT36" s="32"/>
      <c r="CU36" s="32"/>
      <c r="CV36" s="32"/>
      <c r="CW36" s="32"/>
      <c r="CX36" s="32"/>
      <c r="CY36" s="32"/>
      <c r="CZ36" s="32"/>
      <c r="DA36" s="32"/>
      <c r="DB36" s="32"/>
      <c r="DC36" s="32"/>
      <c r="DD36" s="32"/>
      <c r="DE36" s="32"/>
      <c r="DF36" s="32"/>
      <c r="DG36" s="32"/>
      <c r="DH36" s="32"/>
      <c r="DI36" s="32"/>
      <c r="DJ36" s="26"/>
      <c r="DK36" s="26"/>
      <c r="DL36" s="26"/>
      <c r="DM36" s="26"/>
      <c r="DN36" s="26"/>
      <c r="DO36" s="26"/>
      <c r="DP36" s="26"/>
      <c r="DQ36" s="26"/>
      <c r="DR36" s="26"/>
      <c r="DS36" s="26"/>
      <c r="DT36" s="26"/>
      <c r="DU36" s="26"/>
      <c r="DV36" s="26"/>
      <c r="DW36" s="26"/>
      <c r="DX36" s="26"/>
      <c r="DY36" s="26"/>
      <c r="DZ36" s="26"/>
      <c r="EA36" s="26"/>
      <c r="EB36" s="26"/>
      <c r="EC36" s="32"/>
      <c r="ED36" s="32"/>
      <c r="EE36" s="32"/>
      <c r="EF36" s="32"/>
      <c r="EG36" s="32"/>
      <c r="EH36" s="32"/>
      <c r="EI36" s="32"/>
      <c r="EJ36" s="32"/>
      <c r="EK36" s="32"/>
      <c r="EL36" s="32"/>
      <c r="EM36" s="32"/>
      <c r="EN36" s="32"/>
      <c r="EO36" s="32"/>
      <c r="EP36" s="32"/>
      <c r="EQ36" s="32"/>
      <c r="ER36" s="32"/>
      <c r="ES36" s="32"/>
      <c r="ET36" s="32"/>
      <c r="EU36" s="32"/>
      <c r="EV36" s="32"/>
      <c r="EW36" s="32"/>
      <c r="EX36" s="32"/>
      <c r="EY36" s="32"/>
      <c r="EZ36" s="32"/>
      <c r="FA36" s="32"/>
      <c r="FB36" s="32"/>
      <c r="FC36" s="32"/>
      <c r="FD36" s="32"/>
      <c r="FE36" s="32"/>
      <c r="FF36" s="32"/>
      <c r="FG36" s="32"/>
      <c r="FH36" s="32"/>
      <c r="FI36" s="32"/>
      <c r="FJ36" s="32"/>
      <c r="FK36" s="32"/>
      <c r="FL36" s="32"/>
      <c r="FM36" s="32"/>
      <c r="FN36" s="32"/>
      <c r="FO36" s="32"/>
      <c r="FP36" s="32"/>
      <c r="FQ36" s="32"/>
      <c r="FR36" s="32"/>
      <c r="FS36" s="32"/>
      <c r="FT36" s="32"/>
      <c r="FU36" s="32"/>
      <c r="FV36" s="32"/>
      <c r="FW36" s="32"/>
      <c r="FX36" s="32"/>
      <c r="FY36" s="32"/>
      <c r="FZ36" s="32"/>
      <c r="GA36" s="32"/>
      <c r="GB36" s="32"/>
      <c r="GC36" s="32"/>
      <c r="GD36" s="32"/>
      <c r="GE36" s="32"/>
      <c r="GF36" s="32"/>
    </row>
    <row r="37" spans="1:193" ht="15.75" x14ac:dyDescent="0.25">
      <c r="A37" s="21" t="s">
        <v>46</v>
      </c>
      <c r="B37" s="22" t="s">
        <v>42</v>
      </c>
      <c r="C37" s="10">
        <v>69010</v>
      </c>
      <c r="D37" s="10">
        <v>69620</v>
      </c>
      <c r="E37" s="10">
        <v>70230</v>
      </c>
      <c r="F37" s="10">
        <v>70840</v>
      </c>
      <c r="G37" s="10">
        <v>71470</v>
      </c>
      <c r="H37" s="10">
        <v>72100</v>
      </c>
      <c r="I37" s="10">
        <v>72330</v>
      </c>
      <c r="J37" s="10">
        <v>72800</v>
      </c>
      <c r="K37" s="10">
        <v>73270</v>
      </c>
      <c r="L37" s="10">
        <v>73740</v>
      </c>
      <c r="M37" s="10">
        <v>74150</v>
      </c>
      <c r="N37" s="10">
        <v>74530</v>
      </c>
      <c r="O37" s="10">
        <v>74900</v>
      </c>
      <c r="P37" s="38">
        <v>75270</v>
      </c>
      <c r="Y37" s="1"/>
      <c r="Z37" s="1"/>
      <c r="AA37" s="1"/>
      <c r="AB37" s="1"/>
    </row>
    <row r="38" spans="1:193" s="28" customFormat="1" ht="15.75" x14ac:dyDescent="0.25">
      <c r="A38" s="34" t="s">
        <v>47</v>
      </c>
      <c r="B38" s="35" t="s">
        <v>58</v>
      </c>
      <c r="C38" s="31">
        <f>C36/C37*1000</f>
        <v>105375.78513443745</v>
      </c>
      <c r="D38" s="31">
        <f t="shared" ref="D38:E38" si="32">D36/D37*1000</f>
        <v>118959.76179369041</v>
      </c>
      <c r="E38" s="31">
        <f t="shared" si="32"/>
        <v>134934.00803855251</v>
      </c>
      <c r="F38" s="31">
        <f t="shared" ref="F38:N38" si="33">F36/F37*1000</f>
        <v>146488.31210070036</v>
      </c>
      <c r="G38" s="31">
        <f t="shared" si="33"/>
        <v>159842.46129734631</v>
      </c>
      <c r="H38" s="31">
        <f t="shared" si="33"/>
        <v>174249.15051024934</v>
      </c>
      <c r="I38" s="31">
        <f t="shared" si="33"/>
        <v>191554.11361387346</v>
      </c>
      <c r="J38" s="31">
        <f t="shared" si="33"/>
        <v>203823.19814795768</v>
      </c>
      <c r="K38" s="31">
        <f t="shared" si="33"/>
        <v>217229.45115398651</v>
      </c>
      <c r="L38" s="31">
        <f t="shared" si="33"/>
        <v>206001.38147699335</v>
      </c>
      <c r="M38" s="31">
        <f t="shared" si="33"/>
        <v>229772.01610405624</v>
      </c>
      <c r="N38" s="31">
        <f t="shared" si="33"/>
        <v>257649.44815493748</v>
      </c>
      <c r="O38" s="31">
        <f t="shared" ref="O38:P38" si="34">O36/O37*1000</f>
        <v>283270.2733745306</v>
      </c>
      <c r="P38" s="31">
        <f t="shared" si="34"/>
        <v>307812.29421461857</v>
      </c>
      <c r="Q38" s="2"/>
      <c r="R38" s="2"/>
      <c r="S38" s="2"/>
      <c r="T38" s="2"/>
      <c r="U38" s="1"/>
      <c r="V38" s="2"/>
      <c r="W38" s="2"/>
      <c r="X38" s="3"/>
      <c r="Y38" s="3"/>
      <c r="Z38" s="3"/>
      <c r="AA38" s="3"/>
      <c r="AB38" s="3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CC38" s="32"/>
      <c r="CD38" s="32"/>
      <c r="CE38" s="32"/>
      <c r="CF38" s="32"/>
      <c r="DJ38" s="27"/>
      <c r="DK38" s="27"/>
      <c r="DL38" s="27"/>
      <c r="DM38" s="27"/>
      <c r="DN38" s="27"/>
      <c r="DO38" s="27"/>
      <c r="DP38" s="27"/>
      <c r="DQ38" s="27"/>
      <c r="DR38" s="27"/>
      <c r="DS38" s="27"/>
      <c r="DT38" s="27"/>
      <c r="DU38" s="27"/>
      <c r="DV38" s="27"/>
      <c r="DW38" s="27"/>
      <c r="DX38" s="27"/>
      <c r="DY38" s="27"/>
      <c r="DZ38" s="27"/>
      <c r="EA38" s="27"/>
      <c r="EB38" s="27"/>
    </row>
    <row r="39" spans="1:193" x14ac:dyDescent="0.25">
      <c r="A39" s="2" t="s">
        <v>75</v>
      </c>
    </row>
  </sheetData>
  <sheetProtection formatColumns="0" formatRows="0"/>
  <pageMargins left="0.70866141732283505" right="0.70866141732283505" top="0.74803149606299202" bottom="0.74803149606299202" header="0.31496062992126" footer="0.31496062992126"/>
  <pageSetup paperSize="9" scale="10" orientation="landscape" horizontalDpi="4294967295" verticalDpi="4294967295" r:id="rId1"/>
  <colBreaks count="7" manualBreakCount="7">
    <brk id="28" max="1048575" man="1"/>
    <brk id="40" max="1048575" man="1"/>
    <brk id="56" max="1048575" man="1"/>
    <brk id="120" max="95" man="1"/>
    <brk id="156" max="1048575" man="1"/>
    <brk id="180" max="1048575" man="1"/>
    <brk id="188" max="9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S39"/>
  <sheetViews>
    <sheetView zoomScale="68" zoomScaleNormal="68" zoomScaleSheetLayoutView="100" workbookViewId="0">
      <pane xSplit="2" ySplit="5" topLeftCell="C6" activePane="bottomRight" state="frozen"/>
      <selection activeCell="U29" sqref="U29"/>
      <selection pane="topRight" activeCell="U29" sqref="U29"/>
      <selection pane="bottomLeft" activeCell="U29" sqref="U29"/>
      <selection pane="bottomRight" activeCell="U29" sqref="U29"/>
    </sheetView>
  </sheetViews>
  <sheetFormatPr defaultColWidth="8.85546875" defaultRowHeight="15" x14ac:dyDescent="0.25"/>
  <cols>
    <col min="1" max="1" width="11" style="2" customWidth="1"/>
    <col min="2" max="2" width="36.140625" style="2" customWidth="1"/>
    <col min="3" max="6" width="12.85546875" style="2" customWidth="1"/>
    <col min="7" max="16" width="12.85546875" style="1" customWidth="1"/>
    <col min="17" max="17" width="11.7109375" style="1" customWidth="1"/>
    <col min="18" max="18" width="9.140625" style="2" customWidth="1"/>
    <col min="19" max="19" width="10.85546875" style="2" customWidth="1"/>
    <col min="20" max="20" width="10.85546875" style="1" customWidth="1"/>
    <col min="21" max="21" width="11" style="2" customWidth="1"/>
    <col min="22" max="24" width="11.42578125" style="2" customWidth="1"/>
    <col min="25" max="52" width="9.140625" style="2" customWidth="1"/>
    <col min="53" max="53" width="12.42578125" style="2" customWidth="1"/>
    <col min="54" max="75" width="9.140625" style="2" customWidth="1"/>
    <col min="76" max="76" width="12.140625" style="2" customWidth="1"/>
    <col min="77" max="80" width="9.140625" style="2" customWidth="1"/>
    <col min="81" max="85" width="9.140625" style="2" hidden="1" customWidth="1"/>
    <col min="86" max="86" width="9.140625" style="2" customWidth="1"/>
    <col min="87" max="91" width="9.140625" style="2" hidden="1" customWidth="1"/>
    <col min="92" max="92" width="9.140625" style="2" customWidth="1"/>
    <col min="93" max="97" width="9.140625" style="2" hidden="1" customWidth="1"/>
    <col min="98" max="98" width="9.140625" style="2" customWidth="1"/>
    <col min="99" max="103" width="9.140625" style="2" hidden="1" customWidth="1"/>
    <col min="104" max="104" width="9.140625" style="2" customWidth="1"/>
    <col min="105" max="109" width="9.140625" style="2" hidden="1" customWidth="1"/>
    <col min="110" max="110" width="9.140625" style="1" customWidth="1"/>
    <col min="111" max="115" width="9.140625" style="1" hidden="1" customWidth="1"/>
    <col min="116" max="116" width="9.140625" style="1" customWidth="1"/>
    <col min="117" max="121" width="9.140625" style="1" hidden="1" customWidth="1"/>
    <col min="122" max="122" width="9.140625" style="1" customWidth="1"/>
    <col min="123" max="127" width="9.140625" style="1" hidden="1" customWidth="1"/>
    <col min="128" max="128" width="9.140625" style="1" customWidth="1"/>
    <col min="129" max="158" width="9.140625" style="2" customWidth="1"/>
    <col min="159" max="159" width="9.140625" style="2" hidden="1" customWidth="1"/>
    <col min="160" max="167" width="9.140625" style="2" customWidth="1"/>
    <col min="168" max="168" width="9.140625" style="2" hidden="1" customWidth="1"/>
    <col min="169" max="173" width="9.140625" style="2" customWidth="1"/>
    <col min="174" max="174" width="9.140625" style="2" hidden="1" customWidth="1"/>
    <col min="175" max="184" width="9.140625" style="2" customWidth="1"/>
    <col min="185" max="185" width="9.140625" style="2"/>
    <col min="186" max="188" width="8.85546875" style="2"/>
    <col min="189" max="189" width="12.7109375" style="2" bestFit="1" customWidth="1"/>
    <col min="190" max="16384" width="8.85546875" style="2"/>
  </cols>
  <sheetData>
    <row r="1" spans="1:189" ht="18.75" x14ac:dyDescent="0.3">
      <c r="A1" s="2" t="s">
        <v>53</v>
      </c>
      <c r="B1" s="6" t="s">
        <v>66</v>
      </c>
      <c r="S1" s="3"/>
    </row>
    <row r="2" spans="1:189" ht="15.75" x14ac:dyDescent="0.25">
      <c r="A2" s="7" t="s">
        <v>49</v>
      </c>
      <c r="I2" s="1" t="str">
        <f>[1]GSVA_cur!$I$3</f>
        <v>01.08.2025</v>
      </c>
    </row>
    <row r="3" spans="1:189" ht="15.75" x14ac:dyDescent="0.25">
      <c r="A3" s="7"/>
    </row>
    <row r="4" spans="1:189" ht="15.75" x14ac:dyDescent="0.25">
      <c r="A4" s="7"/>
      <c r="E4" s="8"/>
      <c r="F4" s="8" t="s">
        <v>57</v>
      </c>
    </row>
    <row r="5" spans="1:189" ht="15.75" x14ac:dyDescent="0.25">
      <c r="A5" s="11" t="s">
        <v>0</v>
      </c>
      <c r="B5" s="12" t="s">
        <v>1</v>
      </c>
      <c r="C5" s="13" t="s">
        <v>21</v>
      </c>
      <c r="D5" s="13" t="s">
        <v>22</v>
      </c>
      <c r="E5" s="13" t="s">
        <v>23</v>
      </c>
      <c r="F5" s="13" t="s">
        <v>56</v>
      </c>
      <c r="G5" s="14" t="s">
        <v>65</v>
      </c>
      <c r="H5" s="14" t="s">
        <v>67</v>
      </c>
      <c r="I5" s="14" t="s">
        <v>68</v>
      </c>
      <c r="J5" s="14" t="s">
        <v>69</v>
      </c>
      <c r="K5" s="14" t="s">
        <v>70</v>
      </c>
      <c r="L5" s="14" t="s">
        <v>71</v>
      </c>
      <c r="M5" s="14" t="s">
        <v>72</v>
      </c>
      <c r="N5" s="14" t="s">
        <v>73</v>
      </c>
      <c r="O5" s="14" t="s">
        <v>74</v>
      </c>
      <c r="P5" s="14" t="s">
        <v>76</v>
      </c>
    </row>
    <row r="6" spans="1:189" s="27" customFormat="1" ht="15.75" x14ac:dyDescent="0.25">
      <c r="A6" s="23" t="s">
        <v>26</v>
      </c>
      <c r="B6" s="24" t="s">
        <v>2</v>
      </c>
      <c r="C6" s="25">
        <f>SUM(C7:C10)</f>
        <v>1162625.8809306775</v>
      </c>
      <c r="D6" s="25">
        <f t="shared" ref="D6:N6" si="0">SUM(D7:D10)</f>
        <v>1244328.638739445</v>
      </c>
      <c r="E6" s="25">
        <f t="shared" si="0"/>
        <v>1371208.6103328478</v>
      </c>
      <c r="F6" s="25">
        <f t="shared" si="0"/>
        <v>1327286.3483269121</v>
      </c>
      <c r="G6" s="25">
        <f t="shared" si="0"/>
        <v>1440748.7594669464</v>
      </c>
      <c r="H6" s="25">
        <f t="shared" si="0"/>
        <v>1384301.9783560743</v>
      </c>
      <c r="I6" s="25">
        <f t="shared" si="0"/>
        <v>1351207.6920206998</v>
      </c>
      <c r="J6" s="25">
        <f t="shared" si="0"/>
        <v>1390891.3524001089</v>
      </c>
      <c r="K6" s="25">
        <f t="shared" si="0"/>
        <v>1650007.8842063094</v>
      </c>
      <c r="L6" s="25">
        <f t="shared" si="0"/>
        <v>1540022.4643452379</v>
      </c>
      <c r="M6" s="25">
        <f t="shared" si="0"/>
        <v>1572687.8511676781</v>
      </c>
      <c r="N6" s="25">
        <f t="shared" si="0"/>
        <v>1600436.1114657684</v>
      </c>
      <c r="O6" s="25">
        <f t="shared" ref="O6:P6" si="1">SUM(O7:O10)</f>
        <v>1568359.3846620361</v>
      </c>
      <c r="P6" s="25">
        <f t="shared" si="1"/>
        <v>1619429.963484627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G6" s="28"/>
    </row>
    <row r="7" spans="1:189" ht="15.75" x14ac:dyDescent="0.25">
      <c r="A7" s="16">
        <v>1.1000000000000001</v>
      </c>
      <c r="B7" s="17" t="s">
        <v>59</v>
      </c>
      <c r="C7" s="9">
        <v>673401.32032995741</v>
      </c>
      <c r="D7" s="9">
        <v>742067.05889990402</v>
      </c>
      <c r="E7" s="9">
        <v>870435.30298086884</v>
      </c>
      <c r="F7" s="9">
        <v>790044.90354195959</v>
      </c>
      <c r="G7" s="9">
        <v>881118.28139325907</v>
      </c>
      <c r="H7" s="9">
        <v>775547.84288453916</v>
      </c>
      <c r="I7" s="9">
        <v>714020.73271241446</v>
      </c>
      <c r="J7" s="9">
        <v>705188.16171853011</v>
      </c>
      <c r="K7" s="9">
        <v>877719.26080231427</v>
      </c>
      <c r="L7" s="9">
        <v>782140.79528884555</v>
      </c>
      <c r="M7" s="9">
        <v>823293.8709553543</v>
      </c>
      <c r="N7" s="9">
        <v>821982.86255081976</v>
      </c>
      <c r="O7" s="9">
        <v>752625.98824009183</v>
      </c>
      <c r="P7" s="37">
        <v>767532.35131937847</v>
      </c>
      <c r="Q7" s="3"/>
      <c r="R7" s="4"/>
      <c r="S7" s="4"/>
      <c r="T7" s="3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1"/>
      <c r="GE7" s="1"/>
      <c r="GF7" s="1"/>
    </row>
    <row r="8" spans="1:189" ht="15.75" x14ac:dyDescent="0.25">
      <c r="A8" s="16">
        <v>1.2</v>
      </c>
      <c r="B8" s="17" t="s">
        <v>60</v>
      </c>
      <c r="C8" s="9">
        <v>115315.05736971243</v>
      </c>
      <c r="D8" s="9">
        <v>119462.45669272711</v>
      </c>
      <c r="E8" s="9">
        <v>111431.98793879789</v>
      </c>
      <c r="F8" s="9">
        <v>122380.39137705344</v>
      </c>
      <c r="G8" s="9">
        <v>150714.02886293203</v>
      </c>
      <c r="H8" s="9">
        <v>161900.36196932141</v>
      </c>
      <c r="I8" s="9">
        <v>175887.27101041452</v>
      </c>
      <c r="J8" s="9">
        <v>204489.4651375247</v>
      </c>
      <c r="K8" s="9">
        <v>224833.83007946936</v>
      </c>
      <c r="L8" s="9">
        <v>237548.96821724318</v>
      </c>
      <c r="M8" s="9">
        <v>247354.45577282924</v>
      </c>
      <c r="N8" s="9">
        <v>247764.21873089738</v>
      </c>
      <c r="O8" s="9">
        <v>280545.13620446139</v>
      </c>
      <c r="P8" s="37">
        <v>295168.75460661325</v>
      </c>
      <c r="Q8" s="3"/>
      <c r="R8" s="4"/>
      <c r="S8" s="4"/>
      <c r="T8" s="3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1"/>
      <c r="GE8" s="1"/>
      <c r="GF8" s="1"/>
    </row>
    <row r="9" spans="1:189" ht="15.75" x14ac:dyDescent="0.25">
      <c r="A9" s="16">
        <v>1.3</v>
      </c>
      <c r="B9" s="17" t="s">
        <v>61</v>
      </c>
      <c r="C9" s="9">
        <v>368734.88298690226</v>
      </c>
      <c r="D9" s="9">
        <v>377092.25833514158</v>
      </c>
      <c r="E9" s="9">
        <v>382789.74602475855</v>
      </c>
      <c r="F9" s="9">
        <v>407552.11819864355</v>
      </c>
      <c r="G9" s="9">
        <v>400833.76392262615</v>
      </c>
      <c r="H9" s="9">
        <v>438303.66382493085</v>
      </c>
      <c r="I9" s="9">
        <v>452546.43968483713</v>
      </c>
      <c r="J9" s="9">
        <v>471880.23671230534</v>
      </c>
      <c r="K9" s="9">
        <v>537681.04807877284</v>
      </c>
      <c r="L9" s="9">
        <v>509620.0133606536</v>
      </c>
      <c r="M9" s="9">
        <v>490487.59699068201</v>
      </c>
      <c r="N9" s="9">
        <v>518089.9285716298</v>
      </c>
      <c r="O9" s="9">
        <v>521793.64591359685</v>
      </c>
      <c r="P9" s="9">
        <v>542396.66654324194</v>
      </c>
      <c r="Q9" s="3"/>
      <c r="R9" s="4"/>
      <c r="S9" s="4"/>
      <c r="T9" s="3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1"/>
      <c r="GE9" s="1"/>
      <c r="GF9" s="1"/>
    </row>
    <row r="10" spans="1:189" ht="15.75" x14ac:dyDescent="0.25">
      <c r="A10" s="16">
        <v>1.4</v>
      </c>
      <c r="B10" s="17" t="s">
        <v>62</v>
      </c>
      <c r="C10" s="9">
        <v>5174.6202441053601</v>
      </c>
      <c r="D10" s="9">
        <v>5706.8648116720969</v>
      </c>
      <c r="E10" s="9">
        <v>6551.5733884225874</v>
      </c>
      <c r="F10" s="9">
        <v>7308.9352092555855</v>
      </c>
      <c r="G10" s="9">
        <v>8082.6852881291388</v>
      </c>
      <c r="H10" s="9">
        <v>8550.1096772827495</v>
      </c>
      <c r="I10" s="9">
        <v>8753.2486130336638</v>
      </c>
      <c r="J10" s="9">
        <v>9333.488831748793</v>
      </c>
      <c r="K10" s="9">
        <v>9773.7452457531417</v>
      </c>
      <c r="L10" s="9">
        <v>10712.687478495631</v>
      </c>
      <c r="M10" s="9">
        <v>11551.927448812634</v>
      </c>
      <c r="N10" s="9">
        <v>12599.101612421468</v>
      </c>
      <c r="O10" s="9">
        <v>13394.614303886192</v>
      </c>
      <c r="P10" s="9">
        <v>14332.191015393148</v>
      </c>
      <c r="Q10" s="3"/>
      <c r="R10" s="4"/>
      <c r="S10" s="4"/>
      <c r="T10" s="3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1"/>
      <c r="GE10" s="1"/>
      <c r="GF10" s="1"/>
    </row>
    <row r="11" spans="1:189" ht="15.75" x14ac:dyDescent="0.25">
      <c r="A11" s="18" t="s">
        <v>31</v>
      </c>
      <c r="B11" s="17" t="s">
        <v>3</v>
      </c>
      <c r="C11" s="9">
        <v>28639.691858640737</v>
      </c>
      <c r="D11" s="9">
        <v>28186.526634792284</v>
      </c>
      <c r="E11" s="9">
        <v>24214.955873195358</v>
      </c>
      <c r="F11" s="9">
        <v>25227.809703349558</v>
      </c>
      <c r="G11" s="9">
        <v>26695.028990271789</v>
      </c>
      <c r="H11" s="9">
        <v>63460.334472962888</v>
      </c>
      <c r="I11" s="9">
        <v>23565.802838685264</v>
      </c>
      <c r="J11" s="9">
        <v>27668.732922509927</v>
      </c>
      <c r="K11" s="9">
        <v>26437.411519449983</v>
      </c>
      <c r="L11" s="9">
        <v>27632.263590710128</v>
      </c>
      <c r="M11" s="9">
        <v>33913.644136595598</v>
      </c>
      <c r="N11" s="9">
        <v>35746.59994822403</v>
      </c>
      <c r="O11" s="9">
        <v>48956.595520459974</v>
      </c>
      <c r="P11" s="9">
        <v>51922.035004537669</v>
      </c>
      <c r="Q11" s="3"/>
      <c r="R11" s="4"/>
      <c r="S11" s="4"/>
      <c r="T11" s="3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1"/>
      <c r="GE11" s="1"/>
      <c r="GF11" s="1"/>
    </row>
    <row r="12" spans="1:189" s="28" customFormat="1" ht="15.75" x14ac:dyDescent="0.25">
      <c r="A12" s="29"/>
      <c r="B12" s="30" t="s">
        <v>28</v>
      </c>
      <c r="C12" s="31">
        <f>C6+C11</f>
        <v>1191265.5727893182</v>
      </c>
      <c r="D12" s="31">
        <f t="shared" ref="D12:N12" si="2">D6+D11</f>
        <v>1272515.1653742373</v>
      </c>
      <c r="E12" s="31">
        <f t="shared" si="2"/>
        <v>1395423.5662060431</v>
      </c>
      <c r="F12" s="31">
        <f t="shared" si="2"/>
        <v>1352514.1580302618</v>
      </c>
      <c r="G12" s="31">
        <f t="shared" si="2"/>
        <v>1467443.7884572181</v>
      </c>
      <c r="H12" s="31">
        <f t="shared" si="2"/>
        <v>1447762.3128290372</v>
      </c>
      <c r="I12" s="31">
        <f t="shared" si="2"/>
        <v>1374773.4948593851</v>
      </c>
      <c r="J12" s="31">
        <f t="shared" si="2"/>
        <v>1418560.085322619</v>
      </c>
      <c r="K12" s="31">
        <f t="shared" si="2"/>
        <v>1676445.2957257594</v>
      </c>
      <c r="L12" s="31">
        <f t="shared" si="2"/>
        <v>1567654.7279359482</v>
      </c>
      <c r="M12" s="31">
        <f t="shared" si="2"/>
        <v>1606601.4953042737</v>
      </c>
      <c r="N12" s="31">
        <f t="shared" si="2"/>
        <v>1636182.7114139926</v>
      </c>
      <c r="O12" s="31">
        <f t="shared" ref="O12:P12" si="3">O6+O11</f>
        <v>1617315.9801824961</v>
      </c>
      <c r="P12" s="31">
        <f t="shared" si="3"/>
        <v>1671351.9984891647</v>
      </c>
      <c r="Q12" s="3"/>
      <c r="R12" s="4"/>
      <c r="S12" s="4"/>
      <c r="T12" s="3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2"/>
      <c r="CT12" s="32"/>
      <c r="CU12" s="32"/>
      <c r="CV12" s="32"/>
      <c r="CW12" s="32"/>
      <c r="CX12" s="32"/>
      <c r="CY12" s="32"/>
      <c r="CZ12" s="32"/>
      <c r="DA12" s="32"/>
      <c r="DB12" s="32"/>
      <c r="DC12" s="32"/>
      <c r="DD12" s="32"/>
      <c r="DE12" s="32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32"/>
      <c r="DZ12" s="32"/>
      <c r="EA12" s="32"/>
      <c r="EB12" s="32"/>
      <c r="EC12" s="32"/>
      <c r="ED12" s="32"/>
      <c r="EE12" s="32"/>
      <c r="EF12" s="32"/>
      <c r="EG12" s="32"/>
      <c r="EH12" s="32"/>
      <c r="EI12" s="32"/>
      <c r="EJ12" s="32"/>
      <c r="EK12" s="32"/>
      <c r="EL12" s="32"/>
      <c r="EM12" s="32"/>
      <c r="EN12" s="32"/>
      <c r="EO12" s="32"/>
      <c r="EP12" s="32"/>
      <c r="EQ12" s="32"/>
      <c r="ER12" s="32"/>
      <c r="ES12" s="32"/>
      <c r="ET12" s="32"/>
      <c r="EU12" s="32"/>
      <c r="EV12" s="32"/>
      <c r="EW12" s="32"/>
      <c r="EX12" s="32"/>
      <c r="EY12" s="32"/>
      <c r="EZ12" s="32"/>
      <c r="FA12" s="32"/>
      <c r="FB12" s="32"/>
      <c r="FC12" s="32"/>
      <c r="FD12" s="32"/>
      <c r="FE12" s="32"/>
      <c r="FF12" s="32"/>
      <c r="FG12" s="32"/>
      <c r="FH12" s="32"/>
      <c r="FI12" s="32"/>
      <c r="FJ12" s="32"/>
      <c r="FK12" s="32"/>
      <c r="FL12" s="32"/>
      <c r="FM12" s="32"/>
      <c r="FN12" s="32"/>
      <c r="FO12" s="32"/>
      <c r="FP12" s="32"/>
      <c r="FQ12" s="32"/>
      <c r="FR12" s="32"/>
      <c r="FS12" s="32"/>
      <c r="FT12" s="32"/>
      <c r="FU12" s="32"/>
      <c r="FV12" s="32"/>
      <c r="FW12" s="32"/>
      <c r="FX12" s="32"/>
      <c r="FY12" s="32"/>
      <c r="FZ12" s="32"/>
      <c r="GA12" s="32"/>
      <c r="GB12" s="32"/>
      <c r="GC12" s="32"/>
      <c r="GD12" s="27"/>
      <c r="GE12" s="27"/>
      <c r="GF12" s="27"/>
    </row>
    <row r="13" spans="1:189" s="1" customFormat="1" ht="15.75" x14ac:dyDescent="0.25">
      <c r="A13" s="39" t="s">
        <v>32</v>
      </c>
      <c r="B13" s="40" t="s">
        <v>4</v>
      </c>
      <c r="C13" s="9">
        <v>1799826.165519014</v>
      </c>
      <c r="D13" s="9">
        <v>1924071.3494936584</v>
      </c>
      <c r="E13" s="9">
        <v>2052196.2490471192</v>
      </c>
      <c r="F13" s="9">
        <v>2262154.4692559699</v>
      </c>
      <c r="G13" s="9">
        <v>2565355.7116622245</v>
      </c>
      <c r="H13" s="9">
        <v>2984949.1804514611</v>
      </c>
      <c r="I13" s="9">
        <v>3364873.0946701015</v>
      </c>
      <c r="J13" s="9">
        <v>3705268.7712491183</v>
      </c>
      <c r="K13" s="9">
        <v>3709382.4067771151</v>
      </c>
      <c r="L13" s="9">
        <v>3543729.260061163</v>
      </c>
      <c r="M13" s="9">
        <v>3577027.3445285303</v>
      </c>
      <c r="N13" s="9">
        <v>3760766.5797120286</v>
      </c>
      <c r="O13" s="9">
        <v>4107267.9472758481</v>
      </c>
      <c r="P13" s="9">
        <v>4400961.0107835699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G13" s="2"/>
    </row>
    <row r="14" spans="1:189" ht="30" x14ac:dyDescent="0.25">
      <c r="A14" s="18" t="s">
        <v>33</v>
      </c>
      <c r="B14" s="17" t="s">
        <v>5</v>
      </c>
      <c r="C14" s="9">
        <v>602407.89523970895</v>
      </c>
      <c r="D14" s="9">
        <v>605272.80282205774</v>
      </c>
      <c r="E14" s="9">
        <v>646998.39660047984</v>
      </c>
      <c r="F14" s="9">
        <v>725438.65947887336</v>
      </c>
      <c r="G14" s="9">
        <v>749877.67542960495</v>
      </c>
      <c r="H14" s="9">
        <v>688524.83614225825</v>
      </c>
      <c r="I14" s="9">
        <v>725459.49670448783</v>
      </c>
      <c r="J14" s="9">
        <v>719590.52202923561</v>
      </c>
      <c r="K14" s="9">
        <v>691647.43068576104</v>
      </c>
      <c r="L14" s="9">
        <v>659057.28190292767</v>
      </c>
      <c r="M14" s="9">
        <v>711188.29724184645</v>
      </c>
      <c r="N14" s="9">
        <v>761690.40855048178</v>
      </c>
      <c r="O14" s="9">
        <v>745514.35669406061</v>
      </c>
      <c r="P14" s="9">
        <v>731286.04987636558</v>
      </c>
      <c r="Q14" s="3"/>
      <c r="R14" s="4"/>
      <c r="S14" s="4"/>
      <c r="T14" s="3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3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3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3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1"/>
      <c r="GE14" s="1"/>
      <c r="GF14" s="1"/>
    </row>
    <row r="15" spans="1:189" ht="15.75" x14ac:dyDescent="0.25">
      <c r="A15" s="18" t="s">
        <v>34</v>
      </c>
      <c r="B15" s="17" t="s">
        <v>6</v>
      </c>
      <c r="C15" s="9">
        <v>638216.17045650107</v>
      </c>
      <c r="D15" s="9">
        <v>675541.17628886597</v>
      </c>
      <c r="E15" s="9">
        <v>723124.50805049797</v>
      </c>
      <c r="F15" s="9">
        <v>767528.0883578076</v>
      </c>
      <c r="G15" s="9">
        <v>757162.03562007844</v>
      </c>
      <c r="H15" s="9">
        <v>819903.36227246234</v>
      </c>
      <c r="I15" s="9">
        <v>858069.4245695537</v>
      </c>
      <c r="J15" s="9">
        <v>884270.92095380765</v>
      </c>
      <c r="K15" s="9">
        <v>887466.16418613412</v>
      </c>
      <c r="L15" s="9">
        <v>859485.72763360478</v>
      </c>
      <c r="M15" s="9">
        <v>918555.78045413876</v>
      </c>
      <c r="N15" s="9">
        <v>997361.62177405145</v>
      </c>
      <c r="O15" s="9">
        <v>1065991.1622152114</v>
      </c>
      <c r="P15" s="9">
        <v>1174388.8610494956</v>
      </c>
      <c r="Q15" s="3"/>
      <c r="R15" s="4"/>
      <c r="S15" s="4"/>
      <c r="T15" s="3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3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3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3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1"/>
      <c r="GE15" s="1"/>
      <c r="GF15" s="1"/>
    </row>
    <row r="16" spans="1:189" s="28" customFormat="1" ht="15.75" x14ac:dyDescent="0.25">
      <c r="A16" s="29"/>
      <c r="B16" s="30" t="s">
        <v>29</v>
      </c>
      <c r="C16" s="31">
        <f>+C13+C14+C15</f>
        <v>3040450.2312152241</v>
      </c>
      <c r="D16" s="31">
        <f t="shared" ref="D16:H16" si="4">+D13+D14+D15</f>
        <v>3204885.3286045822</v>
      </c>
      <c r="E16" s="31">
        <f t="shared" si="4"/>
        <v>3422319.153698097</v>
      </c>
      <c r="F16" s="31">
        <f t="shared" si="4"/>
        <v>3755121.2170926509</v>
      </c>
      <c r="G16" s="31">
        <f t="shared" si="4"/>
        <v>4072395.4227119079</v>
      </c>
      <c r="H16" s="31">
        <f t="shared" si="4"/>
        <v>4493377.3788661817</v>
      </c>
      <c r="I16" s="31">
        <f t="shared" ref="I16:M16" si="5">+I13+I14+I15</f>
        <v>4948402.0159441428</v>
      </c>
      <c r="J16" s="31">
        <f t="shared" si="5"/>
        <v>5309130.2142321616</v>
      </c>
      <c r="K16" s="31">
        <f t="shared" si="5"/>
        <v>5288496.00164901</v>
      </c>
      <c r="L16" s="31">
        <f t="shared" si="5"/>
        <v>5062272.2695976952</v>
      </c>
      <c r="M16" s="31">
        <f t="shared" si="5"/>
        <v>5206771.422224516</v>
      </c>
      <c r="N16" s="31">
        <f t="shared" ref="N16" si="6">+N13+N14+N15</f>
        <v>5519818.6100365613</v>
      </c>
      <c r="O16" s="31">
        <f t="shared" ref="O16:P16" si="7">+O13+O14+O15</f>
        <v>5918773.4661851199</v>
      </c>
      <c r="P16" s="31">
        <f t="shared" si="7"/>
        <v>6306635.9217094313</v>
      </c>
      <c r="Q16" s="3"/>
      <c r="R16" s="4"/>
      <c r="S16" s="4"/>
      <c r="T16" s="3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32"/>
      <c r="CB16" s="32"/>
      <c r="CC16" s="32"/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  <c r="CO16" s="32"/>
      <c r="CP16" s="32"/>
      <c r="CQ16" s="32"/>
      <c r="CR16" s="32"/>
      <c r="CS16" s="32"/>
      <c r="CT16" s="26"/>
      <c r="CU16" s="32"/>
      <c r="CV16" s="32"/>
      <c r="CW16" s="32"/>
      <c r="CX16" s="32"/>
      <c r="CY16" s="32"/>
      <c r="CZ16" s="32"/>
      <c r="DA16" s="32"/>
      <c r="DB16" s="32"/>
      <c r="DC16" s="32"/>
      <c r="DD16" s="32"/>
      <c r="DE16" s="32"/>
      <c r="DF16" s="26"/>
      <c r="DG16" s="26"/>
      <c r="DH16" s="26"/>
      <c r="DI16" s="26"/>
      <c r="DJ16" s="26"/>
      <c r="DK16" s="26"/>
      <c r="DL16" s="26"/>
      <c r="DM16" s="26"/>
      <c r="DN16" s="26"/>
      <c r="DO16" s="26"/>
      <c r="DP16" s="26"/>
      <c r="DQ16" s="26"/>
      <c r="DR16" s="26"/>
      <c r="DS16" s="26"/>
      <c r="DT16" s="26"/>
      <c r="DU16" s="26"/>
      <c r="DV16" s="26"/>
      <c r="DW16" s="26"/>
      <c r="DX16" s="26"/>
      <c r="DY16" s="32"/>
      <c r="DZ16" s="32"/>
      <c r="EA16" s="32"/>
      <c r="EB16" s="32"/>
      <c r="EC16" s="32"/>
      <c r="ED16" s="32"/>
      <c r="EE16" s="32"/>
      <c r="EF16" s="32"/>
      <c r="EG16" s="32"/>
      <c r="EH16" s="32"/>
      <c r="EI16" s="32"/>
      <c r="EJ16" s="32"/>
      <c r="EK16" s="32"/>
      <c r="EL16" s="32"/>
      <c r="EM16" s="32"/>
      <c r="EN16" s="32"/>
      <c r="EO16" s="32"/>
      <c r="EP16" s="26"/>
      <c r="EQ16" s="32"/>
      <c r="ER16" s="32"/>
      <c r="ES16" s="32"/>
      <c r="ET16" s="32"/>
      <c r="EU16" s="32"/>
      <c r="EV16" s="32"/>
      <c r="EW16" s="32"/>
      <c r="EX16" s="32"/>
      <c r="EY16" s="32"/>
      <c r="EZ16" s="32"/>
      <c r="FA16" s="32"/>
      <c r="FB16" s="32"/>
      <c r="FC16" s="32"/>
      <c r="FD16" s="32"/>
      <c r="FE16" s="32"/>
      <c r="FF16" s="32"/>
      <c r="FG16" s="32"/>
      <c r="FH16" s="32"/>
      <c r="FI16" s="32"/>
      <c r="FJ16" s="32"/>
      <c r="FK16" s="32"/>
      <c r="FL16" s="32"/>
      <c r="FM16" s="32"/>
      <c r="FN16" s="26"/>
      <c r="FO16" s="32"/>
      <c r="FP16" s="32"/>
      <c r="FQ16" s="32"/>
      <c r="FR16" s="32"/>
      <c r="FS16" s="32"/>
      <c r="FT16" s="32"/>
      <c r="FU16" s="32"/>
      <c r="FV16" s="32"/>
      <c r="FW16" s="32"/>
      <c r="FX16" s="32"/>
      <c r="FY16" s="32"/>
      <c r="FZ16" s="32"/>
      <c r="GA16" s="32"/>
      <c r="GB16" s="32"/>
      <c r="GC16" s="32"/>
      <c r="GD16" s="27"/>
      <c r="GE16" s="27"/>
      <c r="GF16" s="27"/>
    </row>
    <row r="17" spans="1:189" s="27" customFormat="1" ht="15.75" x14ac:dyDescent="0.25">
      <c r="A17" s="23" t="s">
        <v>35</v>
      </c>
      <c r="B17" s="24" t="s">
        <v>7</v>
      </c>
      <c r="C17" s="25">
        <f>C18+C19</f>
        <v>456828.6238031211</v>
      </c>
      <c r="D17" s="25">
        <f t="shared" ref="D17:H17" si="8">D18+D19</f>
        <v>475494.52990059392</v>
      </c>
      <c r="E17" s="25">
        <f t="shared" si="8"/>
        <v>507916.08685638389</v>
      </c>
      <c r="F17" s="25">
        <f t="shared" si="8"/>
        <v>566701.56947093853</v>
      </c>
      <c r="G17" s="25">
        <f t="shared" si="8"/>
        <v>647428.16820385505</v>
      </c>
      <c r="H17" s="25">
        <f t="shared" si="8"/>
        <v>683934.72370552528</v>
      </c>
      <c r="I17" s="25">
        <f t="shared" ref="I17:M17" si="9">I18+I19</f>
        <v>740544.64159479341</v>
      </c>
      <c r="J17" s="25">
        <f t="shared" si="9"/>
        <v>790768.11140086898</v>
      </c>
      <c r="K17" s="25">
        <f t="shared" si="9"/>
        <v>863668.08200968755</v>
      </c>
      <c r="L17" s="25">
        <f t="shared" si="9"/>
        <v>872056.20154958719</v>
      </c>
      <c r="M17" s="25">
        <f t="shared" si="9"/>
        <v>875257.09502325475</v>
      </c>
      <c r="N17" s="25">
        <f t="shared" ref="N17" si="10">N18+N19</f>
        <v>960671.55552284629</v>
      </c>
      <c r="O17" s="25">
        <f t="shared" ref="O17:P17" si="11">O18+O19</f>
        <v>1087133.1764015693</v>
      </c>
      <c r="P17" s="25">
        <f t="shared" si="11"/>
        <v>1130040.6457738269</v>
      </c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  <c r="CK17" s="26"/>
      <c r="CL17" s="26"/>
      <c r="CM17" s="26"/>
      <c r="CN17" s="26"/>
      <c r="CO17" s="26"/>
      <c r="CP17" s="26"/>
      <c r="CQ17" s="26"/>
      <c r="CR17" s="26"/>
      <c r="CS17" s="26"/>
      <c r="CT17" s="26"/>
      <c r="CU17" s="26"/>
      <c r="CV17" s="26"/>
      <c r="CW17" s="26"/>
      <c r="CX17" s="26"/>
      <c r="CY17" s="26"/>
      <c r="CZ17" s="26"/>
      <c r="DA17" s="26"/>
      <c r="DB17" s="26"/>
      <c r="DC17" s="26"/>
      <c r="DD17" s="26"/>
      <c r="DE17" s="26"/>
      <c r="DF17" s="26"/>
      <c r="DG17" s="26"/>
      <c r="DH17" s="26"/>
      <c r="DI17" s="26"/>
      <c r="DJ17" s="26"/>
      <c r="DK17" s="26"/>
      <c r="DL17" s="26"/>
      <c r="DM17" s="26"/>
      <c r="DN17" s="26"/>
      <c r="DO17" s="26"/>
      <c r="DP17" s="26"/>
      <c r="DQ17" s="26"/>
      <c r="DR17" s="26"/>
      <c r="DS17" s="26"/>
      <c r="DT17" s="26"/>
      <c r="DU17" s="26"/>
      <c r="DV17" s="26"/>
      <c r="DW17" s="26"/>
      <c r="DX17" s="26"/>
      <c r="DY17" s="26"/>
      <c r="DZ17" s="26"/>
      <c r="EA17" s="26"/>
      <c r="EB17" s="26"/>
      <c r="EC17" s="26"/>
      <c r="ED17" s="26"/>
      <c r="EE17" s="26"/>
      <c r="EF17" s="26"/>
      <c r="EG17" s="26"/>
      <c r="EH17" s="26"/>
      <c r="EI17" s="26"/>
      <c r="EJ17" s="26"/>
      <c r="EK17" s="26"/>
      <c r="EL17" s="26"/>
      <c r="EM17" s="26"/>
      <c r="EN17" s="26"/>
      <c r="EO17" s="26"/>
      <c r="EP17" s="26"/>
      <c r="EQ17" s="26"/>
      <c r="ER17" s="26"/>
      <c r="ES17" s="26"/>
      <c r="ET17" s="26"/>
      <c r="EU17" s="26"/>
      <c r="EV17" s="26"/>
      <c r="EW17" s="26"/>
      <c r="EX17" s="26"/>
      <c r="EY17" s="26"/>
      <c r="EZ17" s="26"/>
      <c r="FA17" s="26"/>
      <c r="FB17" s="26"/>
      <c r="FC17" s="26"/>
      <c r="FD17" s="26"/>
      <c r="FE17" s="26"/>
      <c r="FF17" s="26"/>
      <c r="FG17" s="26"/>
      <c r="FH17" s="26"/>
      <c r="FI17" s="26"/>
      <c r="FJ17" s="26"/>
      <c r="FK17" s="26"/>
      <c r="FL17" s="26"/>
      <c r="FM17" s="26"/>
      <c r="FN17" s="26"/>
      <c r="FO17" s="26"/>
      <c r="FP17" s="26"/>
      <c r="FQ17" s="26"/>
      <c r="FR17" s="26"/>
      <c r="FS17" s="26"/>
      <c r="FT17" s="26"/>
      <c r="FU17" s="26"/>
      <c r="FV17" s="26"/>
      <c r="FW17" s="26"/>
      <c r="FX17" s="26"/>
      <c r="FY17" s="26"/>
      <c r="FZ17" s="26"/>
      <c r="GA17" s="26"/>
      <c r="GB17" s="26"/>
      <c r="GC17" s="26"/>
      <c r="GG17" s="28"/>
    </row>
    <row r="18" spans="1:189" ht="15.75" x14ac:dyDescent="0.25">
      <c r="A18" s="16">
        <v>6.1</v>
      </c>
      <c r="B18" s="17" t="s">
        <v>8</v>
      </c>
      <c r="C18" s="9">
        <v>357260.09253922274</v>
      </c>
      <c r="D18" s="9">
        <v>376792.85876779439</v>
      </c>
      <c r="E18" s="9">
        <v>411495.1630469833</v>
      </c>
      <c r="F18" s="9">
        <v>467954.53150847531</v>
      </c>
      <c r="G18" s="9">
        <v>534985.66348974931</v>
      </c>
      <c r="H18" s="9">
        <v>561464.97351257398</v>
      </c>
      <c r="I18" s="9">
        <v>609966.83119107166</v>
      </c>
      <c r="J18" s="9">
        <v>655920.24845094897</v>
      </c>
      <c r="K18" s="9">
        <v>726726.6929345855</v>
      </c>
      <c r="L18" s="9">
        <v>808921.2282602255</v>
      </c>
      <c r="M18" s="9">
        <v>785866.91062325542</v>
      </c>
      <c r="N18" s="9">
        <v>803433.93739535089</v>
      </c>
      <c r="O18" s="9">
        <v>909937.32270989555</v>
      </c>
      <c r="P18" s="9">
        <v>940601.49706924253</v>
      </c>
      <c r="Q18" s="3"/>
      <c r="R18" s="4"/>
      <c r="S18" s="4"/>
      <c r="T18" s="3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1"/>
      <c r="GE18" s="1"/>
      <c r="GF18" s="1"/>
    </row>
    <row r="19" spans="1:189" ht="15.75" x14ac:dyDescent="0.25">
      <c r="A19" s="16">
        <v>6.2</v>
      </c>
      <c r="B19" s="17" t="s">
        <v>9</v>
      </c>
      <c r="C19" s="9">
        <v>99568.53126389836</v>
      </c>
      <c r="D19" s="9">
        <v>98701.671132799558</v>
      </c>
      <c r="E19" s="9">
        <v>96420.92380940057</v>
      </c>
      <c r="F19" s="9">
        <v>98747.037962463248</v>
      </c>
      <c r="G19" s="9">
        <v>112442.50471410577</v>
      </c>
      <c r="H19" s="9">
        <v>122469.75019295135</v>
      </c>
      <c r="I19" s="9">
        <v>130577.8104037218</v>
      </c>
      <c r="J19" s="9">
        <v>134847.86294991997</v>
      </c>
      <c r="K19" s="9">
        <v>136941.38907510205</v>
      </c>
      <c r="L19" s="9">
        <v>63134.97328936174</v>
      </c>
      <c r="M19" s="9">
        <v>89390.184399999373</v>
      </c>
      <c r="N19" s="9">
        <v>157237.61812749537</v>
      </c>
      <c r="O19" s="9">
        <v>177195.85369167366</v>
      </c>
      <c r="P19" s="9">
        <v>189439.1487045844</v>
      </c>
      <c r="Q19" s="3"/>
      <c r="R19" s="4"/>
      <c r="S19" s="4"/>
      <c r="T19" s="3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1"/>
      <c r="GE19" s="1"/>
      <c r="GF19" s="1"/>
    </row>
    <row r="20" spans="1:189" s="27" customFormat="1" ht="30" x14ac:dyDescent="0.25">
      <c r="A20" s="41" t="s">
        <v>36</v>
      </c>
      <c r="B20" s="42" t="s">
        <v>10</v>
      </c>
      <c r="C20" s="25">
        <f>SUM(C21:C27)</f>
        <v>300836.11292592052</v>
      </c>
      <c r="D20" s="25">
        <f t="shared" ref="D20:N20" si="12">SUM(D21:D27)</f>
        <v>328512.89114905556</v>
      </c>
      <c r="E20" s="25">
        <f t="shared" si="12"/>
        <v>405449.13466732285</v>
      </c>
      <c r="F20" s="25">
        <f t="shared" si="12"/>
        <v>443165.00121344591</v>
      </c>
      <c r="G20" s="25">
        <f t="shared" si="12"/>
        <v>498517.33116270439</v>
      </c>
      <c r="H20" s="25">
        <f t="shared" si="12"/>
        <v>523675.65329770249</v>
      </c>
      <c r="I20" s="25">
        <f t="shared" si="12"/>
        <v>527905.91674579238</v>
      </c>
      <c r="J20" s="25">
        <f t="shared" si="12"/>
        <v>514586.28206052829</v>
      </c>
      <c r="K20" s="25">
        <f t="shared" si="12"/>
        <v>526481.94631263043</v>
      </c>
      <c r="L20" s="25">
        <f t="shared" si="12"/>
        <v>441359.93059280806</v>
      </c>
      <c r="M20" s="25">
        <f t="shared" si="12"/>
        <v>547555.65444965498</v>
      </c>
      <c r="N20" s="25">
        <f t="shared" si="12"/>
        <v>574003.32033765805</v>
      </c>
      <c r="O20" s="25">
        <f t="shared" ref="O20:P20" si="13">SUM(O21:O27)</f>
        <v>591192.20912832359</v>
      </c>
      <c r="P20" s="25">
        <f t="shared" si="13"/>
        <v>660995.81503060786</v>
      </c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  <c r="CK20" s="26"/>
      <c r="CL20" s="26"/>
      <c r="CM20" s="26"/>
      <c r="CN20" s="26"/>
      <c r="CO20" s="26"/>
      <c r="CP20" s="26"/>
      <c r="CQ20" s="26"/>
      <c r="CR20" s="26"/>
      <c r="CS20" s="26"/>
      <c r="CT20" s="26"/>
      <c r="CU20" s="26"/>
      <c r="CV20" s="26"/>
      <c r="CW20" s="26"/>
      <c r="CX20" s="26"/>
      <c r="CY20" s="26"/>
      <c r="CZ20" s="26"/>
      <c r="DA20" s="26"/>
      <c r="DB20" s="26"/>
      <c r="DC20" s="26"/>
      <c r="DD20" s="26"/>
      <c r="DE20" s="26"/>
      <c r="DF20" s="26"/>
      <c r="DG20" s="26"/>
      <c r="DH20" s="26"/>
      <c r="DI20" s="26"/>
      <c r="DJ20" s="26"/>
      <c r="DK20" s="26"/>
      <c r="DL20" s="26"/>
      <c r="DM20" s="26"/>
      <c r="DN20" s="26"/>
      <c r="DO20" s="26"/>
      <c r="DP20" s="26"/>
      <c r="DQ20" s="26"/>
      <c r="DR20" s="26"/>
      <c r="DS20" s="26"/>
      <c r="DT20" s="26"/>
      <c r="DU20" s="26"/>
      <c r="DV20" s="26"/>
      <c r="DW20" s="26"/>
      <c r="DX20" s="26"/>
      <c r="DY20" s="26"/>
      <c r="DZ20" s="26"/>
      <c r="EA20" s="26"/>
      <c r="EB20" s="26"/>
      <c r="EC20" s="26"/>
      <c r="ED20" s="26"/>
      <c r="EE20" s="26"/>
      <c r="EF20" s="26"/>
      <c r="EG20" s="26"/>
      <c r="EH20" s="26"/>
      <c r="EI20" s="26"/>
      <c r="EJ20" s="26"/>
      <c r="EK20" s="26"/>
      <c r="EL20" s="26"/>
      <c r="EM20" s="26"/>
      <c r="EN20" s="26"/>
      <c r="EO20" s="26"/>
      <c r="EP20" s="26"/>
      <c r="EQ20" s="26"/>
      <c r="ER20" s="26"/>
      <c r="ES20" s="26"/>
      <c r="ET20" s="26"/>
      <c r="EU20" s="26"/>
      <c r="EV20" s="26"/>
      <c r="EW20" s="26"/>
      <c r="EX20" s="26"/>
      <c r="EY20" s="26"/>
      <c r="EZ20" s="26"/>
      <c r="FA20" s="26"/>
      <c r="FB20" s="26"/>
      <c r="FC20" s="26"/>
      <c r="FD20" s="26"/>
      <c r="FE20" s="26"/>
      <c r="FF20" s="26"/>
      <c r="FG20" s="26"/>
      <c r="FH20" s="26"/>
      <c r="FI20" s="26"/>
      <c r="FJ20" s="26"/>
      <c r="FK20" s="26"/>
      <c r="FL20" s="26"/>
      <c r="FM20" s="26"/>
      <c r="FN20" s="26"/>
      <c r="FO20" s="26"/>
      <c r="FP20" s="26"/>
      <c r="FQ20" s="26"/>
      <c r="FR20" s="26"/>
      <c r="FS20" s="26"/>
      <c r="FT20" s="26"/>
      <c r="FU20" s="26"/>
      <c r="FV20" s="26"/>
      <c r="FW20" s="26"/>
      <c r="FX20" s="26"/>
      <c r="FY20" s="26"/>
      <c r="FZ20" s="26"/>
      <c r="GA20" s="26"/>
      <c r="GB20" s="26"/>
      <c r="GC20" s="26"/>
      <c r="GG20" s="28"/>
    </row>
    <row r="21" spans="1:189" ht="15.75" x14ac:dyDescent="0.25">
      <c r="A21" s="16">
        <v>7.1</v>
      </c>
      <c r="B21" s="17" t="s">
        <v>11</v>
      </c>
      <c r="C21" s="9">
        <v>1720</v>
      </c>
      <c r="D21" s="9">
        <v>1830</v>
      </c>
      <c r="E21" s="9">
        <v>2142</v>
      </c>
      <c r="F21" s="9">
        <v>2621</v>
      </c>
      <c r="G21" s="9">
        <v>2498</v>
      </c>
      <c r="H21" s="9">
        <v>2707.6571400000003</v>
      </c>
      <c r="I21" s="9">
        <v>1348</v>
      </c>
      <c r="J21" s="9">
        <v>1522</v>
      </c>
      <c r="K21" s="9">
        <v>1637.781629116118</v>
      </c>
      <c r="L21" s="9">
        <v>1009.8260523170894</v>
      </c>
      <c r="M21" s="9">
        <v>3213.6973025359393</v>
      </c>
      <c r="N21" s="9">
        <v>6950.4767932489458</v>
      </c>
      <c r="O21" s="9">
        <v>8525.5635868556219</v>
      </c>
      <c r="P21" s="9">
        <v>10569.487298245615</v>
      </c>
      <c r="Q21" s="3"/>
      <c r="R21" s="4"/>
      <c r="S21" s="4"/>
      <c r="T21" s="3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1"/>
      <c r="GE21" s="1"/>
      <c r="GF21" s="1"/>
    </row>
    <row r="22" spans="1:189" ht="15.75" x14ac:dyDescent="0.25">
      <c r="A22" s="16">
        <v>7.2</v>
      </c>
      <c r="B22" s="17" t="s">
        <v>12</v>
      </c>
      <c r="C22" s="9">
        <v>169770.5733299205</v>
      </c>
      <c r="D22" s="9">
        <v>195693.92106570254</v>
      </c>
      <c r="E22" s="9">
        <v>245464.46259307026</v>
      </c>
      <c r="F22" s="9">
        <v>267869.85992570751</v>
      </c>
      <c r="G22" s="9">
        <v>282915.82206498191</v>
      </c>
      <c r="H22" s="9">
        <v>295020.57665018959</v>
      </c>
      <c r="I22" s="9">
        <v>301785.23760117701</v>
      </c>
      <c r="J22" s="9">
        <v>304793.53406612662</v>
      </c>
      <c r="K22" s="9">
        <v>299849.34141832497</v>
      </c>
      <c r="L22" s="9">
        <v>217853.52266495299</v>
      </c>
      <c r="M22" s="9">
        <v>302534.68256160273</v>
      </c>
      <c r="N22" s="9">
        <v>302626.94669388438</v>
      </c>
      <c r="O22" s="9">
        <v>316638.28339927201</v>
      </c>
      <c r="P22" s="9">
        <v>351256.33929232188</v>
      </c>
      <c r="Q22" s="3"/>
      <c r="R22" s="4"/>
      <c r="S22" s="4"/>
      <c r="T22" s="3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1"/>
      <c r="GE22" s="1"/>
      <c r="GF22" s="1"/>
    </row>
    <row r="23" spans="1:189" ht="15.75" x14ac:dyDescent="0.25">
      <c r="A23" s="16">
        <v>7.3</v>
      </c>
      <c r="B23" s="17" t="s">
        <v>13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3"/>
      <c r="R23" s="4"/>
      <c r="S23" s="4"/>
      <c r="T23" s="3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1"/>
      <c r="GE23" s="1"/>
      <c r="GF23" s="1"/>
    </row>
    <row r="24" spans="1:189" ht="15.75" x14ac:dyDescent="0.25">
      <c r="A24" s="16">
        <v>7.4</v>
      </c>
      <c r="B24" s="17" t="s">
        <v>14</v>
      </c>
      <c r="C24" s="9">
        <v>897.60829999999999</v>
      </c>
      <c r="D24" s="9">
        <v>1519.798813868613</v>
      </c>
      <c r="E24" s="9">
        <v>1277.0468085106384</v>
      </c>
      <c r="F24" s="9">
        <v>2050.2619930058568</v>
      </c>
      <c r="G24" s="9">
        <v>832.02362367006981</v>
      </c>
      <c r="H24" s="9">
        <v>1009.0441720540609</v>
      </c>
      <c r="I24" s="9">
        <v>1115.9258924899441</v>
      </c>
      <c r="J24" s="9">
        <v>459.5808383233533</v>
      </c>
      <c r="K24" s="9">
        <v>910.60080878105157</v>
      </c>
      <c r="L24" s="9">
        <v>739.6096135971319</v>
      </c>
      <c r="M24" s="9">
        <v>576.69655722443224</v>
      </c>
      <c r="N24" s="9">
        <v>717.18473362244049</v>
      </c>
      <c r="O24" s="9">
        <v>1318.4361237417943</v>
      </c>
      <c r="P24" s="9">
        <v>1443.921323969445</v>
      </c>
      <c r="Q24" s="3"/>
      <c r="R24" s="4"/>
      <c r="S24" s="4"/>
      <c r="T24" s="3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1"/>
      <c r="GE24" s="1"/>
      <c r="GF24" s="1"/>
    </row>
    <row r="25" spans="1:189" ht="15.75" x14ac:dyDescent="0.25">
      <c r="A25" s="16">
        <v>7.5</v>
      </c>
      <c r="B25" s="17" t="s">
        <v>15</v>
      </c>
      <c r="C25" s="9">
        <v>813.8578</v>
      </c>
      <c r="D25" s="9">
        <v>1023</v>
      </c>
      <c r="E25" s="9">
        <v>1072.2166258336861</v>
      </c>
      <c r="F25" s="9">
        <v>1275.6354568809354</v>
      </c>
      <c r="G25" s="9">
        <v>1538.9420885730569</v>
      </c>
      <c r="H25" s="9">
        <v>5482.0577084734896</v>
      </c>
      <c r="I25" s="9">
        <v>5911.5598050838807</v>
      </c>
      <c r="J25" s="9">
        <v>4887.029546591697</v>
      </c>
      <c r="K25" s="9">
        <v>5013.3302935839201</v>
      </c>
      <c r="L25" s="9">
        <v>1965.5148054707211</v>
      </c>
      <c r="M25" s="9">
        <v>2921.9848372390361</v>
      </c>
      <c r="N25" s="9">
        <v>3881.6783051845655</v>
      </c>
      <c r="O25" s="9">
        <v>4866.5200770289657</v>
      </c>
      <c r="P25" s="9">
        <v>5752.4768688945369</v>
      </c>
      <c r="Q25" s="3"/>
      <c r="R25" s="4"/>
      <c r="S25" s="4"/>
      <c r="T25" s="3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1"/>
      <c r="GE25" s="1"/>
      <c r="GF25" s="1"/>
    </row>
    <row r="26" spans="1:189" ht="15.75" x14ac:dyDescent="0.25">
      <c r="A26" s="16">
        <v>7.6</v>
      </c>
      <c r="B26" s="17" t="s">
        <v>16</v>
      </c>
      <c r="C26" s="9">
        <v>163.11439999999999</v>
      </c>
      <c r="D26" s="9">
        <v>164.85972419849065</v>
      </c>
      <c r="E26" s="9">
        <v>106.28856839334857</v>
      </c>
      <c r="F26" s="9">
        <v>125.54529647516857</v>
      </c>
      <c r="G26" s="9">
        <v>126.61278971915836</v>
      </c>
      <c r="H26" s="9">
        <v>515.05095984714615</v>
      </c>
      <c r="I26" s="9">
        <v>113.22423571133513</v>
      </c>
      <c r="J26" s="9">
        <v>217.64254651241816</v>
      </c>
      <c r="K26" s="9">
        <v>137.13835117865599</v>
      </c>
      <c r="L26" s="9">
        <v>62.280686188464315</v>
      </c>
      <c r="M26" s="9">
        <v>182.20455889866108</v>
      </c>
      <c r="N26" s="9">
        <v>136.76051481849584</v>
      </c>
      <c r="O26" s="9">
        <v>141.43018802160759</v>
      </c>
      <c r="P26" s="9">
        <v>147.05338311565976</v>
      </c>
      <c r="Q26" s="3"/>
      <c r="R26" s="4"/>
      <c r="S26" s="4"/>
      <c r="T26" s="3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1"/>
      <c r="GE26" s="1"/>
      <c r="GF26" s="1"/>
    </row>
    <row r="27" spans="1:189" ht="30" x14ac:dyDescent="0.25">
      <c r="A27" s="16">
        <v>7.7</v>
      </c>
      <c r="B27" s="17" t="s">
        <v>17</v>
      </c>
      <c r="C27" s="9">
        <v>127470.95909600001</v>
      </c>
      <c r="D27" s="9">
        <v>128281.31154528592</v>
      </c>
      <c r="E27" s="9">
        <v>155387.12007151489</v>
      </c>
      <c r="F27" s="9">
        <v>169222.69854137642</v>
      </c>
      <c r="G27" s="9">
        <v>210605.93059576026</v>
      </c>
      <c r="H27" s="9">
        <v>218941.2666671382</v>
      </c>
      <c r="I27" s="9">
        <v>217631.96921133017</v>
      </c>
      <c r="J27" s="9">
        <v>202706.49506297425</v>
      </c>
      <c r="K27" s="9">
        <v>218933.75381164573</v>
      </c>
      <c r="L27" s="9">
        <v>219729.17677028172</v>
      </c>
      <c r="M27" s="9">
        <v>238126.38863215421</v>
      </c>
      <c r="N27" s="9">
        <v>259690.27329689922</v>
      </c>
      <c r="O27" s="9">
        <v>259701.97575340362</v>
      </c>
      <c r="P27" s="9">
        <v>291826.53686406079</v>
      </c>
      <c r="Q27" s="3"/>
      <c r="R27" s="4"/>
      <c r="S27" s="4"/>
      <c r="T27" s="3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1"/>
      <c r="GE27" s="1"/>
      <c r="GF27" s="1"/>
    </row>
    <row r="28" spans="1:189" ht="15.75" x14ac:dyDescent="0.25">
      <c r="A28" s="18" t="s">
        <v>37</v>
      </c>
      <c r="B28" s="17" t="s">
        <v>18</v>
      </c>
      <c r="C28" s="9">
        <v>287346</v>
      </c>
      <c r="D28" s="9">
        <v>312147</v>
      </c>
      <c r="E28" s="9">
        <v>304420</v>
      </c>
      <c r="F28" s="9">
        <v>368110</v>
      </c>
      <c r="G28" s="9">
        <v>394899</v>
      </c>
      <c r="H28" s="9">
        <v>400697</v>
      </c>
      <c r="I28" s="9">
        <v>324676</v>
      </c>
      <c r="J28" s="9">
        <v>325947</v>
      </c>
      <c r="K28" s="9">
        <v>339652</v>
      </c>
      <c r="L28" s="9">
        <v>352704</v>
      </c>
      <c r="M28" s="9">
        <v>377048</v>
      </c>
      <c r="N28" s="9">
        <v>382328</v>
      </c>
      <c r="O28" s="9">
        <v>404569.67661262501</v>
      </c>
      <c r="P28" s="9">
        <v>438356.6209509967</v>
      </c>
      <c r="Q28" s="3"/>
      <c r="R28" s="4"/>
      <c r="S28" s="4"/>
      <c r="T28" s="3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1"/>
      <c r="GE28" s="1"/>
      <c r="GF28" s="1"/>
    </row>
    <row r="29" spans="1:189" ht="30" x14ac:dyDescent="0.25">
      <c r="A29" s="18" t="s">
        <v>38</v>
      </c>
      <c r="B29" s="17" t="s">
        <v>19</v>
      </c>
      <c r="C29" s="9">
        <v>674893.50534000003</v>
      </c>
      <c r="D29" s="9">
        <v>747652.99210814247</v>
      </c>
      <c r="E29" s="9">
        <v>815871.2430270107</v>
      </c>
      <c r="F29" s="9">
        <v>867315.0689106459</v>
      </c>
      <c r="G29" s="9">
        <v>884412.67818794365</v>
      </c>
      <c r="H29" s="9">
        <v>934352.70327588788</v>
      </c>
      <c r="I29" s="9">
        <v>1044145.7511378134</v>
      </c>
      <c r="J29" s="9">
        <v>1137251.9589971013</v>
      </c>
      <c r="K29" s="9">
        <v>1123812.4743256387</v>
      </c>
      <c r="L29" s="9">
        <v>1101519.5167013379</v>
      </c>
      <c r="M29" s="9">
        <v>1222079.7595536052</v>
      </c>
      <c r="N29" s="9">
        <v>1335886.4967130357</v>
      </c>
      <c r="O29" s="9">
        <v>1451457.9321501891</v>
      </c>
      <c r="P29" s="9">
        <v>1532005.1279971965</v>
      </c>
      <c r="Q29" s="3"/>
      <c r="R29" s="4"/>
      <c r="S29" s="4"/>
      <c r="T29" s="3"/>
      <c r="U29" s="5"/>
      <c r="V29" s="5"/>
      <c r="W29" s="5"/>
      <c r="X29" s="5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1"/>
      <c r="GE29" s="1"/>
      <c r="GF29" s="1"/>
    </row>
    <row r="30" spans="1:189" ht="15.75" x14ac:dyDescent="0.25">
      <c r="A30" s="18" t="s">
        <v>39</v>
      </c>
      <c r="B30" s="17" t="s">
        <v>54</v>
      </c>
      <c r="C30" s="9">
        <v>375875</v>
      </c>
      <c r="D30" s="9">
        <v>404422.56250000006</v>
      </c>
      <c r="E30" s="9">
        <v>400849.34527439025</v>
      </c>
      <c r="F30" s="9">
        <v>422785.72060206957</v>
      </c>
      <c r="G30" s="9">
        <v>424547.02994958241</v>
      </c>
      <c r="H30" s="9">
        <v>464357.95467874792</v>
      </c>
      <c r="I30" s="9">
        <v>516941.30805831758</v>
      </c>
      <c r="J30" s="9">
        <v>535083.55335680465</v>
      </c>
      <c r="K30" s="9">
        <v>563300.57259483426</v>
      </c>
      <c r="L30" s="9">
        <v>562471.34778246027</v>
      </c>
      <c r="M30" s="9">
        <v>548167.04743082996</v>
      </c>
      <c r="N30" s="9">
        <v>669016.2608695653</v>
      </c>
      <c r="O30" s="9">
        <v>671092.09348625958</v>
      </c>
      <c r="P30" s="9">
        <v>685933.89501509757</v>
      </c>
      <c r="Q30" s="3"/>
      <c r="R30" s="4"/>
      <c r="S30" s="4"/>
      <c r="T30" s="3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1"/>
      <c r="GE30" s="1"/>
      <c r="GF30" s="1"/>
    </row>
    <row r="31" spans="1:189" ht="15.75" x14ac:dyDescent="0.25">
      <c r="A31" s="18" t="s">
        <v>40</v>
      </c>
      <c r="B31" s="17" t="s">
        <v>20</v>
      </c>
      <c r="C31" s="9">
        <v>612782.90651559143</v>
      </c>
      <c r="D31" s="9">
        <v>666938.34592199337</v>
      </c>
      <c r="E31" s="9">
        <v>676687.42497888487</v>
      </c>
      <c r="F31" s="9">
        <v>734476.26115297806</v>
      </c>
      <c r="G31" s="9">
        <v>802922.1365403668</v>
      </c>
      <c r="H31" s="9">
        <v>883574.85989833693</v>
      </c>
      <c r="I31" s="9">
        <v>935585.670688182</v>
      </c>
      <c r="J31" s="9">
        <v>969858.29030066542</v>
      </c>
      <c r="K31" s="9">
        <v>1028737.5666758569</v>
      </c>
      <c r="L31" s="9">
        <v>969884.59408897359</v>
      </c>
      <c r="M31" s="9">
        <v>1034092.0408841999</v>
      </c>
      <c r="N31" s="9">
        <v>1158088.4715408459</v>
      </c>
      <c r="O31" s="9">
        <v>1252155.1723188912</v>
      </c>
      <c r="P31" s="9">
        <v>1299425.6318720381</v>
      </c>
      <c r="Q31" s="3"/>
      <c r="R31" s="4"/>
      <c r="S31" s="4"/>
      <c r="T31" s="3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1"/>
      <c r="GE31" s="1"/>
      <c r="GF31" s="1"/>
    </row>
    <row r="32" spans="1:189" s="28" customFormat="1" ht="15.75" x14ac:dyDescent="0.25">
      <c r="A32" s="29"/>
      <c r="B32" s="30" t="s">
        <v>30</v>
      </c>
      <c r="C32" s="31">
        <f>C17+C20+C28+C29+C30+C31</f>
        <v>2708562.1485846331</v>
      </c>
      <c r="D32" s="31">
        <f t="shared" ref="D32:F32" si="14">D17+D20+D28+D29+D30+D31</f>
        <v>2935168.3215797851</v>
      </c>
      <c r="E32" s="31">
        <f t="shared" si="14"/>
        <v>3111193.2348039928</v>
      </c>
      <c r="F32" s="31">
        <f t="shared" si="14"/>
        <v>3402553.6213500779</v>
      </c>
      <c r="G32" s="31">
        <f t="shared" ref="G32:H32" si="15">G17+G20+G28+G29+G30+G31</f>
        <v>3652726.3440444521</v>
      </c>
      <c r="H32" s="31">
        <f t="shared" si="15"/>
        <v>3890592.8948562006</v>
      </c>
      <c r="I32" s="31">
        <f t="shared" ref="I32:K32" si="16">I17+I20+I28+I29+I30+I31</f>
        <v>4089799.2882248992</v>
      </c>
      <c r="J32" s="31">
        <f t="shared" si="16"/>
        <v>4273495.1961159687</v>
      </c>
      <c r="K32" s="31">
        <f t="shared" si="16"/>
        <v>4445652.641918648</v>
      </c>
      <c r="L32" s="31">
        <f t="shared" ref="L32:M32" si="17">L17+L20+L28+L29+L30+L31</f>
        <v>4299995.5907151671</v>
      </c>
      <c r="M32" s="31">
        <f t="shared" si="17"/>
        <v>4604199.5973415449</v>
      </c>
      <c r="N32" s="31">
        <f t="shared" ref="N32" si="18">N17+N20+N28+N29+N30+N31</f>
        <v>5079994.1049839519</v>
      </c>
      <c r="O32" s="31">
        <f t="shared" ref="O32:P32" si="19">O17+O20+O28+O29+O30+O31</f>
        <v>5457600.2600978576</v>
      </c>
      <c r="P32" s="31">
        <f t="shared" si="19"/>
        <v>5746757.7366397632</v>
      </c>
      <c r="Q32" s="3"/>
      <c r="R32" s="4"/>
      <c r="S32" s="4"/>
      <c r="T32" s="3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  <c r="CI32" s="32"/>
      <c r="CJ32" s="32"/>
      <c r="CK32" s="32"/>
      <c r="CL32" s="32"/>
      <c r="CM32" s="32"/>
      <c r="CN32" s="32"/>
      <c r="CO32" s="32"/>
      <c r="CP32" s="32"/>
      <c r="CQ32" s="32"/>
      <c r="CR32" s="32"/>
      <c r="CS32" s="32"/>
      <c r="CT32" s="32"/>
      <c r="CU32" s="32"/>
      <c r="CV32" s="32"/>
      <c r="CW32" s="32"/>
      <c r="CX32" s="32"/>
      <c r="CY32" s="32"/>
      <c r="CZ32" s="32"/>
      <c r="DA32" s="32"/>
      <c r="DB32" s="32"/>
      <c r="DC32" s="32"/>
      <c r="DD32" s="32"/>
      <c r="DE32" s="32"/>
      <c r="DF32" s="26"/>
      <c r="DG32" s="26"/>
      <c r="DH32" s="26"/>
      <c r="DI32" s="26"/>
      <c r="DJ32" s="26"/>
      <c r="DK32" s="26"/>
      <c r="DL32" s="26"/>
      <c r="DM32" s="26"/>
      <c r="DN32" s="26"/>
      <c r="DO32" s="26"/>
      <c r="DP32" s="26"/>
      <c r="DQ32" s="26"/>
      <c r="DR32" s="26"/>
      <c r="DS32" s="26"/>
      <c r="DT32" s="26"/>
      <c r="DU32" s="26"/>
      <c r="DV32" s="26"/>
      <c r="DW32" s="26"/>
      <c r="DX32" s="26"/>
      <c r="DY32" s="32"/>
      <c r="DZ32" s="32"/>
      <c r="EA32" s="32"/>
      <c r="EB32" s="32"/>
      <c r="EC32" s="32"/>
      <c r="ED32" s="32"/>
      <c r="EE32" s="32"/>
      <c r="EF32" s="32"/>
      <c r="EG32" s="32"/>
      <c r="EH32" s="32"/>
      <c r="EI32" s="32"/>
      <c r="EJ32" s="32"/>
      <c r="EK32" s="32"/>
      <c r="EL32" s="32"/>
      <c r="EM32" s="32"/>
      <c r="EN32" s="32"/>
      <c r="EO32" s="32"/>
      <c r="EP32" s="32"/>
      <c r="EQ32" s="32"/>
      <c r="ER32" s="32"/>
      <c r="ES32" s="32"/>
      <c r="ET32" s="32"/>
      <c r="EU32" s="32"/>
      <c r="EV32" s="32"/>
      <c r="EW32" s="32"/>
      <c r="EX32" s="32"/>
      <c r="EY32" s="32"/>
      <c r="EZ32" s="32"/>
      <c r="FA32" s="32"/>
      <c r="FB32" s="32"/>
      <c r="FC32" s="32"/>
      <c r="FD32" s="32"/>
      <c r="FE32" s="32"/>
      <c r="FF32" s="32"/>
      <c r="FG32" s="32"/>
      <c r="FH32" s="32"/>
      <c r="FI32" s="32"/>
      <c r="FJ32" s="32"/>
      <c r="FK32" s="32"/>
      <c r="FL32" s="32"/>
      <c r="FM32" s="32"/>
      <c r="FN32" s="32"/>
      <c r="FO32" s="32"/>
      <c r="FP32" s="32"/>
      <c r="FQ32" s="32"/>
      <c r="FR32" s="32"/>
      <c r="FS32" s="32"/>
      <c r="FT32" s="32"/>
      <c r="FU32" s="32"/>
      <c r="FV32" s="32"/>
      <c r="FW32" s="32"/>
      <c r="FX32" s="32"/>
      <c r="FY32" s="32"/>
      <c r="FZ32" s="32"/>
      <c r="GA32" s="32"/>
      <c r="GB32" s="32"/>
      <c r="GC32" s="32"/>
      <c r="GD32" s="27"/>
      <c r="GE32" s="27"/>
      <c r="GF32" s="27"/>
    </row>
    <row r="33" spans="1:189" s="27" customFormat="1" ht="15.75" x14ac:dyDescent="0.25">
      <c r="A33" s="23" t="s">
        <v>27</v>
      </c>
      <c r="B33" s="33" t="s">
        <v>41</v>
      </c>
      <c r="C33" s="25">
        <f>C6+C11+C13+C14+C15+C17+C20+C28+C29+C30+C31</f>
        <v>6940277.9525891747</v>
      </c>
      <c r="D33" s="25">
        <f>D6+D11+D13+D14+D15+D17+D20+D28+D29+D30+D31</f>
        <v>7412568.815558603</v>
      </c>
      <c r="E33" s="25">
        <f>E6+E11+E13+E14+E15+E17+E20+E28+E29+E30+E31</f>
        <v>7928935.9547081329</v>
      </c>
      <c r="F33" s="25">
        <f>F6+F11+F13+F14+F15+F17+F20+F28+F29+F30+F31</f>
        <v>8510188.996472992</v>
      </c>
      <c r="G33" s="25">
        <f t="shared" ref="G33:H33" si="20">G6+G11+G13+G14+G15+G17+G20+G28+G29+G30+G31</f>
        <v>9192565.555213578</v>
      </c>
      <c r="H33" s="25">
        <f t="shared" si="20"/>
        <v>9831732.5865514185</v>
      </c>
      <c r="I33" s="25">
        <f t="shared" ref="I33:K33" si="21">I6+I11+I13+I14+I15+I17+I20+I28+I29+I30+I31</f>
        <v>10412974.799028426</v>
      </c>
      <c r="J33" s="25">
        <f t="shared" si="21"/>
        <v>11001185.495670749</v>
      </c>
      <c r="K33" s="25">
        <f t="shared" si="21"/>
        <v>11410593.939293418</v>
      </c>
      <c r="L33" s="25">
        <f t="shared" ref="L33:M33" si="22">L6+L11+L13+L14+L15+L17+L20+L28+L29+L30+L31</f>
        <v>10929922.588248812</v>
      </c>
      <c r="M33" s="25">
        <f t="shared" si="22"/>
        <v>11417572.514870334</v>
      </c>
      <c r="N33" s="25">
        <f t="shared" ref="N33" si="23">N6+N11+N13+N14+N15+N17+N20+N28+N29+N30+N31</f>
        <v>12235995.426434504</v>
      </c>
      <c r="O33" s="25">
        <f t="shared" ref="O33:P33" si="24">O6+O11+O13+O14+O15+O17+O20+O28+O29+O30+O31</f>
        <v>12993689.706465472</v>
      </c>
      <c r="P33" s="25">
        <f t="shared" si="24"/>
        <v>13724745.656838361</v>
      </c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  <c r="CK33" s="26"/>
      <c r="CL33" s="26"/>
      <c r="CM33" s="26"/>
      <c r="CN33" s="26"/>
      <c r="CO33" s="26"/>
      <c r="CP33" s="26"/>
      <c r="CQ33" s="26"/>
      <c r="CR33" s="26"/>
      <c r="CS33" s="26"/>
      <c r="CT33" s="26"/>
      <c r="CU33" s="26"/>
      <c r="CV33" s="26"/>
      <c r="CW33" s="26"/>
      <c r="CX33" s="26"/>
      <c r="CY33" s="26"/>
      <c r="CZ33" s="26"/>
      <c r="DA33" s="26"/>
      <c r="DB33" s="26"/>
      <c r="DC33" s="26"/>
      <c r="DD33" s="26"/>
      <c r="DE33" s="26"/>
      <c r="DF33" s="26"/>
      <c r="DG33" s="26"/>
      <c r="DH33" s="26"/>
      <c r="DI33" s="26"/>
      <c r="DJ33" s="26"/>
      <c r="DK33" s="26"/>
      <c r="DL33" s="26"/>
      <c r="DM33" s="26"/>
      <c r="DN33" s="26"/>
      <c r="DO33" s="26"/>
      <c r="DP33" s="26"/>
      <c r="DQ33" s="26"/>
      <c r="DR33" s="26"/>
      <c r="DS33" s="26"/>
      <c r="DT33" s="26"/>
      <c r="DU33" s="26"/>
      <c r="DV33" s="26"/>
      <c r="DW33" s="26"/>
      <c r="DX33" s="26"/>
      <c r="DY33" s="26"/>
      <c r="DZ33" s="26"/>
      <c r="EA33" s="26"/>
      <c r="EB33" s="26"/>
      <c r="EC33" s="26"/>
      <c r="ED33" s="26"/>
      <c r="EE33" s="26"/>
      <c r="EF33" s="26"/>
      <c r="EG33" s="26"/>
      <c r="EH33" s="26"/>
      <c r="EI33" s="26"/>
      <c r="EJ33" s="26"/>
      <c r="EK33" s="26"/>
      <c r="EL33" s="26"/>
      <c r="EM33" s="26"/>
      <c r="EN33" s="26"/>
      <c r="EO33" s="26"/>
      <c r="EP33" s="26"/>
      <c r="EQ33" s="26"/>
      <c r="ER33" s="26"/>
      <c r="ES33" s="26"/>
      <c r="ET33" s="26"/>
      <c r="EU33" s="26"/>
      <c r="EV33" s="26"/>
      <c r="EW33" s="26"/>
      <c r="EX33" s="26"/>
      <c r="EY33" s="26"/>
      <c r="EZ33" s="26"/>
      <c r="FA33" s="26"/>
      <c r="FB33" s="26"/>
      <c r="FC33" s="26"/>
      <c r="FD33" s="26"/>
      <c r="FE33" s="26"/>
      <c r="FF33" s="26"/>
      <c r="FG33" s="26"/>
      <c r="FH33" s="26"/>
      <c r="FI33" s="26"/>
      <c r="FJ33" s="26"/>
      <c r="FK33" s="26"/>
      <c r="FL33" s="26"/>
      <c r="FM33" s="26"/>
      <c r="FN33" s="26"/>
      <c r="FO33" s="26"/>
      <c r="FP33" s="26"/>
      <c r="FQ33" s="26"/>
      <c r="FR33" s="26"/>
      <c r="FS33" s="26"/>
      <c r="FT33" s="26"/>
      <c r="FU33" s="26"/>
      <c r="FV33" s="26"/>
      <c r="FW33" s="26"/>
      <c r="FX33" s="26"/>
      <c r="FY33" s="26"/>
      <c r="FZ33" s="26"/>
      <c r="GA33" s="26"/>
      <c r="GB33" s="26"/>
      <c r="GC33" s="26"/>
      <c r="GG33" s="28"/>
    </row>
    <row r="34" spans="1:189" ht="15.75" x14ac:dyDescent="0.25">
      <c r="A34" s="21" t="s">
        <v>43</v>
      </c>
      <c r="B34" s="22" t="s">
        <v>25</v>
      </c>
      <c r="C34" s="9">
        <v>551418</v>
      </c>
      <c r="D34" s="9">
        <v>573527.82497359731</v>
      </c>
      <c r="E34" s="9">
        <v>583922.37646954646</v>
      </c>
      <c r="F34" s="9">
        <v>633383.16876686446</v>
      </c>
      <c r="G34" s="9">
        <v>684976</v>
      </c>
      <c r="H34" s="9">
        <v>737379.9944467661</v>
      </c>
      <c r="I34" s="9">
        <v>767612.55945205886</v>
      </c>
      <c r="J34" s="9">
        <v>880345.99497264274</v>
      </c>
      <c r="K34" s="9">
        <v>956249</v>
      </c>
      <c r="L34" s="9">
        <v>906800.46560621122</v>
      </c>
      <c r="M34" s="9">
        <v>947258.31669736723</v>
      </c>
      <c r="N34" s="9">
        <v>929213.23712516041</v>
      </c>
      <c r="O34" s="9">
        <v>986753.26800632197</v>
      </c>
      <c r="P34" s="9">
        <v>1042270.3585650543</v>
      </c>
      <c r="Q34" s="3"/>
      <c r="R34" s="4"/>
      <c r="S34" s="4"/>
      <c r="T34" s="3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</row>
    <row r="35" spans="1:189" ht="15.75" x14ac:dyDescent="0.25">
      <c r="A35" s="21" t="s">
        <v>44</v>
      </c>
      <c r="B35" s="22" t="s">
        <v>24</v>
      </c>
      <c r="C35" s="9">
        <v>219713</v>
      </c>
      <c r="D35" s="9">
        <v>247668.82573069356</v>
      </c>
      <c r="E35" s="9">
        <v>228189.59609785286</v>
      </c>
      <c r="F35" s="9">
        <v>237553.51554605889</v>
      </c>
      <c r="G35" s="9">
        <v>250135.49616790123</v>
      </c>
      <c r="H35" s="9">
        <v>263613.34801471885</v>
      </c>
      <c r="I35" s="9">
        <v>239960.66752444403</v>
      </c>
      <c r="J35" s="9">
        <v>240133.02885715055</v>
      </c>
      <c r="K35" s="9">
        <v>244141.927502512</v>
      </c>
      <c r="L35" s="9">
        <v>247349.04641880118</v>
      </c>
      <c r="M35" s="9">
        <v>245745.48696065659</v>
      </c>
      <c r="N35" s="9">
        <v>246547.26668972889</v>
      </c>
      <c r="O35" s="9">
        <v>246146.37682519274</v>
      </c>
      <c r="P35" s="9">
        <v>246346.82175746083</v>
      </c>
      <c r="Q35" s="3"/>
      <c r="R35" s="4"/>
      <c r="S35" s="4"/>
      <c r="T35" s="3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</row>
    <row r="36" spans="1:189" s="28" customFormat="1" ht="15.75" x14ac:dyDescent="0.25">
      <c r="A36" s="34" t="s">
        <v>45</v>
      </c>
      <c r="B36" s="35" t="s">
        <v>55</v>
      </c>
      <c r="C36" s="31">
        <f>C33+C34-C35</f>
        <v>7271982.9525891747</v>
      </c>
      <c r="D36" s="31">
        <f t="shared" ref="D36:N36" si="25">D33+D34-D35</f>
        <v>7738427.8148015067</v>
      </c>
      <c r="E36" s="31">
        <f t="shared" si="25"/>
        <v>8284668.7350798268</v>
      </c>
      <c r="F36" s="31">
        <f t="shared" si="25"/>
        <v>8906018.6496937964</v>
      </c>
      <c r="G36" s="31">
        <f t="shared" si="25"/>
        <v>9627406.0590456761</v>
      </c>
      <c r="H36" s="31">
        <f t="shared" si="25"/>
        <v>10305499.232983466</v>
      </c>
      <c r="I36" s="31">
        <f t="shared" si="25"/>
        <v>10940626.690956041</v>
      </c>
      <c r="J36" s="31">
        <f t="shared" si="25"/>
        <v>11641398.46178624</v>
      </c>
      <c r="K36" s="31">
        <f t="shared" si="25"/>
        <v>12122701.011790905</v>
      </c>
      <c r="L36" s="31">
        <f t="shared" si="25"/>
        <v>11589374.007436221</v>
      </c>
      <c r="M36" s="31">
        <f t="shared" si="25"/>
        <v>12119085.344607044</v>
      </c>
      <c r="N36" s="31">
        <f t="shared" si="25"/>
        <v>12918661.396869935</v>
      </c>
      <c r="O36" s="31">
        <f t="shared" ref="O36" si="26">O33+O34-O35</f>
        <v>13734296.5976466</v>
      </c>
      <c r="P36" s="31">
        <f t="shared" ref="P36" si="27">P33+P34-P35</f>
        <v>14520669.193645956</v>
      </c>
      <c r="Q36" s="3"/>
      <c r="R36" s="4"/>
      <c r="S36" s="4"/>
      <c r="T36" s="3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2"/>
      <c r="BP36" s="32"/>
      <c r="BQ36" s="32"/>
      <c r="BR36" s="32"/>
      <c r="BS36" s="32"/>
      <c r="BT36" s="32"/>
      <c r="BU36" s="32"/>
      <c r="BV36" s="32"/>
      <c r="BW36" s="32"/>
      <c r="BX36" s="32"/>
      <c r="BY36" s="32"/>
      <c r="BZ36" s="32"/>
      <c r="CA36" s="32"/>
      <c r="CB36" s="32"/>
      <c r="CC36" s="32"/>
      <c r="CD36" s="32"/>
      <c r="CE36" s="32"/>
      <c r="CF36" s="32"/>
      <c r="CG36" s="32"/>
      <c r="CH36" s="32"/>
      <c r="CI36" s="32"/>
      <c r="CJ36" s="32"/>
      <c r="CK36" s="32"/>
      <c r="CL36" s="32"/>
      <c r="CM36" s="32"/>
      <c r="CN36" s="32"/>
      <c r="CO36" s="32"/>
      <c r="CP36" s="32"/>
      <c r="CQ36" s="32"/>
      <c r="CR36" s="32"/>
      <c r="CS36" s="32"/>
      <c r="CT36" s="32"/>
      <c r="CU36" s="32"/>
      <c r="CV36" s="32"/>
      <c r="CW36" s="32"/>
      <c r="CX36" s="32"/>
      <c r="CY36" s="32"/>
      <c r="CZ36" s="32"/>
      <c r="DA36" s="32"/>
      <c r="DB36" s="32"/>
      <c r="DC36" s="32"/>
      <c r="DD36" s="32"/>
      <c r="DE36" s="32"/>
      <c r="DF36" s="26"/>
      <c r="DG36" s="26"/>
      <c r="DH36" s="26"/>
      <c r="DI36" s="26"/>
      <c r="DJ36" s="26"/>
      <c r="DK36" s="26"/>
      <c r="DL36" s="26"/>
      <c r="DM36" s="26"/>
      <c r="DN36" s="26"/>
      <c r="DO36" s="26"/>
      <c r="DP36" s="26"/>
      <c r="DQ36" s="26"/>
      <c r="DR36" s="26"/>
      <c r="DS36" s="26"/>
      <c r="DT36" s="26"/>
      <c r="DU36" s="26"/>
      <c r="DV36" s="26"/>
      <c r="DW36" s="26"/>
      <c r="DX36" s="26"/>
      <c r="DY36" s="32"/>
      <c r="DZ36" s="32"/>
      <c r="EA36" s="32"/>
      <c r="EB36" s="32"/>
      <c r="EC36" s="32"/>
      <c r="ED36" s="32"/>
      <c r="EE36" s="32"/>
      <c r="EF36" s="32"/>
      <c r="EG36" s="32"/>
      <c r="EH36" s="32"/>
      <c r="EI36" s="32"/>
      <c r="EJ36" s="32"/>
      <c r="EK36" s="32"/>
      <c r="EL36" s="32"/>
      <c r="EM36" s="32"/>
      <c r="EN36" s="32"/>
      <c r="EO36" s="32"/>
      <c r="EP36" s="32"/>
      <c r="EQ36" s="32"/>
      <c r="ER36" s="32"/>
      <c r="ES36" s="32"/>
      <c r="ET36" s="32"/>
      <c r="EU36" s="32"/>
      <c r="EV36" s="32"/>
      <c r="EW36" s="32"/>
      <c r="EX36" s="32"/>
      <c r="EY36" s="32"/>
      <c r="EZ36" s="32"/>
      <c r="FA36" s="32"/>
      <c r="FB36" s="32"/>
      <c r="FC36" s="32"/>
      <c r="FD36" s="32"/>
      <c r="FE36" s="32"/>
      <c r="FF36" s="32"/>
      <c r="FG36" s="32"/>
      <c r="FH36" s="32"/>
      <c r="FI36" s="32"/>
      <c r="FJ36" s="32"/>
      <c r="FK36" s="32"/>
      <c r="FL36" s="32"/>
      <c r="FM36" s="32"/>
      <c r="FN36" s="32"/>
      <c r="FO36" s="32"/>
      <c r="FP36" s="32"/>
      <c r="FQ36" s="32"/>
      <c r="FR36" s="32"/>
      <c r="FS36" s="32"/>
      <c r="FT36" s="32"/>
      <c r="FU36" s="32"/>
      <c r="FV36" s="32"/>
      <c r="FW36" s="32"/>
      <c r="FX36" s="32"/>
      <c r="FY36" s="32"/>
      <c r="FZ36" s="32"/>
      <c r="GA36" s="32"/>
      <c r="GB36" s="32"/>
    </row>
    <row r="37" spans="1:189" s="28" customFormat="1" ht="15.75" x14ac:dyDescent="0.25">
      <c r="A37" s="34" t="s">
        <v>46</v>
      </c>
      <c r="B37" s="35" t="s">
        <v>42</v>
      </c>
      <c r="C37" s="36">
        <f>GSVA_cur!C37</f>
        <v>69010</v>
      </c>
      <c r="D37" s="36">
        <f>GSVA_cur!D37</f>
        <v>69620</v>
      </c>
      <c r="E37" s="36">
        <f>GSVA_cur!E37</f>
        <v>70230</v>
      </c>
      <c r="F37" s="36">
        <f>GSVA_cur!F37</f>
        <v>70840</v>
      </c>
      <c r="G37" s="36">
        <f>GSVA_cur!G37</f>
        <v>71470</v>
      </c>
      <c r="H37" s="36">
        <f>GSVA_cur!H37</f>
        <v>72100</v>
      </c>
      <c r="I37" s="36">
        <f>GSVA_cur!I37</f>
        <v>72330</v>
      </c>
      <c r="J37" s="36">
        <f>GSVA_cur!J37</f>
        <v>72800</v>
      </c>
      <c r="K37" s="36">
        <f>GSVA_cur!K37</f>
        <v>73270</v>
      </c>
      <c r="L37" s="36">
        <f>GSVA_cur!L37</f>
        <v>73740</v>
      </c>
      <c r="M37" s="36">
        <f>GSVA_cur!M37</f>
        <v>74150</v>
      </c>
      <c r="N37" s="36">
        <f>GSVA_cur!N37</f>
        <v>74530</v>
      </c>
      <c r="O37" s="36">
        <f>GSVA_cur!O37</f>
        <v>74900</v>
      </c>
      <c r="P37" s="36">
        <f>GSVA_cur!P37</f>
        <v>75270</v>
      </c>
      <c r="Q37" s="1"/>
      <c r="R37" s="2"/>
      <c r="S37" s="2"/>
      <c r="T37" s="1"/>
      <c r="U37" s="1"/>
      <c r="V37" s="1"/>
      <c r="W37" s="1"/>
      <c r="X37" s="1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DF37" s="27"/>
      <c r="DG37" s="27"/>
      <c r="DH37" s="27"/>
      <c r="DI37" s="27"/>
      <c r="DJ37" s="27"/>
      <c r="DK37" s="27"/>
      <c r="DL37" s="27"/>
      <c r="DM37" s="27"/>
      <c r="DN37" s="27"/>
      <c r="DO37" s="27"/>
      <c r="DP37" s="27"/>
      <c r="DQ37" s="27"/>
      <c r="DR37" s="27"/>
      <c r="DS37" s="27"/>
      <c r="DT37" s="27"/>
      <c r="DU37" s="27"/>
      <c r="DV37" s="27"/>
      <c r="DW37" s="27"/>
      <c r="DX37" s="27"/>
    </row>
    <row r="38" spans="1:189" s="28" customFormat="1" ht="15.75" x14ac:dyDescent="0.25">
      <c r="A38" s="34" t="s">
        <v>47</v>
      </c>
      <c r="B38" s="35" t="s">
        <v>58</v>
      </c>
      <c r="C38" s="31">
        <f>C36/C37*1000</f>
        <v>105375.78543094009</v>
      </c>
      <c r="D38" s="31">
        <f t="shared" ref="D38:N38" si="28">D36/D37*1000</f>
        <v>111152.36734848472</v>
      </c>
      <c r="E38" s="31">
        <f t="shared" si="28"/>
        <v>117964.81183368684</v>
      </c>
      <c r="F38" s="31">
        <f t="shared" si="28"/>
        <v>125720.19550668825</v>
      </c>
      <c r="G38" s="31">
        <f t="shared" si="28"/>
        <v>134705.55560438894</v>
      </c>
      <c r="H38" s="31">
        <f t="shared" si="28"/>
        <v>142933.41515927136</v>
      </c>
      <c r="I38" s="31">
        <f t="shared" si="28"/>
        <v>151259.87406271312</v>
      </c>
      <c r="J38" s="31">
        <f t="shared" si="28"/>
        <v>159909.3195300308</v>
      </c>
      <c r="K38" s="31">
        <f t="shared" si="28"/>
        <v>165452.45000397033</v>
      </c>
      <c r="L38" s="31">
        <f t="shared" si="28"/>
        <v>157165.36489607027</v>
      </c>
      <c r="M38" s="31">
        <f t="shared" si="28"/>
        <v>163440.1260230215</v>
      </c>
      <c r="N38" s="31">
        <f t="shared" si="28"/>
        <v>173335.05161505347</v>
      </c>
      <c r="O38" s="31">
        <f t="shared" ref="O38" si="29">O36/O37*1000</f>
        <v>183368.44589648332</v>
      </c>
      <c r="P38" s="31">
        <f t="shared" ref="P38" si="30">P36/P37*1000</f>
        <v>192914.43063167206</v>
      </c>
      <c r="Q38" s="1"/>
      <c r="R38" s="2"/>
      <c r="S38" s="2"/>
      <c r="T38" s="3"/>
      <c r="U38" s="3"/>
      <c r="V38" s="3"/>
      <c r="W38" s="3"/>
      <c r="X38" s="3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Y38" s="32"/>
      <c r="BZ38" s="32"/>
      <c r="CA38" s="32"/>
      <c r="CB38" s="32"/>
      <c r="DF38" s="27"/>
      <c r="DG38" s="27"/>
      <c r="DH38" s="27"/>
      <c r="DI38" s="27"/>
      <c r="DJ38" s="27"/>
      <c r="DK38" s="27"/>
      <c r="DL38" s="27"/>
      <c r="DM38" s="27"/>
      <c r="DN38" s="27"/>
      <c r="DO38" s="27"/>
      <c r="DP38" s="27"/>
      <c r="DQ38" s="27"/>
      <c r="DR38" s="27"/>
      <c r="DS38" s="27"/>
      <c r="DT38" s="27"/>
      <c r="DU38" s="27"/>
      <c r="DV38" s="27"/>
      <c r="DW38" s="27"/>
      <c r="DX38" s="27"/>
    </row>
    <row r="39" spans="1:189" x14ac:dyDescent="0.25">
      <c r="A39" s="2" t="s">
        <v>75</v>
      </c>
    </row>
  </sheetData>
  <sheetProtection formatColumns="0" formatRows="0"/>
  <pageMargins left="0.70866141732283505" right="0.70866141732283505" top="0.74803149606299202" bottom="0.74803149606299202" header="0.31496062992126" footer="0.31496062992126"/>
  <pageSetup paperSize="9" scale="10" orientation="landscape" horizontalDpi="4294967295" verticalDpi="4294967295" r:id="rId1"/>
  <colBreaks count="7" manualBreakCount="7">
    <brk id="24" max="1048575" man="1"/>
    <brk id="36" max="1048575" man="1"/>
    <brk id="52" max="1048575" man="1"/>
    <brk id="116" max="95" man="1"/>
    <brk id="152" max="1048575" man="1"/>
    <brk id="176" max="1048575" man="1"/>
    <brk id="184" max="9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W39"/>
  <sheetViews>
    <sheetView zoomScale="68" zoomScaleNormal="68" zoomScaleSheetLayoutView="100" workbookViewId="0">
      <pane xSplit="2" ySplit="5" topLeftCell="C6" activePane="bottomRight" state="frozen"/>
      <selection activeCell="U29" sqref="U29"/>
      <selection pane="topRight" activeCell="U29" sqref="U29"/>
      <selection pane="bottomLeft" activeCell="U29" sqref="U29"/>
      <selection pane="bottomRight" activeCell="U29" sqref="U29"/>
    </sheetView>
  </sheetViews>
  <sheetFormatPr defaultColWidth="8.85546875" defaultRowHeight="15" x14ac:dyDescent="0.25"/>
  <cols>
    <col min="1" max="1" width="11" style="2" customWidth="1"/>
    <col min="2" max="2" width="37.28515625" style="2" customWidth="1"/>
    <col min="3" max="6" width="12.85546875" style="2" customWidth="1"/>
    <col min="7" max="16" width="12.85546875" style="1" customWidth="1"/>
    <col min="17" max="18" width="9.140625" style="2" customWidth="1"/>
    <col min="19" max="19" width="11.85546875" style="2" customWidth="1"/>
    <col min="20" max="20" width="11.28515625" style="2" customWidth="1"/>
    <col min="21" max="21" width="11.7109375" style="1" customWidth="1"/>
    <col min="22" max="22" width="9.140625" style="2" customWidth="1"/>
    <col min="23" max="23" width="10.85546875" style="2" customWidth="1"/>
    <col min="24" max="24" width="10.85546875" style="1" customWidth="1"/>
    <col min="25" max="25" width="11" style="2" customWidth="1"/>
    <col min="26" max="28" width="11.42578125" style="2" customWidth="1"/>
    <col min="29" max="56" width="9.140625" style="2" customWidth="1"/>
    <col min="57" max="57" width="12.42578125" style="2" customWidth="1"/>
    <col min="58" max="79" width="9.140625" style="2" customWidth="1"/>
    <col min="80" max="80" width="12.140625" style="2" customWidth="1"/>
    <col min="81" max="84" width="9.140625" style="2" customWidth="1"/>
    <col min="85" max="89" width="9.140625" style="2" hidden="1" customWidth="1"/>
    <col min="90" max="90" width="9.140625" style="2" customWidth="1"/>
    <col min="91" max="95" width="9.140625" style="2" hidden="1" customWidth="1"/>
    <col min="96" max="96" width="9.140625" style="2" customWidth="1"/>
    <col min="97" max="101" width="9.140625" style="2" hidden="1" customWidth="1"/>
    <col min="102" max="102" width="9.140625" style="2" customWidth="1"/>
    <col min="103" max="107" width="9.140625" style="2" hidden="1" customWidth="1"/>
    <col min="108" max="108" width="9.140625" style="2" customWidth="1"/>
    <col min="109" max="113" width="9.140625" style="2" hidden="1" customWidth="1"/>
    <col min="114" max="114" width="9.140625" style="1" customWidth="1"/>
    <col min="115" max="119" width="9.140625" style="1" hidden="1" customWidth="1"/>
    <col min="120" max="120" width="9.140625" style="1" customWidth="1"/>
    <col min="121" max="125" width="9.140625" style="1" hidden="1" customWidth="1"/>
    <col min="126" max="126" width="9.140625" style="1" customWidth="1"/>
    <col min="127" max="131" width="9.140625" style="1" hidden="1" customWidth="1"/>
    <col min="132" max="132" width="9.140625" style="1" customWidth="1"/>
    <col min="133" max="162" width="9.140625" style="2" customWidth="1"/>
    <col min="163" max="163" width="9.140625" style="2" hidden="1" customWidth="1"/>
    <col min="164" max="171" width="9.140625" style="2" customWidth="1"/>
    <col min="172" max="172" width="9.140625" style="2" hidden="1" customWidth="1"/>
    <col min="173" max="177" width="9.140625" style="2" customWidth="1"/>
    <col min="178" max="178" width="9.140625" style="2" hidden="1" customWidth="1"/>
    <col min="179" max="188" width="9.140625" style="2" customWidth="1"/>
    <col min="189" max="192" width="8.85546875" style="2"/>
    <col min="193" max="193" width="12.7109375" style="2" bestFit="1" customWidth="1"/>
    <col min="194" max="16384" width="8.85546875" style="2"/>
  </cols>
  <sheetData>
    <row r="1" spans="1:193" ht="18.75" x14ac:dyDescent="0.3">
      <c r="A1" s="2" t="s">
        <v>53</v>
      </c>
      <c r="B1" s="6" t="s">
        <v>66</v>
      </c>
      <c r="W1" s="3"/>
    </row>
    <row r="2" spans="1:193" ht="15.75" x14ac:dyDescent="0.25">
      <c r="A2" s="7" t="s">
        <v>50</v>
      </c>
      <c r="I2" s="1" t="str">
        <f>[1]GSVA_cur!$I$3</f>
        <v>01.08.2025</v>
      </c>
    </row>
    <row r="3" spans="1:193" ht="15.75" x14ac:dyDescent="0.25">
      <c r="A3" s="7"/>
    </row>
    <row r="4" spans="1:193" ht="15.75" x14ac:dyDescent="0.25">
      <c r="A4" s="7"/>
      <c r="E4" s="8"/>
      <c r="F4" s="8" t="s">
        <v>57</v>
      </c>
    </row>
    <row r="5" spans="1:193" ht="15.75" x14ac:dyDescent="0.25">
      <c r="A5" s="11" t="s">
        <v>0</v>
      </c>
      <c r="B5" s="12" t="s">
        <v>1</v>
      </c>
      <c r="C5" s="13" t="s">
        <v>21</v>
      </c>
      <c r="D5" s="13" t="s">
        <v>22</v>
      </c>
      <c r="E5" s="13" t="s">
        <v>23</v>
      </c>
      <c r="F5" s="13" t="s">
        <v>56</v>
      </c>
      <c r="G5" s="14" t="s">
        <v>65</v>
      </c>
      <c r="H5" s="14" t="s">
        <v>67</v>
      </c>
      <c r="I5" s="14" t="s">
        <v>68</v>
      </c>
      <c r="J5" s="14" t="s">
        <v>69</v>
      </c>
      <c r="K5" s="14" t="s">
        <v>70</v>
      </c>
      <c r="L5" s="14" t="s">
        <v>71</v>
      </c>
      <c r="M5" s="14" t="s">
        <v>72</v>
      </c>
      <c r="N5" s="14" t="s">
        <v>73</v>
      </c>
      <c r="O5" s="14" t="s">
        <v>74</v>
      </c>
      <c r="P5" s="14" t="s">
        <v>76</v>
      </c>
    </row>
    <row r="6" spans="1:193" s="27" customFormat="1" ht="15.75" x14ac:dyDescent="0.25">
      <c r="A6" s="23" t="s">
        <v>26</v>
      </c>
      <c r="B6" s="24" t="s">
        <v>2</v>
      </c>
      <c r="C6" s="25">
        <f>SUM(C7:C10)</f>
        <v>987742.08150155365</v>
      </c>
      <c r="D6" s="25">
        <f t="shared" ref="D6:N6" si="0">SUM(D7:D10)</f>
        <v>1111534.9139405536</v>
      </c>
      <c r="E6" s="25">
        <f t="shared" si="0"/>
        <v>1258121.2142775124</v>
      </c>
      <c r="F6" s="25">
        <f t="shared" si="0"/>
        <v>1224398.7913076777</v>
      </c>
      <c r="G6" s="25">
        <f t="shared" si="0"/>
        <v>1412755.0675391594</v>
      </c>
      <c r="H6" s="25">
        <f t="shared" si="0"/>
        <v>1482729.4015509686</v>
      </c>
      <c r="I6" s="25">
        <f t="shared" si="0"/>
        <v>1269811.8659849109</v>
      </c>
      <c r="J6" s="25">
        <f t="shared" si="0"/>
        <v>1409831.6679099563</v>
      </c>
      <c r="K6" s="25">
        <f t="shared" si="0"/>
        <v>1886204.1829354102</v>
      </c>
      <c r="L6" s="25">
        <f t="shared" si="0"/>
        <v>1628002.490271095</v>
      </c>
      <c r="M6" s="25">
        <f t="shared" si="0"/>
        <v>1749482.7581019879</v>
      </c>
      <c r="N6" s="25">
        <f t="shared" si="0"/>
        <v>1786425.0975052759</v>
      </c>
      <c r="O6" s="25">
        <f t="shared" ref="O6:P6" si="1">SUM(O7:O10)</f>
        <v>2141788.799241032</v>
      </c>
      <c r="P6" s="25">
        <f t="shared" si="1"/>
        <v>2380705.8434702153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K6" s="28"/>
    </row>
    <row r="7" spans="1:193" ht="15.75" x14ac:dyDescent="0.25">
      <c r="A7" s="16">
        <v>1.1000000000000001</v>
      </c>
      <c r="B7" s="17" t="s">
        <v>59</v>
      </c>
      <c r="C7" s="9">
        <v>506994.52077943971</v>
      </c>
      <c r="D7" s="9">
        <v>621968.49963819061</v>
      </c>
      <c r="E7" s="9">
        <v>708226.73816574528</v>
      </c>
      <c r="F7" s="9">
        <v>557205.02050313016</v>
      </c>
      <c r="G7" s="9">
        <v>682637.21254272154</v>
      </c>
      <c r="H7" s="9">
        <v>661456.86617772013</v>
      </c>
      <c r="I7" s="9">
        <v>636867.5095464827</v>
      </c>
      <c r="J7" s="9">
        <v>672241.81564654806</v>
      </c>
      <c r="K7" s="9">
        <v>970907.0933995652</v>
      </c>
      <c r="L7" s="9">
        <v>789924.18599149445</v>
      </c>
      <c r="M7" s="9">
        <v>881629.53492365917</v>
      </c>
      <c r="N7" s="9">
        <v>877697.6106413519</v>
      </c>
      <c r="O7" s="9">
        <v>1200466.3102534246</v>
      </c>
      <c r="P7" s="9">
        <v>1410943.0952853644</v>
      </c>
      <c r="Q7" s="4"/>
      <c r="R7" s="4"/>
      <c r="S7" s="4"/>
      <c r="T7" s="4"/>
      <c r="U7" s="3"/>
      <c r="V7" s="4"/>
      <c r="W7" s="4"/>
      <c r="X7" s="3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1"/>
      <c r="GI7" s="1"/>
      <c r="GJ7" s="1"/>
    </row>
    <row r="8" spans="1:193" ht="15.75" x14ac:dyDescent="0.25">
      <c r="A8" s="16">
        <v>1.2</v>
      </c>
      <c r="B8" s="17" t="s">
        <v>60</v>
      </c>
      <c r="C8" s="9">
        <v>111923.05736971243</v>
      </c>
      <c r="D8" s="9">
        <v>105962.60203282474</v>
      </c>
      <c r="E8" s="9">
        <v>104423.12381823502</v>
      </c>
      <c r="F8" s="9">
        <v>106744.03019820113</v>
      </c>
      <c r="G8" s="9">
        <v>136502.95143462843</v>
      </c>
      <c r="H8" s="9">
        <v>143615.36982764883</v>
      </c>
      <c r="I8" s="9">
        <v>161450.58582845377</v>
      </c>
      <c r="J8" s="9">
        <v>241608.62171157452</v>
      </c>
      <c r="K8" s="9">
        <v>253199.54860876198</v>
      </c>
      <c r="L8" s="9">
        <v>256784.97954334164</v>
      </c>
      <c r="M8" s="9">
        <v>244373.23600361083</v>
      </c>
      <c r="N8" s="9">
        <v>219044.52466359167</v>
      </c>
      <c r="O8" s="9">
        <v>257451.2755003983</v>
      </c>
      <c r="P8" s="9">
        <v>287348.30213697569</v>
      </c>
      <c r="Q8" s="4"/>
      <c r="R8" s="4"/>
      <c r="S8" s="4"/>
      <c r="T8" s="4"/>
      <c r="U8" s="3"/>
      <c r="V8" s="4"/>
      <c r="W8" s="4"/>
      <c r="X8" s="3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1"/>
      <c r="GI8" s="1"/>
      <c r="GJ8" s="1"/>
    </row>
    <row r="9" spans="1:193" ht="15.75" x14ac:dyDescent="0.25">
      <c r="A9" s="16">
        <v>1.3</v>
      </c>
      <c r="B9" s="17" t="s">
        <v>61</v>
      </c>
      <c r="C9" s="9">
        <v>364257.88310827641</v>
      </c>
      <c r="D9" s="9">
        <v>378315.55734084453</v>
      </c>
      <c r="E9" s="9">
        <v>438091.29604791012</v>
      </c>
      <c r="F9" s="9">
        <v>551419.43199269625</v>
      </c>
      <c r="G9" s="9">
        <v>583379.70520593144</v>
      </c>
      <c r="H9" s="9">
        <v>666259.29697238258</v>
      </c>
      <c r="I9" s="9">
        <v>456475.33249815373</v>
      </c>
      <c r="J9" s="9">
        <v>479663.33384156926</v>
      </c>
      <c r="K9" s="9">
        <v>644562.47998196655</v>
      </c>
      <c r="L9" s="9">
        <v>562223.33868938196</v>
      </c>
      <c r="M9" s="9">
        <v>602497.57652229269</v>
      </c>
      <c r="N9" s="9">
        <v>664873.01026835456</v>
      </c>
      <c r="O9" s="9">
        <v>657871.16394618177</v>
      </c>
      <c r="P9" s="9">
        <v>654594.55655910645</v>
      </c>
      <c r="Q9" s="4"/>
      <c r="R9" s="4"/>
      <c r="S9" s="4"/>
      <c r="T9" s="4"/>
      <c r="U9" s="3"/>
      <c r="V9" s="4"/>
      <c r="W9" s="4"/>
      <c r="X9" s="3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1"/>
      <c r="GI9" s="1"/>
      <c r="GJ9" s="1"/>
    </row>
    <row r="10" spans="1:193" ht="15.75" x14ac:dyDescent="0.25">
      <c r="A10" s="16">
        <v>1.4</v>
      </c>
      <c r="B10" s="17" t="s">
        <v>62</v>
      </c>
      <c r="C10" s="9">
        <v>4566.6202441251453</v>
      </c>
      <c r="D10" s="9">
        <v>5288.2549286936101</v>
      </c>
      <c r="E10" s="9">
        <v>7380.0562456221069</v>
      </c>
      <c r="F10" s="9">
        <v>9030.3086136501533</v>
      </c>
      <c r="G10" s="9">
        <v>10235.198355877923</v>
      </c>
      <c r="H10" s="9">
        <v>11397.868573217243</v>
      </c>
      <c r="I10" s="9">
        <v>15018.438111820777</v>
      </c>
      <c r="J10" s="9">
        <v>16317.896710264606</v>
      </c>
      <c r="K10" s="9">
        <v>17535.060945116555</v>
      </c>
      <c r="L10" s="9">
        <v>19069.986046877002</v>
      </c>
      <c r="M10" s="9">
        <v>20982.410652425271</v>
      </c>
      <c r="N10" s="9">
        <v>24809.951931977732</v>
      </c>
      <c r="O10" s="9">
        <v>26000.04954102734</v>
      </c>
      <c r="P10" s="9">
        <v>27819.88948876872</v>
      </c>
      <c r="Q10" s="4"/>
      <c r="R10" s="4"/>
      <c r="S10" s="4"/>
      <c r="T10" s="4"/>
      <c r="U10" s="3"/>
      <c r="V10" s="4"/>
      <c r="W10" s="4"/>
      <c r="X10" s="3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1"/>
      <c r="GI10" s="1"/>
      <c r="GJ10" s="1"/>
    </row>
    <row r="11" spans="1:193" ht="15.75" x14ac:dyDescent="0.25">
      <c r="A11" s="18" t="s">
        <v>31</v>
      </c>
      <c r="B11" s="17" t="s">
        <v>3</v>
      </c>
      <c r="C11" s="9">
        <v>25143.691893177765</v>
      </c>
      <c r="D11" s="9">
        <v>26696.897727296873</v>
      </c>
      <c r="E11" s="9">
        <v>24385.253413552829</v>
      </c>
      <c r="F11" s="9">
        <v>26909.708740602575</v>
      </c>
      <c r="G11" s="9">
        <v>26410.16411772625</v>
      </c>
      <c r="H11" s="9">
        <v>63394.891457862468</v>
      </c>
      <c r="I11" s="9">
        <v>29598.381598591121</v>
      </c>
      <c r="J11" s="9">
        <v>36254.28486926663</v>
      </c>
      <c r="K11" s="9">
        <v>38081.929715629747</v>
      </c>
      <c r="L11" s="9">
        <v>30283.121011092844</v>
      </c>
      <c r="M11" s="9">
        <v>41586.126046986523</v>
      </c>
      <c r="N11" s="9">
        <v>52928.561508408806</v>
      </c>
      <c r="O11" s="9">
        <v>76349.622829015832</v>
      </c>
      <c r="P11" s="9">
        <v>77528.856698832999</v>
      </c>
      <c r="Q11" s="4"/>
      <c r="R11" s="4"/>
      <c r="S11" s="4"/>
      <c r="T11" s="4"/>
      <c r="U11" s="3"/>
      <c r="V11" s="4"/>
      <c r="W11" s="4"/>
      <c r="X11" s="3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1"/>
      <c r="GI11" s="1"/>
      <c r="GJ11" s="1"/>
    </row>
    <row r="12" spans="1:193" s="28" customFormat="1" ht="15.75" x14ac:dyDescent="0.25">
      <c r="A12" s="29"/>
      <c r="B12" s="30" t="s">
        <v>28</v>
      </c>
      <c r="C12" s="31">
        <f>C6+C11</f>
        <v>1012885.7733947315</v>
      </c>
      <c r="D12" s="31">
        <f t="shared" ref="D12:N12" si="2">D6+D11</f>
        <v>1138231.8116678505</v>
      </c>
      <c r="E12" s="31">
        <f t="shared" si="2"/>
        <v>1282506.4676910653</v>
      </c>
      <c r="F12" s="31">
        <f t="shared" si="2"/>
        <v>1251308.5000482802</v>
      </c>
      <c r="G12" s="31">
        <f t="shared" si="2"/>
        <v>1439165.2316568857</v>
      </c>
      <c r="H12" s="31">
        <f t="shared" si="2"/>
        <v>1546124.2930088311</v>
      </c>
      <c r="I12" s="31">
        <f t="shared" si="2"/>
        <v>1299410.247583502</v>
      </c>
      <c r="J12" s="31">
        <f t="shared" si="2"/>
        <v>1446085.952779223</v>
      </c>
      <c r="K12" s="31">
        <f t="shared" si="2"/>
        <v>1924286.1126510398</v>
      </c>
      <c r="L12" s="31">
        <f t="shared" si="2"/>
        <v>1658285.6112821877</v>
      </c>
      <c r="M12" s="31">
        <f t="shared" si="2"/>
        <v>1791068.8841489744</v>
      </c>
      <c r="N12" s="31">
        <f t="shared" si="2"/>
        <v>1839353.6590136846</v>
      </c>
      <c r="O12" s="31">
        <f t="shared" ref="O12:P12" si="3">O6+O11</f>
        <v>2218138.4220700478</v>
      </c>
      <c r="P12" s="31">
        <f t="shared" si="3"/>
        <v>2458234.7001690483</v>
      </c>
      <c r="Q12" s="4"/>
      <c r="R12" s="4"/>
      <c r="S12" s="4"/>
      <c r="T12" s="4"/>
      <c r="U12" s="3"/>
      <c r="V12" s="4"/>
      <c r="W12" s="4"/>
      <c r="X12" s="3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2"/>
      <c r="CT12" s="32"/>
      <c r="CU12" s="32"/>
      <c r="CV12" s="32"/>
      <c r="CW12" s="32"/>
      <c r="CX12" s="32"/>
      <c r="CY12" s="32"/>
      <c r="CZ12" s="32"/>
      <c r="DA12" s="32"/>
      <c r="DB12" s="32"/>
      <c r="DC12" s="32"/>
      <c r="DD12" s="32"/>
      <c r="DE12" s="32"/>
      <c r="DF12" s="32"/>
      <c r="DG12" s="32"/>
      <c r="DH12" s="32"/>
      <c r="DI12" s="32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32"/>
      <c r="ED12" s="32"/>
      <c r="EE12" s="32"/>
      <c r="EF12" s="32"/>
      <c r="EG12" s="32"/>
      <c r="EH12" s="32"/>
      <c r="EI12" s="32"/>
      <c r="EJ12" s="32"/>
      <c r="EK12" s="32"/>
      <c r="EL12" s="32"/>
      <c r="EM12" s="32"/>
      <c r="EN12" s="32"/>
      <c r="EO12" s="32"/>
      <c r="EP12" s="32"/>
      <c r="EQ12" s="32"/>
      <c r="ER12" s="32"/>
      <c r="ES12" s="32"/>
      <c r="ET12" s="32"/>
      <c r="EU12" s="32"/>
      <c r="EV12" s="32"/>
      <c r="EW12" s="32"/>
      <c r="EX12" s="32"/>
      <c r="EY12" s="32"/>
      <c r="EZ12" s="32"/>
      <c r="FA12" s="32"/>
      <c r="FB12" s="32"/>
      <c r="FC12" s="32"/>
      <c r="FD12" s="32"/>
      <c r="FE12" s="32"/>
      <c r="FF12" s="32"/>
      <c r="FG12" s="32"/>
      <c r="FH12" s="32"/>
      <c r="FI12" s="32"/>
      <c r="FJ12" s="32"/>
      <c r="FK12" s="32"/>
      <c r="FL12" s="32"/>
      <c r="FM12" s="32"/>
      <c r="FN12" s="32"/>
      <c r="FO12" s="32"/>
      <c r="FP12" s="32"/>
      <c r="FQ12" s="32"/>
      <c r="FR12" s="32"/>
      <c r="FS12" s="32"/>
      <c r="FT12" s="32"/>
      <c r="FU12" s="32"/>
      <c r="FV12" s="32"/>
      <c r="FW12" s="32"/>
      <c r="FX12" s="32"/>
      <c r="FY12" s="32"/>
      <c r="FZ12" s="32"/>
      <c r="GA12" s="32"/>
      <c r="GB12" s="32"/>
      <c r="GC12" s="32"/>
      <c r="GD12" s="32"/>
      <c r="GE12" s="32"/>
      <c r="GF12" s="32"/>
      <c r="GG12" s="32"/>
      <c r="GH12" s="27"/>
      <c r="GI12" s="27"/>
      <c r="GJ12" s="27"/>
    </row>
    <row r="13" spans="1:193" s="1" customFormat="1" ht="15.75" x14ac:dyDescent="0.25">
      <c r="A13" s="39" t="s">
        <v>32</v>
      </c>
      <c r="B13" s="40" t="s">
        <v>4</v>
      </c>
      <c r="C13" s="9">
        <v>1393182.1814169879</v>
      </c>
      <c r="D13" s="9">
        <v>1643049.0067930212</v>
      </c>
      <c r="E13" s="9">
        <v>1961829.1909117582</v>
      </c>
      <c r="F13" s="9">
        <v>2140258.3811383462</v>
      </c>
      <c r="G13" s="9">
        <v>2448359.037146525</v>
      </c>
      <c r="H13" s="9">
        <v>3031141.4480883796</v>
      </c>
      <c r="I13" s="9">
        <v>3478425.425947268</v>
      </c>
      <c r="J13" s="9">
        <v>3915064.1913579619</v>
      </c>
      <c r="K13" s="9">
        <v>3919881.2444461621</v>
      </c>
      <c r="L13" s="9">
        <v>3822815.8585000001</v>
      </c>
      <c r="M13" s="9">
        <v>4040907.5360835642</v>
      </c>
      <c r="N13" s="9">
        <v>4300432.4439993277</v>
      </c>
      <c r="O13" s="9">
        <v>4678299.8225800358</v>
      </c>
      <c r="P13" s="9">
        <v>5040208.9793584123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K13" s="2"/>
    </row>
    <row r="14" spans="1:193" ht="30" x14ac:dyDescent="0.25">
      <c r="A14" s="18" t="s">
        <v>33</v>
      </c>
      <c r="B14" s="17" t="s">
        <v>5</v>
      </c>
      <c r="C14" s="9">
        <v>400222.895239709</v>
      </c>
      <c r="D14" s="9">
        <v>404768.7292405449</v>
      </c>
      <c r="E14" s="9">
        <v>472128.03813751281</v>
      </c>
      <c r="F14" s="9">
        <v>490303.19990737183</v>
      </c>
      <c r="G14" s="9">
        <v>568558.01754716423</v>
      </c>
      <c r="H14" s="9">
        <v>504350.91776214767</v>
      </c>
      <c r="I14" s="9">
        <v>571647.56684937188</v>
      </c>
      <c r="J14" s="9">
        <v>581543.07569370873</v>
      </c>
      <c r="K14" s="9">
        <v>618147.63368454028</v>
      </c>
      <c r="L14" s="9">
        <v>588167.71808327071</v>
      </c>
      <c r="M14" s="9">
        <v>640013.76764613995</v>
      </c>
      <c r="N14" s="9">
        <v>684291.49587294541</v>
      </c>
      <c r="O14" s="9">
        <v>719779.87824652181</v>
      </c>
      <c r="P14" s="9">
        <v>697812.39170722838</v>
      </c>
      <c r="Q14" s="4"/>
      <c r="R14" s="4"/>
      <c r="S14" s="4"/>
      <c r="T14" s="4"/>
      <c r="U14" s="3"/>
      <c r="V14" s="4"/>
      <c r="W14" s="4"/>
      <c r="X14" s="3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3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3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3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1"/>
      <c r="GI14" s="1"/>
      <c r="GJ14" s="1"/>
    </row>
    <row r="15" spans="1:193" ht="15.75" x14ac:dyDescent="0.25">
      <c r="A15" s="18" t="s">
        <v>34</v>
      </c>
      <c r="B15" s="17" t="s">
        <v>6</v>
      </c>
      <c r="C15" s="9">
        <v>608088.36721095419</v>
      </c>
      <c r="D15" s="9">
        <v>673529.77691812511</v>
      </c>
      <c r="E15" s="9">
        <v>728015.53395672329</v>
      </c>
      <c r="F15" s="9">
        <v>759450.48542269319</v>
      </c>
      <c r="G15" s="9">
        <v>753582.24663065793</v>
      </c>
      <c r="H15" s="9">
        <v>813652.33811869321</v>
      </c>
      <c r="I15" s="9">
        <v>888890.42676842515</v>
      </c>
      <c r="J15" s="9">
        <v>947800.15650127165</v>
      </c>
      <c r="K15" s="9">
        <v>988353.91857691947</v>
      </c>
      <c r="L15" s="9">
        <v>971576.19552795542</v>
      </c>
      <c r="M15" s="9">
        <v>1126064.1536438672</v>
      </c>
      <c r="N15" s="9">
        <v>1240322.3558285104</v>
      </c>
      <c r="O15" s="9">
        <v>1341633.9112471126</v>
      </c>
      <c r="P15" s="9">
        <v>1510179.4713548829</v>
      </c>
      <c r="Q15" s="4"/>
      <c r="R15" s="4"/>
      <c r="S15" s="4"/>
      <c r="T15" s="4"/>
      <c r="U15" s="3"/>
      <c r="V15" s="4"/>
      <c r="W15" s="4"/>
      <c r="X15" s="3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3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3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3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1"/>
      <c r="GI15" s="1"/>
      <c r="GJ15" s="1"/>
    </row>
    <row r="16" spans="1:193" s="28" customFormat="1" ht="15.75" x14ac:dyDescent="0.25">
      <c r="A16" s="29"/>
      <c r="B16" s="30" t="s">
        <v>29</v>
      </c>
      <c r="C16" s="31">
        <f>+C13+C14+C15</f>
        <v>2401493.4438676508</v>
      </c>
      <c r="D16" s="31">
        <f t="shared" ref="D16:M16" si="4">+D13+D14+D15</f>
        <v>2721347.5129516912</v>
      </c>
      <c r="E16" s="31">
        <f t="shared" si="4"/>
        <v>3161972.7630059943</v>
      </c>
      <c r="F16" s="31">
        <f t="shared" si="4"/>
        <v>3390012.0664684111</v>
      </c>
      <c r="G16" s="31">
        <f t="shared" si="4"/>
        <v>3770499.301324347</v>
      </c>
      <c r="H16" s="31">
        <f t="shared" si="4"/>
        <v>4349144.7039692206</v>
      </c>
      <c r="I16" s="31">
        <f t="shared" si="4"/>
        <v>4938963.4195650648</v>
      </c>
      <c r="J16" s="31">
        <f t="shared" si="4"/>
        <v>5444407.4235529425</v>
      </c>
      <c r="K16" s="31">
        <f t="shared" si="4"/>
        <v>5526382.7967076218</v>
      </c>
      <c r="L16" s="31">
        <f t="shared" si="4"/>
        <v>5382559.7721112259</v>
      </c>
      <c r="M16" s="31">
        <f t="shared" si="4"/>
        <v>5806985.4573735707</v>
      </c>
      <c r="N16" s="31">
        <f t="shared" ref="N16" si="5">+N13+N14+N15</f>
        <v>6225046.2957007838</v>
      </c>
      <c r="O16" s="31">
        <f t="shared" ref="O16:P16" si="6">+O13+O14+O15</f>
        <v>6739713.6120736701</v>
      </c>
      <c r="P16" s="31">
        <f t="shared" si="6"/>
        <v>7248200.842420524</v>
      </c>
      <c r="Q16" s="4"/>
      <c r="R16" s="4"/>
      <c r="S16" s="4"/>
      <c r="T16" s="4"/>
      <c r="U16" s="3"/>
      <c r="V16" s="4"/>
      <c r="W16" s="4"/>
      <c r="X16" s="3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32"/>
      <c r="CB16" s="32"/>
      <c r="CC16" s="32"/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  <c r="CO16" s="32"/>
      <c r="CP16" s="32"/>
      <c r="CQ16" s="32"/>
      <c r="CR16" s="32"/>
      <c r="CS16" s="32"/>
      <c r="CT16" s="32"/>
      <c r="CU16" s="32"/>
      <c r="CV16" s="32"/>
      <c r="CW16" s="32"/>
      <c r="CX16" s="26"/>
      <c r="CY16" s="32"/>
      <c r="CZ16" s="32"/>
      <c r="DA16" s="32"/>
      <c r="DB16" s="32"/>
      <c r="DC16" s="32"/>
      <c r="DD16" s="32"/>
      <c r="DE16" s="32"/>
      <c r="DF16" s="32"/>
      <c r="DG16" s="32"/>
      <c r="DH16" s="32"/>
      <c r="DI16" s="32"/>
      <c r="DJ16" s="26"/>
      <c r="DK16" s="26"/>
      <c r="DL16" s="26"/>
      <c r="DM16" s="26"/>
      <c r="DN16" s="26"/>
      <c r="DO16" s="26"/>
      <c r="DP16" s="26"/>
      <c r="DQ16" s="26"/>
      <c r="DR16" s="26"/>
      <c r="DS16" s="26"/>
      <c r="DT16" s="26"/>
      <c r="DU16" s="26"/>
      <c r="DV16" s="26"/>
      <c r="DW16" s="26"/>
      <c r="DX16" s="26"/>
      <c r="DY16" s="26"/>
      <c r="DZ16" s="26"/>
      <c r="EA16" s="26"/>
      <c r="EB16" s="26"/>
      <c r="EC16" s="32"/>
      <c r="ED16" s="32"/>
      <c r="EE16" s="32"/>
      <c r="EF16" s="32"/>
      <c r="EG16" s="32"/>
      <c r="EH16" s="32"/>
      <c r="EI16" s="32"/>
      <c r="EJ16" s="32"/>
      <c r="EK16" s="32"/>
      <c r="EL16" s="32"/>
      <c r="EM16" s="32"/>
      <c r="EN16" s="32"/>
      <c r="EO16" s="32"/>
      <c r="EP16" s="32"/>
      <c r="EQ16" s="32"/>
      <c r="ER16" s="32"/>
      <c r="ES16" s="32"/>
      <c r="ET16" s="26"/>
      <c r="EU16" s="32"/>
      <c r="EV16" s="32"/>
      <c r="EW16" s="32"/>
      <c r="EX16" s="32"/>
      <c r="EY16" s="32"/>
      <c r="EZ16" s="32"/>
      <c r="FA16" s="32"/>
      <c r="FB16" s="32"/>
      <c r="FC16" s="32"/>
      <c r="FD16" s="32"/>
      <c r="FE16" s="32"/>
      <c r="FF16" s="32"/>
      <c r="FG16" s="32"/>
      <c r="FH16" s="32"/>
      <c r="FI16" s="32"/>
      <c r="FJ16" s="32"/>
      <c r="FK16" s="32"/>
      <c r="FL16" s="32"/>
      <c r="FM16" s="32"/>
      <c r="FN16" s="32"/>
      <c r="FO16" s="32"/>
      <c r="FP16" s="32"/>
      <c r="FQ16" s="32"/>
      <c r="FR16" s="26"/>
      <c r="FS16" s="32"/>
      <c r="FT16" s="32"/>
      <c r="FU16" s="32"/>
      <c r="FV16" s="32"/>
      <c r="FW16" s="32"/>
      <c r="FX16" s="32"/>
      <c r="FY16" s="32"/>
      <c r="FZ16" s="32"/>
      <c r="GA16" s="32"/>
      <c r="GB16" s="32"/>
      <c r="GC16" s="32"/>
      <c r="GD16" s="32"/>
      <c r="GE16" s="32"/>
      <c r="GF16" s="32"/>
      <c r="GG16" s="32"/>
      <c r="GH16" s="27"/>
      <c r="GI16" s="27"/>
      <c r="GJ16" s="27"/>
    </row>
    <row r="17" spans="1:193" s="27" customFormat="1" ht="15.75" x14ac:dyDescent="0.25">
      <c r="A17" s="23" t="s">
        <v>35</v>
      </c>
      <c r="B17" s="24" t="s">
        <v>7</v>
      </c>
      <c r="C17" s="25">
        <f>C18+C19</f>
        <v>383229.62660000002</v>
      </c>
      <c r="D17" s="25">
        <f t="shared" ref="D17:M17" si="7">D18+D19</f>
        <v>430076.56628742797</v>
      </c>
      <c r="E17" s="25">
        <f t="shared" si="7"/>
        <v>489822.79344533104</v>
      </c>
      <c r="F17" s="25">
        <f t="shared" si="7"/>
        <v>565493.67818449531</v>
      </c>
      <c r="G17" s="25">
        <f t="shared" si="7"/>
        <v>621025.27950114023</v>
      </c>
      <c r="H17" s="25">
        <f t="shared" si="7"/>
        <v>691782.99813728745</v>
      </c>
      <c r="I17" s="25">
        <f t="shared" si="7"/>
        <v>790511.05461953604</v>
      </c>
      <c r="J17" s="25">
        <f t="shared" si="7"/>
        <v>902173.71079204546</v>
      </c>
      <c r="K17" s="25">
        <f t="shared" si="7"/>
        <v>966305.85019189992</v>
      </c>
      <c r="L17" s="25">
        <f t="shared" si="7"/>
        <v>675172.40462690848</v>
      </c>
      <c r="M17" s="25">
        <f t="shared" si="7"/>
        <v>860463.5668558469</v>
      </c>
      <c r="N17" s="25">
        <f t="shared" ref="N17" si="8">N18+N19</f>
        <v>1082524.5513562686</v>
      </c>
      <c r="O17" s="25">
        <f t="shared" ref="O17:P17" si="9">O18+O19</f>
        <v>1163463.4561102539</v>
      </c>
      <c r="P17" s="25">
        <f t="shared" si="9"/>
        <v>1261034.9727553122</v>
      </c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  <c r="CK17" s="26"/>
      <c r="CL17" s="26"/>
      <c r="CM17" s="26"/>
      <c r="CN17" s="26"/>
      <c r="CO17" s="26"/>
      <c r="CP17" s="26"/>
      <c r="CQ17" s="26"/>
      <c r="CR17" s="26"/>
      <c r="CS17" s="26"/>
      <c r="CT17" s="26"/>
      <c r="CU17" s="26"/>
      <c r="CV17" s="26"/>
      <c r="CW17" s="26"/>
      <c r="CX17" s="26"/>
      <c r="CY17" s="26"/>
      <c r="CZ17" s="26"/>
      <c r="DA17" s="26"/>
      <c r="DB17" s="26"/>
      <c r="DC17" s="26"/>
      <c r="DD17" s="26"/>
      <c r="DE17" s="26"/>
      <c r="DF17" s="26"/>
      <c r="DG17" s="26"/>
      <c r="DH17" s="26"/>
      <c r="DI17" s="26"/>
      <c r="DJ17" s="26"/>
      <c r="DK17" s="26"/>
      <c r="DL17" s="26"/>
      <c r="DM17" s="26"/>
      <c r="DN17" s="26"/>
      <c r="DO17" s="26"/>
      <c r="DP17" s="26"/>
      <c r="DQ17" s="26"/>
      <c r="DR17" s="26"/>
      <c r="DS17" s="26"/>
      <c r="DT17" s="26"/>
      <c r="DU17" s="26"/>
      <c r="DV17" s="26"/>
      <c r="DW17" s="26"/>
      <c r="DX17" s="26"/>
      <c r="DY17" s="26"/>
      <c r="DZ17" s="26"/>
      <c r="EA17" s="26"/>
      <c r="EB17" s="26"/>
      <c r="EC17" s="26"/>
      <c r="ED17" s="26"/>
      <c r="EE17" s="26"/>
      <c r="EF17" s="26"/>
      <c r="EG17" s="26"/>
      <c r="EH17" s="26"/>
      <c r="EI17" s="26"/>
      <c r="EJ17" s="26"/>
      <c r="EK17" s="26"/>
      <c r="EL17" s="26"/>
      <c r="EM17" s="26"/>
      <c r="EN17" s="26"/>
      <c r="EO17" s="26"/>
      <c r="EP17" s="26"/>
      <c r="EQ17" s="26"/>
      <c r="ER17" s="26"/>
      <c r="ES17" s="26"/>
      <c r="ET17" s="26"/>
      <c r="EU17" s="26"/>
      <c r="EV17" s="26"/>
      <c r="EW17" s="26"/>
      <c r="EX17" s="26"/>
      <c r="EY17" s="26"/>
      <c r="EZ17" s="26"/>
      <c r="FA17" s="26"/>
      <c r="FB17" s="26"/>
      <c r="FC17" s="26"/>
      <c r="FD17" s="26"/>
      <c r="FE17" s="26"/>
      <c r="FF17" s="26"/>
      <c r="FG17" s="26"/>
      <c r="FH17" s="26"/>
      <c r="FI17" s="26"/>
      <c r="FJ17" s="26"/>
      <c r="FK17" s="26"/>
      <c r="FL17" s="26"/>
      <c r="FM17" s="26"/>
      <c r="FN17" s="26"/>
      <c r="FO17" s="26"/>
      <c r="FP17" s="26"/>
      <c r="FQ17" s="26"/>
      <c r="FR17" s="26"/>
      <c r="FS17" s="26"/>
      <c r="FT17" s="26"/>
      <c r="FU17" s="26"/>
      <c r="FV17" s="26"/>
      <c r="FW17" s="26"/>
      <c r="FX17" s="26"/>
      <c r="FY17" s="26"/>
      <c r="FZ17" s="26"/>
      <c r="GA17" s="26"/>
      <c r="GB17" s="26"/>
      <c r="GC17" s="26"/>
      <c r="GD17" s="26"/>
      <c r="GE17" s="26"/>
      <c r="GF17" s="26"/>
      <c r="GG17" s="26"/>
      <c r="GK17" s="28"/>
    </row>
    <row r="18" spans="1:193" ht="15.75" x14ac:dyDescent="0.25">
      <c r="A18" s="16">
        <v>6.1</v>
      </c>
      <c r="B18" s="17" t="s">
        <v>8</v>
      </c>
      <c r="C18" s="9">
        <v>299702.4371004788</v>
      </c>
      <c r="D18" s="9">
        <v>341211.62416652805</v>
      </c>
      <c r="E18" s="9">
        <v>397474.7873917892</v>
      </c>
      <c r="F18" s="9">
        <v>504383.53937206883</v>
      </c>
      <c r="G18" s="9">
        <v>552068.00693307247</v>
      </c>
      <c r="H18" s="9">
        <v>617340.48439999996</v>
      </c>
      <c r="I18" s="9">
        <v>712137.9941764666</v>
      </c>
      <c r="J18" s="9">
        <v>819624.01994621265</v>
      </c>
      <c r="K18" s="9">
        <v>886372.44797500107</v>
      </c>
      <c r="L18" s="9">
        <v>699721.49122304388</v>
      </c>
      <c r="M18" s="9">
        <v>868822.52529560344</v>
      </c>
      <c r="N18" s="9">
        <v>1049997.7611942228</v>
      </c>
      <c r="O18" s="9">
        <v>1130152.6171384212</v>
      </c>
      <c r="P18" s="9">
        <v>1189028.6507757474</v>
      </c>
      <c r="Q18" s="4"/>
      <c r="R18" s="4"/>
      <c r="S18" s="4"/>
      <c r="T18" s="4"/>
      <c r="U18" s="3"/>
      <c r="V18" s="4"/>
      <c r="W18" s="4"/>
      <c r="X18" s="3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1"/>
      <c r="GI18" s="1"/>
      <c r="GJ18" s="1"/>
    </row>
    <row r="19" spans="1:193" ht="15.75" x14ac:dyDescent="0.25">
      <c r="A19" s="16">
        <v>6.2</v>
      </c>
      <c r="B19" s="17" t="s">
        <v>9</v>
      </c>
      <c r="C19" s="9">
        <v>83527.189499521235</v>
      </c>
      <c r="D19" s="9">
        <v>88864.942120899927</v>
      </c>
      <c r="E19" s="9">
        <v>92348.006053541816</v>
      </c>
      <c r="F19" s="9">
        <v>61110.138812426434</v>
      </c>
      <c r="G19" s="9">
        <v>68957.272568067725</v>
      </c>
      <c r="H19" s="9">
        <v>74442.51373728746</v>
      </c>
      <c r="I19" s="9">
        <v>78373.060443069378</v>
      </c>
      <c r="J19" s="9">
        <v>82549.69084583284</v>
      </c>
      <c r="K19" s="9">
        <v>79933.40221689883</v>
      </c>
      <c r="L19" s="9">
        <v>-24549.086596135385</v>
      </c>
      <c r="M19" s="9">
        <v>-8358.9584397564759</v>
      </c>
      <c r="N19" s="9">
        <v>32526.790162045829</v>
      </c>
      <c r="O19" s="9">
        <v>33310.838971832651</v>
      </c>
      <c r="P19" s="9">
        <v>72006.321979564847</v>
      </c>
      <c r="Q19" s="4"/>
      <c r="R19" s="4"/>
      <c r="S19" s="4"/>
      <c r="T19" s="4"/>
      <c r="U19" s="3"/>
      <c r="V19" s="4"/>
      <c r="W19" s="4"/>
      <c r="X19" s="3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1"/>
      <c r="GI19" s="1"/>
      <c r="GJ19" s="1"/>
    </row>
    <row r="20" spans="1:193" s="27" customFormat="1" ht="30" x14ac:dyDescent="0.25">
      <c r="A20" s="41" t="s">
        <v>36</v>
      </c>
      <c r="B20" s="42" t="s">
        <v>10</v>
      </c>
      <c r="C20" s="25">
        <f>SUM(C21:C27)</f>
        <v>201376.07079600001</v>
      </c>
      <c r="D20" s="25">
        <f t="shared" ref="D20:J20" si="10">SUM(D21:D27)</f>
        <v>242052.55537084176</v>
      </c>
      <c r="E20" s="25">
        <f t="shared" si="10"/>
        <v>300433.74939499039</v>
      </c>
      <c r="F20" s="25">
        <f t="shared" si="10"/>
        <v>350656.49298156193</v>
      </c>
      <c r="G20" s="25">
        <f t="shared" si="10"/>
        <v>411878.26833007089</v>
      </c>
      <c r="H20" s="25">
        <f t="shared" si="10"/>
        <v>403971.83965897455</v>
      </c>
      <c r="I20" s="25">
        <f t="shared" si="10"/>
        <v>409326.65960264357</v>
      </c>
      <c r="J20" s="25">
        <f t="shared" si="10"/>
        <v>392066.7100018023</v>
      </c>
      <c r="K20" s="25">
        <f t="shared" ref="K20:P20" si="11">SUM(K21:K27)</f>
        <v>394596.72206855245</v>
      </c>
      <c r="L20" s="25">
        <f t="shared" si="11"/>
        <v>322778.49550754734</v>
      </c>
      <c r="M20" s="25">
        <f t="shared" si="11"/>
        <v>469637.84962042514</v>
      </c>
      <c r="N20" s="25">
        <f t="shared" si="11"/>
        <v>473667.43161544728</v>
      </c>
      <c r="O20" s="25">
        <f t="shared" si="11"/>
        <v>493286.08579653781</v>
      </c>
      <c r="P20" s="25">
        <f t="shared" si="11"/>
        <v>547609.41664086562</v>
      </c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  <c r="CK20" s="26"/>
      <c r="CL20" s="26"/>
      <c r="CM20" s="26"/>
      <c r="CN20" s="26"/>
      <c r="CO20" s="26"/>
      <c r="CP20" s="26"/>
      <c r="CQ20" s="26"/>
      <c r="CR20" s="26"/>
      <c r="CS20" s="26"/>
      <c r="CT20" s="26"/>
      <c r="CU20" s="26"/>
      <c r="CV20" s="26"/>
      <c r="CW20" s="26"/>
      <c r="CX20" s="26"/>
      <c r="CY20" s="26"/>
      <c r="CZ20" s="26"/>
      <c r="DA20" s="26"/>
      <c r="DB20" s="26"/>
      <c r="DC20" s="26"/>
      <c r="DD20" s="26"/>
      <c r="DE20" s="26"/>
      <c r="DF20" s="26"/>
      <c r="DG20" s="26"/>
      <c r="DH20" s="26"/>
      <c r="DI20" s="26"/>
      <c r="DJ20" s="26"/>
      <c r="DK20" s="26"/>
      <c r="DL20" s="26"/>
      <c r="DM20" s="26"/>
      <c r="DN20" s="26"/>
      <c r="DO20" s="26"/>
      <c r="DP20" s="26"/>
      <c r="DQ20" s="26"/>
      <c r="DR20" s="26"/>
      <c r="DS20" s="26"/>
      <c r="DT20" s="26"/>
      <c r="DU20" s="26"/>
      <c r="DV20" s="26"/>
      <c r="DW20" s="26"/>
      <c r="DX20" s="26"/>
      <c r="DY20" s="26"/>
      <c r="DZ20" s="26"/>
      <c r="EA20" s="26"/>
      <c r="EB20" s="26"/>
      <c r="EC20" s="26"/>
      <c r="ED20" s="26"/>
      <c r="EE20" s="26"/>
      <c r="EF20" s="26"/>
      <c r="EG20" s="26"/>
      <c r="EH20" s="26"/>
      <c r="EI20" s="26"/>
      <c r="EJ20" s="26"/>
      <c r="EK20" s="26"/>
      <c r="EL20" s="26"/>
      <c r="EM20" s="26"/>
      <c r="EN20" s="26"/>
      <c r="EO20" s="26"/>
      <c r="EP20" s="26"/>
      <c r="EQ20" s="26"/>
      <c r="ER20" s="26"/>
      <c r="ES20" s="26"/>
      <c r="ET20" s="26"/>
      <c r="EU20" s="26"/>
      <c r="EV20" s="26"/>
      <c r="EW20" s="26"/>
      <c r="EX20" s="26"/>
      <c r="EY20" s="26"/>
      <c r="EZ20" s="26"/>
      <c r="FA20" s="26"/>
      <c r="FB20" s="26"/>
      <c r="FC20" s="26"/>
      <c r="FD20" s="26"/>
      <c r="FE20" s="26"/>
      <c r="FF20" s="26"/>
      <c r="FG20" s="26"/>
      <c r="FH20" s="26"/>
      <c r="FI20" s="26"/>
      <c r="FJ20" s="26"/>
      <c r="FK20" s="26"/>
      <c r="FL20" s="26"/>
      <c r="FM20" s="26"/>
      <c r="FN20" s="26"/>
      <c r="FO20" s="26"/>
      <c r="FP20" s="26"/>
      <c r="FQ20" s="26"/>
      <c r="FR20" s="26"/>
      <c r="FS20" s="26"/>
      <c r="FT20" s="26"/>
      <c r="FU20" s="26"/>
      <c r="FV20" s="26"/>
      <c r="FW20" s="26"/>
      <c r="FX20" s="26"/>
      <c r="FY20" s="26"/>
      <c r="FZ20" s="26"/>
      <c r="GA20" s="26"/>
      <c r="GB20" s="26"/>
      <c r="GC20" s="26"/>
      <c r="GD20" s="26"/>
      <c r="GE20" s="26"/>
      <c r="GF20" s="26"/>
      <c r="GG20" s="26"/>
      <c r="GK20" s="28"/>
    </row>
    <row r="21" spans="1:193" ht="15.75" x14ac:dyDescent="0.25">
      <c r="A21" s="16">
        <v>7.1</v>
      </c>
      <c r="B21" s="17" t="s">
        <v>11</v>
      </c>
      <c r="C21" s="9">
        <v>1087</v>
      </c>
      <c r="D21" s="9">
        <v>1234</v>
      </c>
      <c r="E21" s="9">
        <v>1349</v>
      </c>
      <c r="F21" s="9">
        <v>1648</v>
      </c>
      <c r="G21" s="9">
        <v>1642</v>
      </c>
      <c r="H21" s="9">
        <v>1182</v>
      </c>
      <c r="I21" s="9">
        <v>686</v>
      </c>
      <c r="J21" s="9">
        <v>544</v>
      </c>
      <c r="K21" s="9">
        <v>513</v>
      </c>
      <c r="L21" s="9">
        <v>415</v>
      </c>
      <c r="M21" s="9">
        <v>1225</v>
      </c>
      <c r="N21" s="9">
        <v>2721</v>
      </c>
      <c r="O21" s="9">
        <v>4372.6900000000005</v>
      </c>
      <c r="P21" s="9">
        <v>5378.4087</v>
      </c>
      <c r="Q21" s="4"/>
      <c r="R21" s="4"/>
      <c r="S21" s="4"/>
      <c r="T21" s="4"/>
      <c r="U21" s="3"/>
      <c r="V21" s="4"/>
      <c r="W21" s="4"/>
      <c r="X21" s="3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1"/>
      <c r="GI21" s="1"/>
      <c r="GJ21" s="1"/>
    </row>
    <row r="22" spans="1:193" ht="15.75" x14ac:dyDescent="0.25">
      <c r="A22" s="16">
        <v>7.2</v>
      </c>
      <c r="B22" s="17" t="s">
        <v>12</v>
      </c>
      <c r="C22" s="9">
        <v>95694.731200000009</v>
      </c>
      <c r="D22" s="9">
        <v>128715.78023028756</v>
      </c>
      <c r="E22" s="9">
        <v>171182.46020917321</v>
      </c>
      <c r="F22" s="9">
        <v>204065.29532824561</v>
      </c>
      <c r="G22" s="9">
        <v>229192.974066686</v>
      </c>
      <c r="H22" s="9">
        <v>215328.55300944328</v>
      </c>
      <c r="I22" s="9">
        <v>220481.27762762189</v>
      </c>
      <c r="J22" s="9">
        <v>214127.00327375776</v>
      </c>
      <c r="K22" s="9">
        <v>190833.08053292707</v>
      </c>
      <c r="L22" s="9">
        <v>98813.82566974056</v>
      </c>
      <c r="M22" s="9">
        <v>212361.9270083122</v>
      </c>
      <c r="N22" s="9">
        <v>198659.68835398625</v>
      </c>
      <c r="O22" s="9">
        <v>195185.64606525184</v>
      </c>
      <c r="P22" s="9">
        <v>214479.51240478299</v>
      </c>
      <c r="Q22" s="4"/>
      <c r="R22" s="4"/>
      <c r="S22" s="4"/>
      <c r="T22" s="4"/>
      <c r="U22" s="3"/>
      <c r="V22" s="4"/>
      <c r="W22" s="4"/>
      <c r="X22" s="3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1"/>
      <c r="GI22" s="1"/>
      <c r="GJ22" s="1"/>
    </row>
    <row r="23" spans="1:193" ht="15.75" x14ac:dyDescent="0.25">
      <c r="A23" s="16">
        <v>7.3</v>
      </c>
      <c r="B23" s="17" t="s">
        <v>13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4"/>
      <c r="R23" s="4"/>
      <c r="S23" s="4"/>
      <c r="T23" s="4"/>
      <c r="U23" s="3"/>
      <c r="V23" s="4"/>
      <c r="W23" s="4"/>
      <c r="X23" s="3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1"/>
      <c r="GI23" s="1"/>
      <c r="GJ23" s="1"/>
    </row>
    <row r="24" spans="1:193" ht="15.75" x14ac:dyDescent="0.25">
      <c r="A24" s="16">
        <v>7.4</v>
      </c>
      <c r="B24" s="17" t="s">
        <v>14</v>
      </c>
      <c r="C24" s="9">
        <v>506.00829999999996</v>
      </c>
      <c r="D24" s="9">
        <v>1011.0835</v>
      </c>
      <c r="E24" s="9">
        <v>709.78880000000004</v>
      </c>
      <c r="F24" s="9">
        <v>1548.8463140896238</v>
      </c>
      <c r="G24" s="9">
        <v>759.90995825075299</v>
      </c>
      <c r="H24" s="9">
        <v>946.9652000000001</v>
      </c>
      <c r="I24" s="9">
        <v>1105.1765</v>
      </c>
      <c r="J24" s="9">
        <v>426.87261689265767</v>
      </c>
      <c r="K24" s="9">
        <v>755.49297883723011</v>
      </c>
      <c r="L24" s="9">
        <v>141.94280000000003</v>
      </c>
      <c r="M24" s="9">
        <v>62.926291665163831</v>
      </c>
      <c r="N24" s="9">
        <v>439.27132927526463</v>
      </c>
      <c r="O24" s="9">
        <v>1278.7286363845919</v>
      </c>
      <c r="P24" s="9">
        <v>1391.3706880336993</v>
      </c>
      <c r="Q24" s="4"/>
      <c r="R24" s="4"/>
      <c r="S24" s="4"/>
      <c r="T24" s="4"/>
      <c r="U24" s="3"/>
      <c r="V24" s="4"/>
      <c r="W24" s="4"/>
      <c r="X24" s="3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1"/>
      <c r="GI24" s="1"/>
      <c r="GJ24" s="1"/>
    </row>
    <row r="25" spans="1:193" ht="15.75" x14ac:dyDescent="0.25">
      <c r="A25" s="16">
        <v>7.5</v>
      </c>
      <c r="B25" s="17" t="s">
        <v>15</v>
      </c>
      <c r="C25" s="9">
        <v>459.25779999999997</v>
      </c>
      <c r="D25" s="9">
        <v>619.94738700333835</v>
      </c>
      <c r="E25" s="9">
        <v>1153.5168000000001</v>
      </c>
      <c r="F25" s="9">
        <v>1326.7832463773091</v>
      </c>
      <c r="G25" s="9">
        <v>1379.6279286467416</v>
      </c>
      <c r="H25" s="9">
        <v>4809.9744000000001</v>
      </c>
      <c r="I25" s="9">
        <v>5191.8771999999999</v>
      </c>
      <c r="J25" s="9">
        <v>5484.0399139949459</v>
      </c>
      <c r="K25" s="9">
        <v>5738.7721517467908</v>
      </c>
      <c r="L25" s="9">
        <v>2340.7979999999998</v>
      </c>
      <c r="M25" s="9">
        <v>3721.4152508796906</v>
      </c>
      <c r="N25" s="9">
        <v>5211.6035991854296</v>
      </c>
      <c r="O25" s="9">
        <v>6679.7578325990335</v>
      </c>
      <c r="P25" s="9">
        <v>7797.8257843130104</v>
      </c>
      <c r="Q25" s="4"/>
      <c r="R25" s="4"/>
      <c r="S25" s="4"/>
      <c r="T25" s="4"/>
      <c r="U25" s="3"/>
      <c r="V25" s="4"/>
      <c r="W25" s="4"/>
      <c r="X25" s="3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1"/>
      <c r="GI25" s="1"/>
      <c r="GJ25" s="1"/>
    </row>
    <row r="26" spans="1:193" ht="15.75" x14ac:dyDescent="0.25">
      <c r="A26" s="16">
        <v>7.6</v>
      </c>
      <c r="B26" s="17" t="s">
        <v>16</v>
      </c>
      <c r="C26" s="9">
        <v>140.11439999999999</v>
      </c>
      <c r="D26" s="9">
        <v>156.86614915254233</v>
      </c>
      <c r="E26" s="9">
        <v>102.12833220338983</v>
      </c>
      <c r="F26" s="9">
        <v>120.30912726228095</v>
      </c>
      <c r="G26" s="9">
        <v>119.55394158766637</v>
      </c>
      <c r="H26" s="9">
        <v>488.74556102014117</v>
      </c>
      <c r="I26" s="9">
        <v>113.59200000000001</v>
      </c>
      <c r="J26" s="9">
        <v>264.78879302336384</v>
      </c>
      <c r="K26" s="9">
        <v>171.91412667434255</v>
      </c>
      <c r="L26" s="9">
        <v>84.929037806765876</v>
      </c>
      <c r="M26" s="9">
        <v>255.35780033673348</v>
      </c>
      <c r="N26" s="9">
        <v>199.52636810520562</v>
      </c>
      <c r="O26" s="9">
        <v>206.84064237736902</v>
      </c>
      <c r="P26" s="9">
        <v>213.29813624096525</v>
      </c>
      <c r="Q26" s="4"/>
      <c r="R26" s="4"/>
      <c r="S26" s="4"/>
      <c r="T26" s="4"/>
      <c r="U26" s="3"/>
      <c r="V26" s="4"/>
      <c r="W26" s="4"/>
      <c r="X26" s="3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1"/>
      <c r="GI26" s="1"/>
      <c r="GJ26" s="1"/>
    </row>
    <row r="27" spans="1:193" ht="30" x14ac:dyDescent="0.25">
      <c r="A27" s="16">
        <v>7.7</v>
      </c>
      <c r="B27" s="17" t="s">
        <v>17</v>
      </c>
      <c r="C27" s="9">
        <v>103488.95909600001</v>
      </c>
      <c r="D27" s="9">
        <v>110314.87810439832</v>
      </c>
      <c r="E27" s="9">
        <v>125936.85525361379</v>
      </c>
      <c r="F27" s="9">
        <v>141947.25896558713</v>
      </c>
      <c r="G27" s="9">
        <v>178784.20243489969</v>
      </c>
      <c r="H27" s="9">
        <v>181215.60148851111</v>
      </c>
      <c r="I27" s="9">
        <v>181748.73627502169</v>
      </c>
      <c r="J27" s="9">
        <v>171220.00540413358</v>
      </c>
      <c r="K27" s="9">
        <v>196584.46227836702</v>
      </c>
      <c r="L27" s="9">
        <v>220982</v>
      </c>
      <c r="M27" s="9">
        <v>252011.22326923138</v>
      </c>
      <c r="N27" s="9">
        <v>266436.34196489514</v>
      </c>
      <c r="O27" s="9">
        <v>285562.422619925</v>
      </c>
      <c r="P27" s="9">
        <v>318349.00092749496</v>
      </c>
      <c r="Q27" s="4"/>
      <c r="R27" s="4"/>
      <c r="S27" s="4"/>
      <c r="T27" s="4"/>
      <c r="U27" s="3"/>
      <c r="V27" s="4"/>
      <c r="W27" s="4"/>
      <c r="X27" s="3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4"/>
      <c r="GG27" s="4"/>
      <c r="GH27" s="1"/>
      <c r="GI27" s="1"/>
      <c r="GJ27" s="1"/>
    </row>
    <row r="28" spans="1:193" ht="15.75" x14ac:dyDescent="0.25">
      <c r="A28" s="18" t="s">
        <v>37</v>
      </c>
      <c r="B28" s="17" t="s">
        <v>18</v>
      </c>
      <c r="C28" s="9">
        <v>282809</v>
      </c>
      <c r="D28" s="9">
        <v>312832</v>
      </c>
      <c r="E28" s="9">
        <v>327005</v>
      </c>
      <c r="F28" s="9">
        <v>369861</v>
      </c>
      <c r="G28" s="9">
        <v>417376</v>
      </c>
      <c r="H28" s="9">
        <v>405085</v>
      </c>
      <c r="I28" s="9">
        <v>367112</v>
      </c>
      <c r="J28" s="9">
        <v>398745</v>
      </c>
      <c r="K28" s="9">
        <v>417536</v>
      </c>
      <c r="L28" s="9">
        <v>453627</v>
      </c>
      <c r="M28" s="9">
        <v>518124</v>
      </c>
      <c r="N28" s="9">
        <v>601930</v>
      </c>
      <c r="O28" s="9">
        <v>685114.49549999996</v>
      </c>
      <c r="P28" s="9">
        <v>770753.80743749999</v>
      </c>
      <c r="Q28" s="4"/>
      <c r="R28" s="4"/>
      <c r="S28" s="4"/>
      <c r="T28" s="4"/>
      <c r="U28" s="3"/>
      <c r="V28" s="4"/>
      <c r="W28" s="4"/>
      <c r="X28" s="3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1"/>
      <c r="GI28" s="1"/>
      <c r="GJ28" s="1"/>
    </row>
    <row r="29" spans="1:193" ht="30" x14ac:dyDescent="0.25">
      <c r="A29" s="18" t="s">
        <v>38</v>
      </c>
      <c r="B29" s="17" t="s">
        <v>19</v>
      </c>
      <c r="C29" s="9">
        <v>562842.50534000003</v>
      </c>
      <c r="D29" s="9">
        <v>682424.76530083315</v>
      </c>
      <c r="E29" s="9">
        <v>808910.89409083338</v>
      </c>
      <c r="F29" s="9">
        <v>914975.7986363091</v>
      </c>
      <c r="G29" s="9">
        <v>972827.7768102095</v>
      </c>
      <c r="H29" s="9">
        <v>1059700.5201000001</v>
      </c>
      <c r="I29" s="9">
        <v>1192636.8449675469</v>
      </c>
      <c r="J29" s="9">
        <v>1282361.3245244045</v>
      </c>
      <c r="K29" s="9">
        <v>1296394.8901090894</v>
      </c>
      <c r="L29" s="9">
        <v>1314810.0368541188</v>
      </c>
      <c r="M29" s="9">
        <v>1512154.3546648144</v>
      </c>
      <c r="N29" s="9">
        <v>1743844.458012037</v>
      </c>
      <c r="O29" s="9">
        <v>1710240.1824435326</v>
      </c>
      <c r="P29" s="9">
        <v>1868570.0595678641</v>
      </c>
      <c r="Q29" s="4"/>
      <c r="R29" s="4"/>
      <c r="S29" s="4"/>
      <c r="T29" s="4"/>
      <c r="U29" s="3"/>
      <c r="V29" s="4"/>
      <c r="W29" s="4"/>
      <c r="X29" s="3"/>
      <c r="Y29" s="5"/>
      <c r="Z29" s="5"/>
      <c r="AA29" s="5"/>
      <c r="AB29" s="5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1"/>
      <c r="GI29" s="1"/>
      <c r="GJ29" s="1"/>
    </row>
    <row r="30" spans="1:193" ht="15.75" x14ac:dyDescent="0.25">
      <c r="A30" s="18" t="s">
        <v>39</v>
      </c>
      <c r="B30" s="17" t="s">
        <v>54</v>
      </c>
      <c r="C30" s="9">
        <v>290117</v>
      </c>
      <c r="D30" s="9">
        <v>340565</v>
      </c>
      <c r="E30" s="9">
        <v>366451</v>
      </c>
      <c r="F30" s="9">
        <v>412911.2</v>
      </c>
      <c r="G30" s="9">
        <v>434038.68</v>
      </c>
      <c r="H30" s="9">
        <v>499013</v>
      </c>
      <c r="I30" s="9">
        <v>560550</v>
      </c>
      <c r="J30" s="9">
        <v>589586</v>
      </c>
      <c r="K30" s="9">
        <v>645510</v>
      </c>
      <c r="L30" s="9">
        <v>661866</v>
      </c>
      <c r="M30" s="9">
        <v>684907</v>
      </c>
      <c r="N30" s="9">
        <v>886752</v>
      </c>
      <c r="O30" s="9">
        <v>937719.39960999996</v>
      </c>
      <c r="P30" s="9">
        <v>1000615.7653032152</v>
      </c>
      <c r="Q30" s="4"/>
      <c r="R30" s="4"/>
      <c r="S30" s="4"/>
      <c r="T30" s="4"/>
      <c r="U30" s="3"/>
      <c r="V30" s="4"/>
      <c r="W30" s="4"/>
      <c r="X30" s="3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1"/>
      <c r="GI30" s="1"/>
      <c r="GJ30" s="1"/>
    </row>
    <row r="31" spans="1:193" ht="15.75" x14ac:dyDescent="0.25">
      <c r="A31" s="18" t="s">
        <v>40</v>
      </c>
      <c r="B31" s="17" t="s">
        <v>20</v>
      </c>
      <c r="C31" s="9">
        <v>587166.90888360061</v>
      </c>
      <c r="D31" s="9">
        <v>684558.67031176749</v>
      </c>
      <c r="E31" s="9">
        <v>735125.93651047559</v>
      </c>
      <c r="F31" s="9">
        <v>835233.29289455677</v>
      </c>
      <c r="G31" s="9">
        <v>919974.76572550216</v>
      </c>
      <c r="H31" s="9">
        <v>1067183.3969146621</v>
      </c>
      <c r="I31" s="9">
        <v>1216681.811353174</v>
      </c>
      <c r="J31" s="9">
        <v>1330373.7035208999</v>
      </c>
      <c r="K31" s="9">
        <v>1485945.5143243871</v>
      </c>
      <c r="L31" s="9">
        <v>1447483.6573693091</v>
      </c>
      <c r="M31" s="9">
        <v>1552110.1446126793</v>
      </c>
      <c r="N31" s="9">
        <v>1948660.7803739677</v>
      </c>
      <c r="O31" s="9">
        <v>2082449.7336662565</v>
      </c>
      <c r="P31" s="9">
        <v>2294867.096627743</v>
      </c>
      <c r="Q31" s="4"/>
      <c r="R31" s="4"/>
      <c r="S31" s="4"/>
      <c r="T31" s="4"/>
      <c r="U31" s="3"/>
      <c r="V31" s="4"/>
      <c r="W31" s="4"/>
      <c r="X31" s="3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1"/>
      <c r="GI31" s="1"/>
      <c r="GJ31" s="1"/>
    </row>
    <row r="32" spans="1:193" s="28" customFormat="1" ht="15.75" x14ac:dyDescent="0.25">
      <c r="A32" s="29"/>
      <c r="B32" s="30" t="s">
        <v>30</v>
      </c>
      <c r="C32" s="31">
        <f>C17+C20+C28+C29+C30+C31</f>
        <v>2307541.1116196006</v>
      </c>
      <c r="D32" s="31">
        <f t="shared" ref="D32:L32" si="12">D17+D20+D28+D29+D30+D31</f>
        <v>2692509.5572708705</v>
      </c>
      <c r="E32" s="31">
        <f t="shared" si="12"/>
        <v>3027749.37344163</v>
      </c>
      <c r="F32" s="31">
        <f t="shared" si="12"/>
        <v>3449131.4626969234</v>
      </c>
      <c r="G32" s="31">
        <f t="shared" si="12"/>
        <v>3777120.770366923</v>
      </c>
      <c r="H32" s="31">
        <f t="shared" si="12"/>
        <v>4126736.7548109237</v>
      </c>
      <c r="I32" s="31">
        <f t="shared" si="12"/>
        <v>4536818.3705429006</v>
      </c>
      <c r="J32" s="31">
        <f t="shared" si="12"/>
        <v>4895306.4488391522</v>
      </c>
      <c r="K32" s="31">
        <f t="shared" si="12"/>
        <v>5206288.9766939282</v>
      </c>
      <c r="L32" s="31">
        <f t="shared" si="12"/>
        <v>4875737.5943578836</v>
      </c>
      <c r="M32" s="31">
        <f t="shared" ref="M32:N32" si="13">M17+M20+M28+M29+M30+M31</f>
        <v>5597396.915753766</v>
      </c>
      <c r="N32" s="31">
        <f t="shared" si="13"/>
        <v>6737379.22135772</v>
      </c>
      <c r="O32" s="31">
        <f t="shared" ref="O32" si="14">O17+O20+O28+O29+O30+O31</f>
        <v>7072273.3531265818</v>
      </c>
      <c r="P32" s="31">
        <f t="shared" ref="P32" si="15">P17+P20+P28+P29+P30+P31</f>
        <v>7743451.1183324996</v>
      </c>
      <c r="Q32" s="4"/>
      <c r="R32" s="4"/>
      <c r="S32" s="4"/>
      <c r="T32" s="4"/>
      <c r="U32" s="3"/>
      <c r="V32" s="4"/>
      <c r="W32" s="4"/>
      <c r="X32" s="3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  <c r="CI32" s="32"/>
      <c r="CJ32" s="32"/>
      <c r="CK32" s="32"/>
      <c r="CL32" s="32"/>
      <c r="CM32" s="32"/>
      <c r="CN32" s="32"/>
      <c r="CO32" s="32"/>
      <c r="CP32" s="32"/>
      <c r="CQ32" s="32"/>
      <c r="CR32" s="32"/>
      <c r="CS32" s="32"/>
      <c r="CT32" s="32"/>
      <c r="CU32" s="32"/>
      <c r="CV32" s="32"/>
      <c r="CW32" s="32"/>
      <c r="CX32" s="32"/>
      <c r="CY32" s="32"/>
      <c r="CZ32" s="32"/>
      <c r="DA32" s="32"/>
      <c r="DB32" s="32"/>
      <c r="DC32" s="32"/>
      <c r="DD32" s="32"/>
      <c r="DE32" s="32"/>
      <c r="DF32" s="32"/>
      <c r="DG32" s="32"/>
      <c r="DH32" s="32"/>
      <c r="DI32" s="32"/>
      <c r="DJ32" s="26"/>
      <c r="DK32" s="26"/>
      <c r="DL32" s="26"/>
      <c r="DM32" s="26"/>
      <c r="DN32" s="26"/>
      <c r="DO32" s="26"/>
      <c r="DP32" s="26"/>
      <c r="DQ32" s="26"/>
      <c r="DR32" s="26"/>
      <c r="DS32" s="26"/>
      <c r="DT32" s="26"/>
      <c r="DU32" s="26"/>
      <c r="DV32" s="26"/>
      <c r="DW32" s="26"/>
      <c r="DX32" s="26"/>
      <c r="DY32" s="26"/>
      <c r="DZ32" s="26"/>
      <c r="EA32" s="26"/>
      <c r="EB32" s="26"/>
      <c r="EC32" s="32"/>
      <c r="ED32" s="32"/>
      <c r="EE32" s="32"/>
      <c r="EF32" s="32"/>
      <c r="EG32" s="32"/>
      <c r="EH32" s="32"/>
      <c r="EI32" s="32"/>
      <c r="EJ32" s="32"/>
      <c r="EK32" s="32"/>
      <c r="EL32" s="32"/>
      <c r="EM32" s="32"/>
      <c r="EN32" s="32"/>
      <c r="EO32" s="32"/>
      <c r="EP32" s="32"/>
      <c r="EQ32" s="32"/>
      <c r="ER32" s="32"/>
      <c r="ES32" s="32"/>
      <c r="ET32" s="32"/>
      <c r="EU32" s="32"/>
      <c r="EV32" s="32"/>
      <c r="EW32" s="32"/>
      <c r="EX32" s="32"/>
      <c r="EY32" s="32"/>
      <c r="EZ32" s="32"/>
      <c r="FA32" s="32"/>
      <c r="FB32" s="32"/>
      <c r="FC32" s="32"/>
      <c r="FD32" s="32"/>
      <c r="FE32" s="32"/>
      <c r="FF32" s="32"/>
      <c r="FG32" s="32"/>
      <c r="FH32" s="32"/>
      <c r="FI32" s="32"/>
      <c r="FJ32" s="32"/>
      <c r="FK32" s="32"/>
      <c r="FL32" s="32"/>
      <c r="FM32" s="32"/>
      <c r="FN32" s="32"/>
      <c r="FO32" s="32"/>
      <c r="FP32" s="32"/>
      <c r="FQ32" s="32"/>
      <c r="FR32" s="32"/>
      <c r="FS32" s="32"/>
      <c r="FT32" s="32"/>
      <c r="FU32" s="32"/>
      <c r="FV32" s="32"/>
      <c r="FW32" s="32"/>
      <c r="FX32" s="32"/>
      <c r="FY32" s="32"/>
      <c r="FZ32" s="32"/>
      <c r="GA32" s="32"/>
      <c r="GB32" s="32"/>
      <c r="GC32" s="32"/>
      <c r="GD32" s="32"/>
      <c r="GE32" s="32"/>
      <c r="GF32" s="32"/>
      <c r="GG32" s="32"/>
      <c r="GH32" s="27"/>
      <c r="GI32" s="27"/>
      <c r="GJ32" s="27"/>
    </row>
    <row r="33" spans="1:193" s="27" customFormat="1" ht="15.75" x14ac:dyDescent="0.25">
      <c r="A33" s="23" t="s">
        <v>27</v>
      </c>
      <c r="B33" s="33" t="s">
        <v>51</v>
      </c>
      <c r="C33" s="25">
        <f>C6+C11+C13+C14+C15+C17+C20+C28+C29+C30+C31</f>
        <v>5721920.3288819827</v>
      </c>
      <c r="D33" s="25">
        <f t="shared" ref="D33:L33" si="16">D6+D11+D13+D14+D15+D17+D20+D28+D29+D30+D31</f>
        <v>6552088.8818904124</v>
      </c>
      <c r="E33" s="25">
        <f t="shared" si="16"/>
        <v>7472228.60413869</v>
      </c>
      <c r="F33" s="25">
        <f t="shared" si="16"/>
        <v>8090452.0292136148</v>
      </c>
      <c r="G33" s="25">
        <f t="shared" si="16"/>
        <v>8986785.3033481557</v>
      </c>
      <c r="H33" s="25">
        <f t="shared" si="16"/>
        <v>10022005.751788976</v>
      </c>
      <c r="I33" s="25">
        <f t="shared" si="16"/>
        <v>10775192.037691467</v>
      </c>
      <c r="J33" s="25">
        <f t="shared" si="16"/>
        <v>11785799.825171318</v>
      </c>
      <c r="K33" s="25">
        <f t="shared" si="16"/>
        <v>12656957.886052592</v>
      </c>
      <c r="L33" s="25">
        <f t="shared" si="16"/>
        <v>11916582.977751296</v>
      </c>
      <c r="M33" s="25">
        <f t="shared" ref="M33:N33" si="17">M6+M11+M13+M14+M15+M17+M20+M28+M29+M30+M31</f>
        <v>13195451.25727631</v>
      </c>
      <c r="N33" s="25">
        <f t="shared" si="17"/>
        <v>14801779.17607219</v>
      </c>
      <c r="O33" s="25">
        <f t="shared" ref="O33" si="18">O6+O11+O13+O14+O15+O17+O20+O28+O29+O30+O31</f>
        <v>16030125.387270298</v>
      </c>
      <c r="P33" s="25">
        <f t="shared" ref="P33" si="19">P6+P11+P13+P14+P15+P17+P20+P28+P29+P30+P31</f>
        <v>17449886.660922073</v>
      </c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  <c r="CK33" s="26"/>
      <c r="CL33" s="26"/>
      <c r="CM33" s="26"/>
      <c r="CN33" s="26"/>
      <c r="CO33" s="26"/>
      <c r="CP33" s="26"/>
      <c r="CQ33" s="26"/>
      <c r="CR33" s="26"/>
      <c r="CS33" s="26"/>
      <c r="CT33" s="26"/>
      <c r="CU33" s="26"/>
      <c r="CV33" s="26"/>
      <c r="CW33" s="26"/>
      <c r="CX33" s="26"/>
      <c r="CY33" s="26"/>
      <c r="CZ33" s="26"/>
      <c r="DA33" s="26"/>
      <c r="DB33" s="26"/>
      <c r="DC33" s="26"/>
      <c r="DD33" s="26"/>
      <c r="DE33" s="26"/>
      <c r="DF33" s="26"/>
      <c r="DG33" s="26"/>
      <c r="DH33" s="26"/>
      <c r="DI33" s="26"/>
      <c r="DJ33" s="26"/>
      <c r="DK33" s="26"/>
      <c r="DL33" s="26"/>
      <c r="DM33" s="26"/>
      <c r="DN33" s="26"/>
      <c r="DO33" s="26"/>
      <c r="DP33" s="26"/>
      <c r="DQ33" s="26"/>
      <c r="DR33" s="26"/>
      <c r="DS33" s="26"/>
      <c r="DT33" s="26"/>
      <c r="DU33" s="26"/>
      <c r="DV33" s="26"/>
      <c r="DW33" s="26"/>
      <c r="DX33" s="26"/>
      <c r="DY33" s="26"/>
      <c r="DZ33" s="26"/>
      <c r="EA33" s="26"/>
      <c r="EB33" s="26"/>
      <c r="EC33" s="26"/>
      <c r="ED33" s="26"/>
      <c r="EE33" s="26"/>
      <c r="EF33" s="26"/>
      <c r="EG33" s="26"/>
      <c r="EH33" s="26"/>
      <c r="EI33" s="26"/>
      <c r="EJ33" s="26"/>
      <c r="EK33" s="26"/>
      <c r="EL33" s="26"/>
      <c r="EM33" s="26"/>
      <c r="EN33" s="26"/>
      <c r="EO33" s="26"/>
      <c r="EP33" s="26"/>
      <c r="EQ33" s="26"/>
      <c r="ER33" s="26"/>
      <c r="ES33" s="26"/>
      <c r="ET33" s="26"/>
      <c r="EU33" s="26"/>
      <c r="EV33" s="26"/>
      <c r="EW33" s="26"/>
      <c r="EX33" s="26"/>
      <c r="EY33" s="26"/>
      <c r="EZ33" s="26"/>
      <c r="FA33" s="26"/>
      <c r="FB33" s="26"/>
      <c r="FC33" s="26"/>
      <c r="FD33" s="26"/>
      <c r="FE33" s="26"/>
      <c r="FF33" s="26"/>
      <c r="FG33" s="26"/>
      <c r="FH33" s="26"/>
      <c r="FI33" s="26"/>
      <c r="FJ33" s="26"/>
      <c r="FK33" s="26"/>
      <c r="FL33" s="26"/>
      <c r="FM33" s="26"/>
      <c r="FN33" s="26"/>
      <c r="FO33" s="26"/>
      <c r="FP33" s="26"/>
      <c r="FQ33" s="26"/>
      <c r="FR33" s="26"/>
      <c r="FS33" s="26"/>
      <c r="FT33" s="26"/>
      <c r="FU33" s="26"/>
      <c r="FV33" s="26"/>
      <c r="FW33" s="26"/>
      <c r="FX33" s="26"/>
      <c r="FY33" s="26"/>
      <c r="FZ33" s="26"/>
      <c r="GA33" s="26"/>
      <c r="GB33" s="26"/>
      <c r="GC33" s="26"/>
      <c r="GD33" s="26"/>
      <c r="GE33" s="26"/>
      <c r="GF33" s="26"/>
      <c r="GG33" s="26"/>
      <c r="GK33" s="28"/>
    </row>
    <row r="34" spans="1:193" s="28" customFormat="1" ht="15.75" x14ac:dyDescent="0.25">
      <c r="A34" s="34" t="s">
        <v>43</v>
      </c>
      <c r="B34" s="35" t="s">
        <v>25</v>
      </c>
      <c r="C34" s="36">
        <f>GSVA_cur!C34</f>
        <v>551418</v>
      </c>
      <c r="D34" s="36">
        <f>GSVA_cur!D34</f>
        <v>637988</v>
      </c>
      <c r="E34" s="36">
        <f>GSVA_cur!E34</f>
        <v>759234</v>
      </c>
      <c r="F34" s="36">
        <f>GSVA_cur!F34</f>
        <v>898696</v>
      </c>
      <c r="G34" s="36">
        <f>GSVA_cur!G34</f>
        <v>986997</v>
      </c>
      <c r="H34" s="36">
        <f>GSVA_cur!H34</f>
        <v>1007814</v>
      </c>
      <c r="I34" s="36">
        <f>GSVA_cur!I34</f>
        <v>1371671</v>
      </c>
      <c r="J34" s="36">
        <f>GSVA_cur!J34</f>
        <v>1152159</v>
      </c>
      <c r="K34" s="36">
        <f>GSVA_cur!K34</f>
        <v>1205311</v>
      </c>
      <c r="L34" s="36">
        <f>GSVA_cur!L34</f>
        <v>1179794</v>
      </c>
      <c r="M34" s="36">
        <f>GSVA_cur!M34</f>
        <v>1499230</v>
      </c>
      <c r="N34" s="36">
        <f>GSVA_cur!N34</f>
        <v>1660259.303818709</v>
      </c>
      <c r="O34" s="36">
        <f>GSVA_cur!O34</f>
        <v>1911885.3540744686</v>
      </c>
      <c r="P34" s="36">
        <f>GSVA_cur!P34</f>
        <v>2256024.7178078732</v>
      </c>
      <c r="Q34" s="4"/>
      <c r="R34" s="4"/>
      <c r="S34" s="4"/>
      <c r="T34" s="4"/>
      <c r="U34" s="3"/>
      <c r="V34" s="4"/>
      <c r="W34" s="4"/>
      <c r="X34" s="3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  <c r="CI34" s="32"/>
      <c r="CJ34" s="32"/>
      <c r="CK34" s="32"/>
      <c r="CL34" s="32"/>
      <c r="CM34" s="32"/>
      <c r="CN34" s="32"/>
      <c r="CO34" s="32"/>
      <c r="CP34" s="32"/>
      <c r="CQ34" s="32"/>
      <c r="CR34" s="32"/>
      <c r="CS34" s="32"/>
      <c r="CT34" s="32"/>
      <c r="CU34" s="32"/>
      <c r="CV34" s="32"/>
      <c r="CW34" s="32"/>
      <c r="CX34" s="32"/>
      <c r="CY34" s="32"/>
      <c r="CZ34" s="32"/>
      <c r="DA34" s="32"/>
      <c r="DB34" s="32"/>
      <c r="DC34" s="32"/>
      <c r="DD34" s="32"/>
      <c r="DE34" s="32"/>
      <c r="DF34" s="32"/>
      <c r="DG34" s="32"/>
      <c r="DH34" s="32"/>
      <c r="DI34" s="32"/>
      <c r="DJ34" s="26"/>
      <c r="DK34" s="26"/>
      <c r="DL34" s="26"/>
      <c r="DM34" s="26"/>
      <c r="DN34" s="26"/>
      <c r="DO34" s="26"/>
      <c r="DP34" s="26"/>
      <c r="DQ34" s="26"/>
      <c r="DR34" s="26"/>
      <c r="DS34" s="26"/>
      <c r="DT34" s="26"/>
      <c r="DU34" s="26"/>
      <c r="DV34" s="26"/>
      <c r="DW34" s="26"/>
      <c r="DX34" s="26"/>
      <c r="DY34" s="26"/>
      <c r="DZ34" s="26"/>
      <c r="EA34" s="26"/>
      <c r="EB34" s="26"/>
      <c r="EC34" s="32"/>
      <c r="ED34" s="32"/>
      <c r="EE34" s="32"/>
      <c r="EF34" s="32"/>
      <c r="EG34" s="32"/>
      <c r="EH34" s="32"/>
      <c r="EI34" s="32"/>
      <c r="EJ34" s="32"/>
      <c r="EK34" s="32"/>
      <c r="EL34" s="32"/>
      <c r="EM34" s="32"/>
      <c r="EN34" s="32"/>
      <c r="EO34" s="32"/>
      <c r="EP34" s="32"/>
      <c r="EQ34" s="32"/>
      <c r="ER34" s="32"/>
      <c r="ES34" s="32"/>
      <c r="ET34" s="32"/>
      <c r="EU34" s="32"/>
      <c r="EV34" s="32"/>
      <c r="EW34" s="32"/>
      <c r="EX34" s="32"/>
      <c r="EY34" s="32"/>
      <c r="EZ34" s="32"/>
      <c r="FA34" s="32"/>
      <c r="FB34" s="32"/>
      <c r="FC34" s="32"/>
      <c r="FD34" s="32"/>
      <c r="FE34" s="32"/>
      <c r="FF34" s="32"/>
      <c r="FG34" s="32"/>
      <c r="FH34" s="32"/>
      <c r="FI34" s="32"/>
      <c r="FJ34" s="32"/>
      <c r="FK34" s="32"/>
      <c r="FL34" s="32"/>
      <c r="FM34" s="32"/>
      <c r="FN34" s="32"/>
      <c r="FO34" s="32"/>
      <c r="FP34" s="32"/>
      <c r="FQ34" s="32"/>
      <c r="FR34" s="32"/>
      <c r="FS34" s="32"/>
      <c r="FT34" s="32"/>
      <c r="FU34" s="32"/>
      <c r="FV34" s="32"/>
      <c r="FW34" s="32"/>
      <c r="FX34" s="32"/>
      <c r="FY34" s="32"/>
      <c r="FZ34" s="32"/>
      <c r="GA34" s="32"/>
      <c r="GB34" s="32"/>
      <c r="GC34" s="32"/>
      <c r="GD34" s="32"/>
      <c r="GE34" s="32"/>
      <c r="GF34" s="32"/>
    </row>
    <row r="35" spans="1:193" s="28" customFormat="1" ht="15.75" x14ac:dyDescent="0.25">
      <c r="A35" s="34" t="s">
        <v>44</v>
      </c>
      <c r="B35" s="35" t="s">
        <v>24</v>
      </c>
      <c r="C35" s="36">
        <f>GSVA_cur!C35</f>
        <v>219713</v>
      </c>
      <c r="D35" s="36">
        <f>GSVA_cur!D35</f>
        <v>246849</v>
      </c>
      <c r="E35" s="36">
        <f>GSVA_cur!E35</f>
        <v>218589</v>
      </c>
      <c r="F35" s="36">
        <f>GSVA_cur!F35</f>
        <v>254617</v>
      </c>
      <c r="G35" s="36">
        <f>GSVA_cur!G35</f>
        <v>288731</v>
      </c>
      <c r="H35" s="36">
        <f>GSVA_cur!H35</f>
        <v>193915</v>
      </c>
      <c r="I35" s="36">
        <f>GSVA_cur!I35</f>
        <v>176473</v>
      </c>
      <c r="J35" s="36">
        <f>GSVA_cur!J35</f>
        <v>212232</v>
      </c>
      <c r="K35" s="36">
        <f>GSVA_cur!K35</f>
        <v>193076</v>
      </c>
      <c r="L35" s="36">
        <f>GSVA_cur!L35</f>
        <v>297705</v>
      </c>
      <c r="M35" s="36">
        <f>GSVA_cur!M35</f>
        <v>382511</v>
      </c>
      <c r="N35" s="36">
        <f>GSVA_cur!N35</f>
        <v>441659</v>
      </c>
      <c r="O35" s="36">
        <f>GSVA_cur!O35</f>
        <v>361409</v>
      </c>
      <c r="P35" s="36">
        <f>GSVA_cur!P35</f>
        <v>426462.62000000005</v>
      </c>
      <c r="Q35" s="4"/>
      <c r="R35" s="4"/>
      <c r="S35" s="4"/>
      <c r="T35" s="4"/>
      <c r="U35" s="3"/>
      <c r="V35" s="4"/>
      <c r="W35" s="4"/>
      <c r="X35" s="3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2"/>
      <c r="BP35" s="32"/>
      <c r="BQ35" s="32"/>
      <c r="BR35" s="32"/>
      <c r="BS35" s="32"/>
      <c r="BT35" s="32"/>
      <c r="BU35" s="32"/>
      <c r="BV35" s="32"/>
      <c r="BW35" s="32"/>
      <c r="BX35" s="32"/>
      <c r="BY35" s="32"/>
      <c r="BZ35" s="32"/>
      <c r="CA35" s="32"/>
      <c r="CB35" s="32"/>
      <c r="CC35" s="32"/>
      <c r="CD35" s="32"/>
      <c r="CE35" s="32"/>
      <c r="CF35" s="32"/>
      <c r="CG35" s="32"/>
      <c r="CH35" s="32"/>
      <c r="CI35" s="32"/>
      <c r="CJ35" s="32"/>
      <c r="CK35" s="32"/>
      <c r="CL35" s="32"/>
      <c r="CM35" s="32"/>
      <c r="CN35" s="32"/>
      <c r="CO35" s="32"/>
      <c r="CP35" s="32"/>
      <c r="CQ35" s="32"/>
      <c r="CR35" s="32"/>
      <c r="CS35" s="32"/>
      <c r="CT35" s="32"/>
      <c r="CU35" s="32"/>
      <c r="CV35" s="32"/>
      <c r="CW35" s="32"/>
      <c r="CX35" s="32"/>
      <c r="CY35" s="32"/>
      <c r="CZ35" s="32"/>
      <c r="DA35" s="32"/>
      <c r="DB35" s="32"/>
      <c r="DC35" s="32"/>
      <c r="DD35" s="32"/>
      <c r="DE35" s="32"/>
      <c r="DF35" s="32"/>
      <c r="DG35" s="32"/>
      <c r="DH35" s="32"/>
      <c r="DI35" s="32"/>
      <c r="DJ35" s="26"/>
      <c r="DK35" s="26"/>
      <c r="DL35" s="26"/>
      <c r="DM35" s="26"/>
      <c r="DN35" s="26"/>
      <c r="DO35" s="26"/>
      <c r="DP35" s="26"/>
      <c r="DQ35" s="26"/>
      <c r="DR35" s="26"/>
      <c r="DS35" s="26"/>
      <c r="DT35" s="26"/>
      <c r="DU35" s="26"/>
      <c r="DV35" s="26"/>
      <c r="DW35" s="26"/>
      <c r="DX35" s="26"/>
      <c r="DY35" s="26"/>
      <c r="DZ35" s="26"/>
      <c r="EA35" s="26"/>
      <c r="EB35" s="26"/>
      <c r="EC35" s="32"/>
      <c r="ED35" s="32"/>
      <c r="EE35" s="32"/>
      <c r="EF35" s="32"/>
      <c r="EG35" s="32"/>
      <c r="EH35" s="32"/>
      <c r="EI35" s="32"/>
      <c r="EJ35" s="32"/>
      <c r="EK35" s="32"/>
      <c r="EL35" s="32"/>
      <c r="EM35" s="32"/>
      <c r="EN35" s="32"/>
      <c r="EO35" s="32"/>
      <c r="EP35" s="32"/>
      <c r="EQ35" s="32"/>
      <c r="ER35" s="32"/>
      <c r="ES35" s="32"/>
      <c r="ET35" s="32"/>
      <c r="EU35" s="32"/>
      <c r="EV35" s="32"/>
      <c r="EW35" s="32"/>
      <c r="EX35" s="32"/>
      <c r="EY35" s="32"/>
      <c r="EZ35" s="32"/>
      <c r="FA35" s="32"/>
      <c r="FB35" s="32"/>
      <c r="FC35" s="32"/>
      <c r="FD35" s="32"/>
      <c r="FE35" s="32"/>
      <c r="FF35" s="32"/>
      <c r="FG35" s="32"/>
      <c r="FH35" s="32"/>
      <c r="FI35" s="32"/>
      <c r="FJ35" s="32"/>
      <c r="FK35" s="32"/>
      <c r="FL35" s="32"/>
      <c r="FM35" s="32"/>
      <c r="FN35" s="32"/>
      <c r="FO35" s="32"/>
      <c r="FP35" s="32"/>
      <c r="FQ35" s="32"/>
      <c r="FR35" s="32"/>
      <c r="FS35" s="32"/>
      <c r="FT35" s="32"/>
      <c r="FU35" s="32"/>
      <c r="FV35" s="32"/>
      <c r="FW35" s="32"/>
      <c r="FX35" s="32"/>
      <c r="FY35" s="32"/>
      <c r="FZ35" s="32"/>
      <c r="GA35" s="32"/>
      <c r="GB35" s="32"/>
      <c r="GC35" s="32"/>
      <c r="GD35" s="32"/>
      <c r="GE35" s="32"/>
      <c r="GF35" s="32"/>
    </row>
    <row r="36" spans="1:193" s="28" customFormat="1" ht="15.75" x14ac:dyDescent="0.25">
      <c r="A36" s="34" t="s">
        <v>45</v>
      </c>
      <c r="B36" s="35" t="s">
        <v>63</v>
      </c>
      <c r="C36" s="31">
        <f>C33+C34-C35</f>
        <v>6053625.3288819827</v>
      </c>
      <c r="D36" s="31">
        <f t="shared" ref="D36:M36" si="20">D33+D34-D35</f>
        <v>6943227.8818904124</v>
      </c>
      <c r="E36" s="31">
        <f t="shared" si="20"/>
        <v>8012873.60413869</v>
      </c>
      <c r="F36" s="31">
        <f t="shared" si="20"/>
        <v>8734531.0292136148</v>
      </c>
      <c r="G36" s="31">
        <f t="shared" si="20"/>
        <v>9685051.3033481557</v>
      </c>
      <c r="H36" s="31">
        <f t="shared" si="20"/>
        <v>10835904.751788976</v>
      </c>
      <c r="I36" s="31">
        <f t="shared" si="20"/>
        <v>11970390.037691467</v>
      </c>
      <c r="J36" s="31">
        <f t="shared" si="20"/>
        <v>12725726.825171318</v>
      </c>
      <c r="K36" s="31">
        <f t="shared" si="20"/>
        <v>13669192.886052592</v>
      </c>
      <c r="L36" s="31">
        <f t="shared" si="20"/>
        <v>12798671.977751296</v>
      </c>
      <c r="M36" s="31">
        <f t="shared" si="20"/>
        <v>14312170.25727631</v>
      </c>
      <c r="N36" s="31">
        <f t="shared" ref="N36" si="21">N33+N34-N35</f>
        <v>16020379.479890898</v>
      </c>
      <c r="O36" s="31">
        <f t="shared" ref="O36" si="22">O33+O34-O35</f>
        <v>17580601.741344765</v>
      </c>
      <c r="P36" s="31">
        <f t="shared" ref="P36" si="23">P33+P34-P35</f>
        <v>19279448.758729946</v>
      </c>
      <c r="Q36" s="4"/>
      <c r="R36" s="4"/>
      <c r="S36" s="4"/>
      <c r="T36" s="4"/>
      <c r="U36" s="3"/>
      <c r="V36" s="4"/>
      <c r="W36" s="4"/>
      <c r="X36" s="3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2"/>
      <c r="BP36" s="32"/>
      <c r="BQ36" s="32"/>
      <c r="BR36" s="32"/>
      <c r="BS36" s="32"/>
      <c r="BT36" s="32"/>
      <c r="BU36" s="32"/>
      <c r="BV36" s="32"/>
      <c r="BW36" s="32"/>
      <c r="BX36" s="32"/>
      <c r="BY36" s="32"/>
      <c r="BZ36" s="32"/>
      <c r="CA36" s="32"/>
      <c r="CB36" s="32"/>
      <c r="CC36" s="32"/>
      <c r="CD36" s="32"/>
      <c r="CE36" s="32"/>
      <c r="CF36" s="32"/>
      <c r="CG36" s="32"/>
      <c r="CH36" s="32"/>
      <c r="CI36" s="32"/>
      <c r="CJ36" s="32"/>
      <c r="CK36" s="32"/>
      <c r="CL36" s="32"/>
      <c r="CM36" s="32"/>
      <c r="CN36" s="32"/>
      <c r="CO36" s="32"/>
      <c r="CP36" s="32"/>
      <c r="CQ36" s="32"/>
      <c r="CR36" s="32"/>
      <c r="CS36" s="32"/>
      <c r="CT36" s="32"/>
      <c r="CU36" s="32"/>
      <c r="CV36" s="32"/>
      <c r="CW36" s="32"/>
      <c r="CX36" s="32"/>
      <c r="CY36" s="32"/>
      <c r="CZ36" s="32"/>
      <c r="DA36" s="32"/>
      <c r="DB36" s="32"/>
      <c r="DC36" s="32"/>
      <c r="DD36" s="32"/>
      <c r="DE36" s="32"/>
      <c r="DF36" s="32"/>
      <c r="DG36" s="32"/>
      <c r="DH36" s="32"/>
      <c r="DI36" s="32"/>
      <c r="DJ36" s="26"/>
      <c r="DK36" s="26"/>
      <c r="DL36" s="26"/>
      <c r="DM36" s="26"/>
      <c r="DN36" s="26"/>
      <c r="DO36" s="26"/>
      <c r="DP36" s="26"/>
      <c r="DQ36" s="26"/>
      <c r="DR36" s="26"/>
      <c r="DS36" s="26"/>
      <c r="DT36" s="26"/>
      <c r="DU36" s="26"/>
      <c r="DV36" s="26"/>
      <c r="DW36" s="26"/>
      <c r="DX36" s="26"/>
      <c r="DY36" s="26"/>
      <c r="DZ36" s="26"/>
      <c r="EA36" s="26"/>
      <c r="EB36" s="26"/>
      <c r="EC36" s="32"/>
      <c r="ED36" s="32"/>
      <c r="EE36" s="32"/>
      <c r="EF36" s="32"/>
      <c r="EG36" s="32"/>
      <c r="EH36" s="32"/>
      <c r="EI36" s="32"/>
      <c r="EJ36" s="32"/>
      <c r="EK36" s="32"/>
      <c r="EL36" s="32"/>
      <c r="EM36" s="32"/>
      <c r="EN36" s="32"/>
      <c r="EO36" s="32"/>
      <c r="EP36" s="32"/>
      <c r="EQ36" s="32"/>
      <c r="ER36" s="32"/>
      <c r="ES36" s="32"/>
      <c r="ET36" s="32"/>
      <c r="EU36" s="32"/>
      <c r="EV36" s="32"/>
      <c r="EW36" s="32"/>
      <c r="EX36" s="32"/>
      <c r="EY36" s="32"/>
      <c r="EZ36" s="32"/>
      <c r="FA36" s="32"/>
      <c r="FB36" s="32"/>
      <c r="FC36" s="32"/>
      <c r="FD36" s="32"/>
      <c r="FE36" s="32"/>
      <c r="FF36" s="32"/>
      <c r="FG36" s="32"/>
      <c r="FH36" s="32"/>
      <c r="FI36" s="32"/>
      <c r="FJ36" s="32"/>
      <c r="FK36" s="32"/>
      <c r="FL36" s="32"/>
      <c r="FM36" s="32"/>
      <c r="FN36" s="32"/>
      <c r="FO36" s="32"/>
      <c r="FP36" s="32"/>
      <c r="FQ36" s="32"/>
      <c r="FR36" s="32"/>
      <c r="FS36" s="32"/>
      <c r="FT36" s="32"/>
      <c r="FU36" s="32"/>
      <c r="FV36" s="32"/>
      <c r="FW36" s="32"/>
      <c r="FX36" s="32"/>
      <c r="FY36" s="32"/>
      <c r="FZ36" s="32"/>
      <c r="GA36" s="32"/>
      <c r="GB36" s="32"/>
      <c r="GC36" s="32"/>
      <c r="GD36" s="32"/>
      <c r="GE36" s="32"/>
      <c r="GF36" s="32"/>
    </row>
    <row r="37" spans="1:193" s="28" customFormat="1" ht="15.75" x14ac:dyDescent="0.25">
      <c r="A37" s="34" t="s">
        <v>46</v>
      </c>
      <c r="B37" s="35" t="s">
        <v>42</v>
      </c>
      <c r="C37" s="36">
        <f>GSVA_cur!C37</f>
        <v>69010</v>
      </c>
      <c r="D37" s="36">
        <f>GSVA_cur!D37</f>
        <v>69620</v>
      </c>
      <c r="E37" s="36">
        <f>GSVA_cur!E37</f>
        <v>70230</v>
      </c>
      <c r="F37" s="36">
        <f>GSVA_cur!F37</f>
        <v>70840</v>
      </c>
      <c r="G37" s="36">
        <f>GSVA_cur!G37</f>
        <v>71470</v>
      </c>
      <c r="H37" s="36">
        <f>GSVA_cur!H37</f>
        <v>72100</v>
      </c>
      <c r="I37" s="36">
        <f>GSVA_cur!I37</f>
        <v>72330</v>
      </c>
      <c r="J37" s="36">
        <f>GSVA_cur!J37</f>
        <v>72800</v>
      </c>
      <c r="K37" s="36">
        <f>GSVA_cur!K37</f>
        <v>73270</v>
      </c>
      <c r="L37" s="36">
        <f>GSVA_cur!L37</f>
        <v>73740</v>
      </c>
      <c r="M37" s="36">
        <f>GSVA_cur!M37</f>
        <v>74150</v>
      </c>
      <c r="N37" s="36">
        <f>GSVA_cur!N37</f>
        <v>74530</v>
      </c>
      <c r="O37" s="36">
        <f>GSVA_cur!O37</f>
        <v>74900</v>
      </c>
      <c r="P37" s="36">
        <f>GSVA_cur!P37</f>
        <v>75270</v>
      </c>
      <c r="Q37" s="2"/>
      <c r="R37" s="2"/>
      <c r="S37" s="2"/>
      <c r="T37" s="2"/>
      <c r="U37" s="1"/>
      <c r="V37" s="2"/>
      <c r="W37" s="2"/>
      <c r="X37" s="1"/>
      <c r="Y37" s="1"/>
      <c r="Z37" s="1"/>
      <c r="AA37" s="1"/>
      <c r="AB37" s="1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DJ37" s="27"/>
      <c r="DK37" s="27"/>
      <c r="DL37" s="27"/>
      <c r="DM37" s="27"/>
      <c r="DN37" s="27"/>
      <c r="DO37" s="27"/>
      <c r="DP37" s="27"/>
      <c r="DQ37" s="27"/>
      <c r="DR37" s="27"/>
      <c r="DS37" s="27"/>
      <c r="DT37" s="27"/>
      <c r="DU37" s="27"/>
      <c r="DV37" s="27"/>
      <c r="DW37" s="27"/>
      <c r="DX37" s="27"/>
      <c r="DY37" s="27"/>
      <c r="DZ37" s="27"/>
      <c r="EA37" s="27"/>
      <c r="EB37" s="27"/>
    </row>
    <row r="38" spans="1:193" s="28" customFormat="1" ht="15.75" x14ac:dyDescent="0.25">
      <c r="A38" s="34" t="s">
        <v>47</v>
      </c>
      <c r="B38" s="35" t="s">
        <v>64</v>
      </c>
      <c r="C38" s="31">
        <f>C36/C37*1000</f>
        <v>87720.987232024097</v>
      </c>
      <c r="D38" s="31">
        <f t="shared" ref="D38:M38" si="24">D36/D37*1000</f>
        <v>99730.363141200985</v>
      </c>
      <c r="E38" s="31">
        <f t="shared" si="24"/>
        <v>114094.74019847202</v>
      </c>
      <c r="F38" s="31">
        <f t="shared" si="24"/>
        <v>123299.42164333166</v>
      </c>
      <c r="G38" s="31">
        <f t="shared" si="24"/>
        <v>135512.12121656857</v>
      </c>
      <c r="H38" s="31">
        <f t="shared" si="24"/>
        <v>150289.94107890394</v>
      </c>
      <c r="I38" s="31">
        <f t="shared" si="24"/>
        <v>165496.88977867368</v>
      </c>
      <c r="J38" s="31">
        <f t="shared" si="24"/>
        <v>174803.9399061994</v>
      </c>
      <c r="K38" s="31">
        <f t="shared" si="24"/>
        <v>186559.20412245928</v>
      </c>
      <c r="L38" s="31">
        <f t="shared" si="24"/>
        <v>173564.84916939648</v>
      </c>
      <c r="M38" s="31">
        <f t="shared" si="24"/>
        <v>193016.45660520985</v>
      </c>
      <c r="N38" s="31">
        <f t="shared" ref="N38" si="25">N36/N37*1000</f>
        <v>214952.09284705351</v>
      </c>
      <c r="O38" s="31">
        <f t="shared" ref="O38" si="26">O36/O37*1000</f>
        <v>234720.98453063771</v>
      </c>
      <c r="P38" s="31">
        <f t="shared" ref="P38" si="27">P36/P37*1000</f>
        <v>256137.22278105415</v>
      </c>
      <c r="Q38" s="2"/>
      <c r="R38" s="2"/>
      <c r="S38" s="2"/>
      <c r="T38" s="2"/>
      <c r="U38" s="1"/>
      <c r="V38" s="2"/>
      <c r="W38" s="2"/>
      <c r="X38" s="3"/>
      <c r="Y38" s="3"/>
      <c r="Z38" s="3"/>
      <c r="AA38" s="3"/>
      <c r="AB38" s="3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CC38" s="32"/>
      <c r="CD38" s="32"/>
      <c r="CE38" s="32"/>
      <c r="CF38" s="32"/>
      <c r="DJ38" s="27"/>
      <c r="DK38" s="27"/>
      <c r="DL38" s="27"/>
      <c r="DM38" s="27"/>
      <c r="DN38" s="27"/>
      <c r="DO38" s="27"/>
      <c r="DP38" s="27"/>
      <c r="DQ38" s="27"/>
      <c r="DR38" s="27"/>
      <c r="DS38" s="27"/>
      <c r="DT38" s="27"/>
      <c r="DU38" s="27"/>
      <c r="DV38" s="27"/>
      <c r="DW38" s="27"/>
      <c r="DX38" s="27"/>
      <c r="DY38" s="27"/>
      <c r="DZ38" s="27"/>
      <c r="EA38" s="27"/>
      <c r="EB38" s="27"/>
    </row>
    <row r="39" spans="1:193" x14ac:dyDescent="0.25">
      <c r="A39" s="2" t="s">
        <v>75</v>
      </c>
    </row>
  </sheetData>
  <sheetProtection formatColumns="0" formatRows="0"/>
  <pageMargins left="0.70866141732283505" right="0.70866141732283505" top="0.74803149606299202" bottom="0.74803149606299202" header="0.31496062992126" footer="0.31496062992126"/>
  <pageSetup paperSize="9" scale="10" orientation="landscape" horizontalDpi="4294967295" verticalDpi="4294967295" r:id="rId1"/>
  <colBreaks count="7" manualBreakCount="7">
    <brk id="28" max="1048575" man="1"/>
    <brk id="40" max="1048575" man="1"/>
    <brk id="56" max="1048575" man="1"/>
    <brk id="120" max="95" man="1"/>
    <brk id="156" max="1048575" man="1"/>
    <brk id="180" max="1048575" man="1"/>
    <brk id="188" max="9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S39"/>
  <sheetViews>
    <sheetView tabSelected="1" zoomScale="68" zoomScaleNormal="68" zoomScaleSheetLayoutView="100" workbookViewId="0">
      <pane xSplit="2" ySplit="5" topLeftCell="C6" activePane="bottomRight" state="frozen"/>
      <selection activeCell="U29" sqref="U29"/>
      <selection pane="topRight" activeCell="U29" sqref="U29"/>
      <selection pane="bottomLeft" activeCell="U29" sqref="U29"/>
      <selection pane="bottomRight" activeCell="U29" sqref="U29"/>
    </sheetView>
  </sheetViews>
  <sheetFormatPr defaultColWidth="8.85546875" defaultRowHeight="15" x14ac:dyDescent="0.25"/>
  <cols>
    <col min="1" max="1" width="11" style="2" customWidth="1"/>
    <col min="2" max="2" width="36.85546875" style="2" customWidth="1"/>
    <col min="3" max="6" width="12.85546875" style="2" customWidth="1"/>
    <col min="7" max="16" width="12.85546875" style="1" customWidth="1"/>
    <col min="17" max="17" width="11.7109375" style="1" customWidth="1"/>
    <col min="18" max="18" width="9.140625" style="2" customWidth="1"/>
    <col min="19" max="19" width="10.85546875" style="2" customWidth="1"/>
    <col min="20" max="20" width="10.85546875" style="1" customWidth="1"/>
    <col min="21" max="21" width="11" style="2" customWidth="1"/>
    <col min="22" max="24" width="11.42578125" style="2" customWidth="1"/>
    <col min="25" max="52" width="9.140625" style="2" customWidth="1"/>
    <col min="53" max="53" width="12.42578125" style="2" customWidth="1"/>
    <col min="54" max="75" width="9.140625" style="2" customWidth="1"/>
    <col min="76" max="76" width="12.140625" style="2" customWidth="1"/>
    <col min="77" max="80" width="9.140625" style="2" customWidth="1"/>
    <col min="81" max="85" width="9.140625" style="2" hidden="1" customWidth="1"/>
    <col min="86" max="86" width="9.140625" style="2" customWidth="1"/>
    <col min="87" max="91" width="9.140625" style="2" hidden="1" customWidth="1"/>
    <col min="92" max="92" width="9.140625" style="2" customWidth="1"/>
    <col min="93" max="97" width="9.140625" style="2" hidden="1" customWidth="1"/>
    <col min="98" max="98" width="9.140625" style="2" customWidth="1"/>
    <col min="99" max="103" width="9.140625" style="2" hidden="1" customWidth="1"/>
    <col min="104" max="104" width="9.140625" style="2" customWidth="1"/>
    <col min="105" max="109" width="9.140625" style="2" hidden="1" customWidth="1"/>
    <col min="110" max="110" width="9.140625" style="1" customWidth="1"/>
    <col min="111" max="115" width="9.140625" style="1" hidden="1" customWidth="1"/>
    <col min="116" max="116" width="9.140625" style="1" customWidth="1"/>
    <col min="117" max="121" width="9.140625" style="1" hidden="1" customWidth="1"/>
    <col min="122" max="122" width="9.140625" style="1" customWidth="1"/>
    <col min="123" max="127" width="9.140625" style="1" hidden="1" customWidth="1"/>
    <col min="128" max="128" width="9.140625" style="1" customWidth="1"/>
    <col min="129" max="158" width="9.140625" style="2" customWidth="1"/>
    <col min="159" max="159" width="9.140625" style="2" hidden="1" customWidth="1"/>
    <col min="160" max="167" width="9.140625" style="2" customWidth="1"/>
    <col min="168" max="168" width="9.140625" style="2" hidden="1" customWidth="1"/>
    <col min="169" max="173" width="9.140625" style="2" customWidth="1"/>
    <col min="174" max="174" width="9.140625" style="2" hidden="1" customWidth="1"/>
    <col min="175" max="184" width="9.140625" style="2" customWidth="1"/>
    <col min="185" max="188" width="8.85546875" style="2"/>
    <col min="189" max="189" width="12.7109375" style="2" bestFit="1" customWidth="1"/>
    <col min="190" max="16384" width="8.85546875" style="2"/>
  </cols>
  <sheetData>
    <row r="1" spans="1:189" ht="18.75" x14ac:dyDescent="0.3">
      <c r="A1" s="2" t="s">
        <v>53</v>
      </c>
      <c r="B1" s="6" t="s">
        <v>66</v>
      </c>
      <c r="S1" s="3"/>
    </row>
    <row r="2" spans="1:189" ht="15.75" x14ac:dyDescent="0.25">
      <c r="A2" s="7" t="s">
        <v>52</v>
      </c>
      <c r="I2" s="1" t="str">
        <f>[1]GSVA_cur!$I$3</f>
        <v>01.08.2025</v>
      </c>
    </row>
    <row r="3" spans="1:189" ht="15.75" x14ac:dyDescent="0.25">
      <c r="A3" s="7"/>
    </row>
    <row r="4" spans="1:189" ht="15.75" x14ac:dyDescent="0.25">
      <c r="A4" s="7"/>
      <c r="E4" s="8"/>
      <c r="F4" s="8" t="s">
        <v>57</v>
      </c>
    </row>
    <row r="5" spans="1:189" ht="15.75" x14ac:dyDescent="0.25">
      <c r="A5" s="11" t="s">
        <v>0</v>
      </c>
      <c r="B5" s="12" t="s">
        <v>1</v>
      </c>
      <c r="C5" s="13" t="s">
        <v>21</v>
      </c>
      <c r="D5" s="13" t="s">
        <v>22</v>
      </c>
      <c r="E5" s="13" t="s">
        <v>23</v>
      </c>
      <c r="F5" s="13" t="s">
        <v>56</v>
      </c>
      <c r="G5" s="14" t="s">
        <v>65</v>
      </c>
      <c r="H5" s="14" t="s">
        <v>67</v>
      </c>
      <c r="I5" s="14" t="s">
        <v>68</v>
      </c>
      <c r="J5" s="14" t="s">
        <v>69</v>
      </c>
      <c r="K5" s="14" t="s">
        <v>70</v>
      </c>
      <c r="L5" s="14" t="s">
        <v>71</v>
      </c>
      <c r="M5" s="14" t="s">
        <v>72</v>
      </c>
      <c r="N5" s="14" t="s">
        <v>73</v>
      </c>
      <c r="O5" s="14" t="s">
        <v>74</v>
      </c>
      <c r="P5" s="14" t="s">
        <v>76</v>
      </c>
    </row>
    <row r="6" spans="1:189" s="27" customFormat="1" ht="15.75" x14ac:dyDescent="0.25">
      <c r="A6" s="23" t="s">
        <v>26</v>
      </c>
      <c r="B6" s="24" t="s">
        <v>2</v>
      </c>
      <c r="C6" s="25">
        <f>SUM(C7:C10)</f>
        <v>987741.88093067741</v>
      </c>
      <c r="D6" s="25">
        <f t="shared" ref="D6:N6" si="0">SUM(D7:D10)</f>
        <v>1056761.638739445</v>
      </c>
      <c r="E6" s="25">
        <f t="shared" si="0"/>
        <v>1165433.6103328478</v>
      </c>
      <c r="F6" s="25">
        <f t="shared" si="0"/>
        <v>1105896.3483269121</v>
      </c>
      <c r="G6" s="25">
        <f t="shared" si="0"/>
        <v>1211079.7594669464</v>
      </c>
      <c r="H6" s="25">
        <f t="shared" si="0"/>
        <v>1142612.9783560743</v>
      </c>
      <c r="I6" s="25">
        <f t="shared" si="0"/>
        <v>1098425.6920206998</v>
      </c>
      <c r="J6" s="25">
        <f t="shared" si="0"/>
        <v>1126777.3524001089</v>
      </c>
      <c r="K6" s="25">
        <f t="shared" si="0"/>
        <v>1370668.8842063097</v>
      </c>
      <c r="L6" s="25">
        <f t="shared" si="0"/>
        <v>1243256.4643452379</v>
      </c>
      <c r="M6" s="25">
        <f t="shared" si="0"/>
        <v>1258861.8511676781</v>
      </c>
      <c r="N6" s="25">
        <f t="shared" si="0"/>
        <v>1257865.1114657684</v>
      </c>
      <c r="O6" s="25">
        <f t="shared" ref="O6:P6" si="1">SUM(O7:O10)</f>
        <v>1198082.3846620361</v>
      </c>
      <c r="P6" s="25">
        <f t="shared" si="1"/>
        <v>1241506.1075049043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G6" s="28"/>
    </row>
    <row r="7" spans="1:189" ht="15.75" x14ac:dyDescent="0.25">
      <c r="A7" s="16">
        <v>1.1000000000000001</v>
      </c>
      <c r="B7" s="17" t="s">
        <v>59</v>
      </c>
      <c r="C7" s="9">
        <v>506994.32032995741</v>
      </c>
      <c r="D7" s="9">
        <v>563076.05889990402</v>
      </c>
      <c r="E7" s="9">
        <v>673414.30298086884</v>
      </c>
      <c r="F7" s="9">
        <v>577749.90354195959</v>
      </c>
      <c r="G7" s="9">
        <v>660768.28139325907</v>
      </c>
      <c r="H7" s="9">
        <v>544258.84288453916</v>
      </c>
      <c r="I7" s="9">
        <v>470963.73271241446</v>
      </c>
      <c r="J7" s="9">
        <v>449253.16171853011</v>
      </c>
      <c r="K7" s="9">
        <v>607604.26080231427</v>
      </c>
      <c r="L7" s="9">
        <v>494206.79528884555</v>
      </c>
      <c r="M7" s="9">
        <v>518765.8709553543</v>
      </c>
      <c r="N7" s="9">
        <v>488918.86255081976</v>
      </c>
      <c r="O7" s="9">
        <v>392656.98824009183</v>
      </c>
      <c r="P7" s="9">
        <v>400959.75711111183</v>
      </c>
      <c r="Q7" s="3"/>
      <c r="R7" s="4"/>
      <c r="S7" s="4"/>
      <c r="T7" s="3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1"/>
      <c r="GE7" s="1"/>
      <c r="GF7" s="1"/>
    </row>
    <row r="8" spans="1:189" ht="15.75" x14ac:dyDescent="0.25">
      <c r="A8" s="16">
        <v>1.2</v>
      </c>
      <c r="B8" s="17" t="s">
        <v>60</v>
      </c>
      <c r="C8" s="9">
        <v>111923.05736971243</v>
      </c>
      <c r="D8" s="9">
        <v>116003.45669272711</v>
      </c>
      <c r="E8" s="9">
        <v>107869.98793879789</v>
      </c>
      <c r="F8" s="9">
        <v>118829.39137705344</v>
      </c>
      <c r="G8" s="9">
        <v>147074.02886293203</v>
      </c>
      <c r="H8" s="9">
        <v>158304.36196932141</v>
      </c>
      <c r="I8" s="9">
        <v>172227.27101041452</v>
      </c>
      <c r="J8" s="9">
        <v>200737.4651375247</v>
      </c>
      <c r="K8" s="9">
        <v>221042.83007946936</v>
      </c>
      <c r="L8" s="9">
        <v>233733.96821724318</v>
      </c>
      <c r="M8" s="9">
        <v>243547.45577282924</v>
      </c>
      <c r="N8" s="9">
        <v>244024.21873089738</v>
      </c>
      <c r="O8" s="9">
        <v>276155.13620446139</v>
      </c>
      <c r="P8" s="9">
        <v>290015.78669217473</v>
      </c>
      <c r="Q8" s="3"/>
      <c r="R8" s="4"/>
      <c r="S8" s="4"/>
      <c r="T8" s="3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1"/>
      <c r="GE8" s="1"/>
      <c r="GF8" s="1"/>
    </row>
    <row r="9" spans="1:189" ht="15.75" x14ac:dyDescent="0.25">
      <c r="A9" s="16">
        <v>1.3</v>
      </c>
      <c r="B9" s="17" t="s">
        <v>61</v>
      </c>
      <c r="C9" s="9">
        <v>364257.88298690226</v>
      </c>
      <c r="D9" s="9">
        <v>372605.25833514158</v>
      </c>
      <c r="E9" s="9">
        <v>378360.74602475855</v>
      </c>
      <c r="F9" s="9">
        <v>402837.11819864355</v>
      </c>
      <c r="G9" s="9">
        <v>396033.76392262615</v>
      </c>
      <c r="H9" s="9">
        <v>432399.66382493085</v>
      </c>
      <c r="I9" s="9">
        <v>447533.43968483713</v>
      </c>
      <c r="J9" s="9">
        <v>468536.23671230534</v>
      </c>
      <c r="K9" s="9">
        <v>533382.04807877284</v>
      </c>
      <c r="L9" s="9">
        <v>505897.0133606536</v>
      </c>
      <c r="M9" s="9">
        <v>486329.59699068201</v>
      </c>
      <c r="N9" s="9">
        <v>513814.9285716298</v>
      </c>
      <c r="O9" s="9">
        <v>517403.64591359685</v>
      </c>
      <c r="P9" s="9">
        <v>537833.32740568731</v>
      </c>
      <c r="Q9" s="3"/>
      <c r="R9" s="4"/>
      <c r="S9" s="4"/>
      <c r="T9" s="3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1"/>
      <c r="GE9" s="1"/>
      <c r="GF9" s="1"/>
    </row>
    <row r="10" spans="1:189" ht="15.75" x14ac:dyDescent="0.25">
      <c r="A10" s="16">
        <v>1.4</v>
      </c>
      <c r="B10" s="17" t="s">
        <v>62</v>
      </c>
      <c r="C10" s="9">
        <v>4566.6202441053601</v>
      </c>
      <c r="D10" s="9">
        <v>5076.8648116720969</v>
      </c>
      <c r="E10" s="9">
        <v>5788.5733884225874</v>
      </c>
      <c r="F10" s="9">
        <v>6479.9352092555855</v>
      </c>
      <c r="G10" s="9">
        <v>7203.6852881291388</v>
      </c>
      <c r="H10" s="9">
        <v>7650.1096772827495</v>
      </c>
      <c r="I10" s="9">
        <v>7701.2486130336638</v>
      </c>
      <c r="J10" s="9">
        <v>8250.488831748793</v>
      </c>
      <c r="K10" s="9">
        <v>8639.7452457531417</v>
      </c>
      <c r="L10" s="9">
        <v>9418.6874784956308</v>
      </c>
      <c r="M10" s="9">
        <v>10218.927448812634</v>
      </c>
      <c r="N10" s="9">
        <v>11107.101612421468</v>
      </c>
      <c r="O10" s="9">
        <v>11866.614303886192</v>
      </c>
      <c r="P10" s="9">
        <v>12697.236295930492</v>
      </c>
      <c r="Q10" s="3"/>
      <c r="R10" s="4"/>
      <c r="S10" s="4"/>
      <c r="T10" s="3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1"/>
      <c r="GE10" s="1"/>
      <c r="GF10" s="1"/>
    </row>
    <row r="11" spans="1:189" ht="15.75" x14ac:dyDescent="0.25">
      <c r="A11" s="18" t="s">
        <v>31</v>
      </c>
      <c r="B11" s="17" t="s">
        <v>3</v>
      </c>
      <c r="C11" s="9">
        <v>25143.691858640737</v>
      </c>
      <c r="D11" s="9">
        <v>24523.526634792284</v>
      </c>
      <c r="E11" s="9">
        <v>20467.955873195358</v>
      </c>
      <c r="F11" s="9">
        <v>21102.809703349558</v>
      </c>
      <c r="G11" s="9">
        <v>19823.028990271789</v>
      </c>
      <c r="H11" s="9">
        <v>53496.334472962888</v>
      </c>
      <c r="I11" s="9">
        <v>17829.802838685264</v>
      </c>
      <c r="J11" s="9">
        <v>21650.732922509927</v>
      </c>
      <c r="K11" s="9">
        <v>20316.411519449983</v>
      </c>
      <c r="L11" s="9">
        <v>18906.263590710128</v>
      </c>
      <c r="M11" s="9">
        <v>26166.644136595598</v>
      </c>
      <c r="N11" s="9">
        <v>28306.59994822403</v>
      </c>
      <c r="O11" s="9">
        <v>36771.595520459974</v>
      </c>
      <c r="P11" s="9">
        <v>38998.955084368674</v>
      </c>
      <c r="Q11" s="3"/>
      <c r="R11" s="4"/>
      <c r="S11" s="4"/>
      <c r="T11" s="3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1"/>
      <c r="GE11" s="1"/>
      <c r="GF11" s="1"/>
    </row>
    <row r="12" spans="1:189" s="28" customFormat="1" ht="15.75" x14ac:dyDescent="0.25">
      <c r="A12" s="29"/>
      <c r="B12" s="30" t="s">
        <v>28</v>
      </c>
      <c r="C12" s="31">
        <f>C6+C11</f>
        <v>1012885.5727893182</v>
      </c>
      <c r="D12" s="31">
        <f t="shared" ref="D12:N12" si="2">D6+D11</f>
        <v>1081285.1653742373</v>
      </c>
      <c r="E12" s="31">
        <f t="shared" si="2"/>
        <v>1185901.5662060431</v>
      </c>
      <c r="F12" s="31">
        <f t="shared" si="2"/>
        <v>1126999.1580302618</v>
      </c>
      <c r="G12" s="31">
        <f t="shared" si="2"/>
        <v>1230902.7884572181</v>
      </c>
      <c r="H12" s="31">
        <f t="shared" si="2"/>
        <v>1196109.3128290372</v>
      </c>
      <c r="I12" s="31">
        <f t="shared" si="2"/>
        <v>1116255.4948593851</v>
      </c>
      <c r="J12" s="31">
        <f t="shared" si="2"/>
        <v>1148428.085322619</v>
      </c>
      <c r="K12" s="31">
        <f t="shared" si="2"/>
        <v>1390985.2957257596</v>
      </c>
      <c r="L12" s="31">
        <f t="shared" si="2"/>
        <v>1262162.7279359482</v>
      </c>
      <c r="M12" s="31">
        <f t="shared" si="2"/>
        <v>1285028.4953042737</v>
      </c>
      <c r="N12" s="31">
        <f t="shared" si="2"/>
        <v>1286171.7114139926</v>
      </c>
      <c r="O12" s="31">
        <f t="shared" ref="O12:P12" si="3">O6+O11</f>
        <v>1234853.9801824961</v>
      </c>
      <c r="P12" s="31">
        <f t="shared" si="3"/>
        <v>1280505.0625892729</v>
      </c>
      <c r="Q12" s="3"/>
      <c r="R12" s="4"/>
      <c r="S12" s="4"/>
      <c r="T12" s="3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2"/>
      <c r="CT12" s="32"/>
      <c r="CU12" s="32"/>
      <c r="CV12" s="32"/>
      <c r="CW12" s="32"/>
      <c r="CX12" s="32"/>
      <c r="CY12" s="32"/>
      <c r="CZ12" s="32"/>
      <c r="DA12" s="32"/>
      <c r="DB12" s="32"/>
      <c r="DC12" s="32"/>
      <c r="DD12" s="32"/>
      <c r="DE12" s="32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32"/>
      <c r="DZ12" s="32"/>
      <c r="EA12" s="32"/>
      <c r="EB12" s="32"/>
      <c r="EC12" s="32"/>
      <c r="ED12" s="32"/>
      <c r="EE12" s="32"/>
      <c r="EF12" s="32"/>
      <c r="EG12" s="32"/>
      <c r="EH12" s="32"/>
      <c r="EI12" s="32"/>
      <c r="EJ12" s="32"/>
      <c r="EK12" s="32"/>
      <c r="EL12" s="32"/>
      <c r="EM12" s="32"/>
      <c r="EN12" s="32"/>
      <c r="EO12" s="32"/>
      <c r="EP12" s="32"/>
      <c r="EQ12" s="32"/>
      <c r="ER12" s="32"/>
      <c r="ES12" s="32"/>
      <c r="ET12" s="32"/>
      <c r="EU12" s="32"/>
      <c r="EV12" s="32"/>
      <c r="EW12" s="32"/>
      <c r="EX12" s="32"/>
      <c r="EY12" s="32"/>
      <c r="EZ12" s="32"/>
      <c r="FA12" s="32"/>
      <c r="FB12" s="32"/>
      <c r="FC12" s="32"/>
      <c r="FD12" s="32"/>
      <c r="FE12" s="32"/>
      <c r="FF12" s="32"/>
      <c r="FG12" s="32"/>
      <c r="FH12" s="32"/>
      <c r="FI12" s="32"/>
      <c r="FJ12" s="32"/>
      <c r="FK12" s="32"/>
      <c r="FL12" s="32"/>
      <c r="FM12" s="32"/>
      <c r="FN12" s="32"/>
      <c r="FO12" s="32"/>
      <c r="FP12" s="32"/>
      <c r="FQ12" s="32"/>
      <c r="FR12" s="32"/>
      <c r="FS12" s="32"/>
      <c r="FT12" s="32"/>
      <c r="FU12" s="32"/>
      <c r="FV12" s="32"/>
      <c r="FW12" s="32"/>
      <c r="FX12" s="32"/>
      <c r="FY12" s="32"/>
      <c r="FZ12" s="32"/>
      <c r="GA12" s="32"/>
      <c r="GB12" s="32"/>
      <c r="GC12" s="32"/>
      <c r="GD12" s="27"/>
      <c r="GE12" s="27"/>
      <c r="GF12" s="27"/>
    </row>
    <row r="13" spans="1:189" s="1" customFormat="1" ht="15.75" x14ac:dyDescent="0.25">
      <c r="A13" s="39" t="s">
        <v>32</v>
      </c>
      <c r="B13" s="40" t="s">
        <v>4</v>
      </c>
      <c r="C13" s="9">
        <v>1393182.165519014</v>
      </c>
      <c r="D13" s="9">
        <v>1504007.3494936584</v>
      </c>
      <c r="E13" s="9">
        <v>1683199.2490471192</v>
      </c>
      <c r="F13" s="9">
        <v>1841069.4692559699</v>
      </c>
      <c r="G13" s="9">
        <v>2087831.8181676392</v>
      </c>
      <c r="H13" s="9">
        <v>2654515.1804514611</v>
      </c>
      <c r="I13" s="9">
        <v>2997939.0946701015</v>
      </c>
      <c r="J13" s="9">
        <v>3321034.7712491183</v>
      </c>
      <c r="K13" s="9">
        <v>3357644.4067771151</v>
      </c>
      <c r="L13" s="9">
        <v>3200972.260061163</v>
      </c>
      <c r="M13" s="9">
        <v>3209037.3445285303</v>
      </c>
      <c r="N13" s="9">
        <v>3398754.5797120286</v>
      </c>
      <c r="O13" s="9">
        <v>3728613.9472758481</v>
      </c>
      <c r="P13" s="9">
        <v>3994703.7218094673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G13" s="2"/>
    </row>
    <row r="14" spans="1:189" ht="30" x14ac:dyDescent="0.25">
      <c r="A14" s="18" t="s">
        <v>33</v>
      </c>
      <c r="B14" s="17" t="s">
        <v>5</v>
      </c>
      <c r="C14" s="9">
        <v>400223.32401821477</v>
      </c>
      <c r="D14" s="9">
        <v>398531.80282205774</v>
      </c>
      <c r="E14" s="9">
        <v>420616.39660047984</v>
      </c>
      <c r="F14" s="9">
        <v>487553.65947887331</v>
      </c>
      <c r="G14" s="9">
        <v>502828.67542960495</v>
      </c>
      <c r="H14" s="9">
        <v>462018.83614225825</v>
      </c>
      <c r="I14" s="9">
        <v>505807.49670448789</v>
      </c>
      <c r="J14" s="9">
        <v>487859.52202923561</v>
      </c>
      <c r="K14" s="9">
        <v>462564.43068576104</v>
      </c>
      <c r="L14" s="9">
        <v>432879.28190292773</v>
      </c>
      <c r="M14" s="9">
        <v>482388.29724184645</v>
      </c>
      <c r="N14" s="9">
        <v>513393.40855048172</v>
      </c>
      <c r="O14" s="9">
        <v>540539.35669406049</v>
      </c>
      <c r="P14" s="9">
        <v>530223.04320522619</v>
      </c>
      <c r="Q14" s="3"/>
      <c r="R14" s="4"/>
      <c r="S14" s="4"/>
      <c r="T14" s="3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3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3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3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1"/>
      <c r="GE14" s="1"/>
      <c r="GF14" s="1"/>
    </row>
    <row r="15" spans="1:189" ht="15.75" x14ac:dyDescent="0.25">
      <c r="A15" s="18" t="s">
        <v>34</v>
      </c>
      <c r="B15" s="17" t="s">
        <v>6</v>
      </c>
      <c r="C15" s="9">
        <v>608088.17045650107</v>
      </c>
      <c r="D15" s="9">
        <v>642777.42923885596</v>
      </c>
      <c r="E15" s="9">
        <v>678835.28815780743</v>
      </c>
      <c r="F15" s="9">
        <v>723387.0883578076</v>
      </c>
      <c r="G15" s="9">
        <v>712963.03562007844</v>
      </c>
      <c r="H15" s="9">
        <v>769183.36227246234</v>
      </c>
      <c r="I15" s="9">
        <v>800153.4245695537</v>
      </c>
      <c r="J15" s="9">
        <v>822373.92095380765</v>
      </c>
      <c r="K15" s="9">
        <v>813089.16418613412</v>
      </c>
      <c r="L15" s="9">
        <v>773603.72763360478</v>
      </c>
      <c r="M15" s="9">
        <v>833814.78045413876</v>
      </c>
      <c r="N15" s="9">
        <v>895165.62177405145</v>
      </c>
      <c r="O15" s="9">
        <v>960940.16221521143</v>
      </c>
      <c r="P15" s="9">
        <v>1058655.5148313744</v>
      </c>
      <c r="Q15" s="3"/>
      <c r="R15" s="4"/>
      <c r="S15" s="4"/>
      <c r="T15" s="3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3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3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3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1"/>
      <c r="GE15" s="1"/>
      <c r="GF15" s="1"/>
    </row>
    <row r="16" spans="1:189" s="28" customFormat="1" ht="15.75" x14ac:dyDescent="0.25">
      <c r="A16" s="29"/>
      <c r="B16" s="30" t="s">
        <v>29</v>
      </c>
      <c r="C16" s="31">
        <f>+C13+C14+C15</f>
        <v>2401493.65999373</v>
      </c>
      <c r="D16" s="31">
        <f t="shared" ref="D16:H16" si="4">+D13+D14+D15</f>
        <v>2545316.5815545721</v>
      </c>
      <c r="E16" s="31">
        <f t="shared" si="4"/>
        <v>2782650.9338054061</v>
      </c>
      <c r="F16" s="31">
        <f t="shared" si="4"/>
        <v>3052010.2170926509</v>
      </c>
      <c r="G16" s="31">
        <f t="shared" si="4"/>
        <v>3303623.5292173224</v>
      </c>
      <c r="H16" s="31">
        <f t="shared" si="4"/>
        <v>3885717.3788661817</v>
      </c>
      <c r="I16" s="31">
        <f t="shared" ref="I16:M16" si="5">+I13+I14+I15</f>
        <v>4303900.0159441438</v>
      </c>
      <c r="J16" s="31">
        <f t="shared" si="5"/>
        <v>4631268.2142321616</v>
      </c>
      <c r="K16" s="31">
        <f t="shared" si="5"/>
        <v>4633298.00164901</v>
      </c>
      <c r="L16" s="31">
        <f t="shared" si="5"/>
        <v>4407455.2695976961</v>
      </c>
      <c r="M16" s="31">
        <f t="shared" si="5"/>
        <v>4525240.422224516</v>
      </c>
      <c r="N16" s="31">
        <f t="shared" ref="N16" si="6">+N13+N14+N15</f>
        <v>4807313.6100365622</v>
      </c>
      <c r="O16" s="31">
        <f t="shared" ref="O16:P16" si="7">+O13+O14+O15</f>
        <v>5230093.4661851199</v>
      </c>
      <c r="P16" s="31">
        <f t="shared" si="7"/>
        <v>5583582.2798460675</v>
      </c>
      <c r="Q16" s="3"/>
      <c r="R16" s="4"/>
      <c r="S16" s="4"/>
      <c r="T16" s="3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32"/>
      <c r="CB16" s="32"/>
      <c r="CC16" s="32"/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  <c r="CO16" s="32"/>
      <c r="CP16" s="32"/>
      <c r="CQ16" s="32"/>
      <c r="CR16" s="32"/>
      <c r="CS16" s="32"/>
      <c r="CT16" s="26"/>
      <c r="CU16" s="32"/>
      <c r="CV16" s="32"/>
      <c r="CW16" s="32"/>
      <c r="CX16" s="32"/>
      <c r="CY16" s="32"/>
      <c r="CZ16" s="32"/>
      <c r="DA16" s="32"/>
      <c r="DB16" s="32"/>
      <c r="DC16" s="32"/>
      <c r="DD16" s="32"/>
      <c r="DE16" s="32"/>
      <c r="DF16" s="26"/>
      <c r="DG16" s="26"/>
      <c r="DH16" s="26"/>
      <c r="DI16" s="26"/>
      <c r="DJ16" s="26"/>
      <c r="DK16" s="26"/>
      <c r="DL16" s="26"/>
      <c r="DM16" s="26"/>
      <c r="DN16" s="26"/>
      <c r="DO16" s="26"/>
      <c r="DP16" s="26"/>
      <c r="DQ16" s="26"/>
      <c r="DR16" s="26"/>
      <c r="DS16" s="26"/>
      <c r="DT16" s="26"/>
      <c r="DU16" s="26"/>
      <c r="DV16" s="26"/>
      <c r="DW16" s="26"/>
      <c r="DX16" s="26"/>
      <c r="DY16" s="32"/>
      <c r="DZ16" s="32"/>
      <c r="EA16" s="32"/>
      <c r="EB16" s="32"/>
      <c r="EC16" s="32"/>
      <c r="ED16" s="32"/>
      <c r="EE16" s="32"/>
      <c r="EF16" s="32"/>
      <c r="EG16" s="32"/>
      <c r="EH16" s="32"/>
      <c r="EI16" s="32"/>
      <c r="EJ16" s="32"/>
      <c r="EK16" s="32"/>
      <c r="EL16" s="32"/>
      <c r="EM16" s="32"/>
      <c r="EN16" s="32"/>
      <c r="EO16" s="32"/>
      <c r="EP16" s="26"/>
      <c r="EQ16" s="32"/>
      <c r="ER16" s="32"/>
      <c r="ES16" s="32"/>
      <c r="ET16" s="32"/>
      <c r="EU16" s="32"/>
      <c r="EV16" s="32"/>
      <c r="EW16" s="32"/>
      <c r="EX16" s="32"/>
      <c r="EY16" s="32"/>
      <c r="EZ16" s="32"/>
      <c r="FA16" s="32"/>
      <c r="FB16" s="32"/>
      <c r="FC16" s="32"/>
      <c r="FD16" s="32"/>
      <c r="FE16" s="32"/>
      <c r="FF16" s="32"/>
      <c r="FG16" s="32"/>
      <c r="FH16" s="32"/>
      <c r="FI16" s="32"/>
      <c r="FJ16" s="32"/>
      <c r="FK16" s="32"/>
      <c r="FL16" s="32"/>
      <c r="FM16" s="32"/>
      <c r="FN16" s="26"/>
      <c r="FO16" s="32"/>
      <c r="FP16" s="32"/>
      <c r="FQ16" s="32"/>
      <c r="FR16" s="32"/>
      <c r="FS16" s="32"/>
      <c r="FT16" s="32"/>
      <c r="FU16" s="32"/>
      <c r="FV16" s="32"/>
      <c r="FW16" s="32"/>
      <c r="FX16" s="32"/>
      <c r="FY16" s="32"/>
      <c r="FZ16" s="32"/>
      <c r="GA16" s="32"/>
      <c r="GB16" s="32"/>
      <c r="GC16" s="32"/>
      <c r="GD16" s="27"/>
      <c r="GE16" s="27"/>
      <c r="GF16" s="27"/>
    </row>
    <row r="17" spans="1:189" s="27" customFormat="1" ht="15.75" x14ac:dyDescent="0.25">
      <c r="A17" s="23" t="s">
        <v>35</v>
      </c>
      <c r="B17" s="24" t="s">
        <v>7</v>
      </c>
      <c r="C17" s="25">
        <f>C18+C19</f>
        <v>383229.6238031211</v>
      </c>
      <c r="D17" s="25">
        <f t="shared" ref="D17:H17" si="8">D18+D19</f>
        <v>396205.52990059392</v>
      </c>
      <c r="E17" s="25">
        <f t="shared" si="8"/>
        <v>422760.08685638389</v>
      </c>
      <c r="F17" s="25">
        <f t="shared" si="8"/>
        <v>477327.56947093853</v>
      </c>
      <c r="G17" s="25">
        <f t="shared" si="8"/>
        <v>547674.16820385505</v>
      </c>
      <c r="H17" s="25">
        <f t="shared" si="8"/>
        <v>570115.72370552528</v>
      </c>
      <c r="I17" s="25">
        <f t="shared" ref="I17:M17" si="9">I18+I19</f>
        <v>616157.64159479341</v>
      </c>
      <c r="J17" s="25">
        <f t="shared" si="9"/>
        <v>655860.11140086898</v>
      </c>
      <c r="K17" s="25">
        <f t="shared" si="9"/>
        <v>706405.08200968755</v>
      </c>
      <c r="L17" s="25">
        <f t="shared" si="9"/>
        <v>703259.20154958719</v>
      </c>
      <c r="M17" s="25">
        <f t="shared" si="9"/>
        <v>681588.09502325475</v>
      </c>
      <c r="N17" s="25">
        <f t="shared" ref="N17" si="10">N18+N19</f>
        <v>714973.55552284629</v>
      </c>
      <c r="O17" s="25">
        <f t="shared" ref="O17:P17" si="11">O18+O19</f>
        <v>819318.17640156928</v>
      </c>
      <c r="P17" s="25">
        <f t="shared" si="11"/>
        <v>865818.14246606245</v>
      </c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  <c r="CK17" s="26"/>
      <c r="CL17" s="26"/>
      <c r="CM17" s="26"/>
      <c r="CN17" s="26"/>
      <c r="CO17" s="26"/>
      <c r="CP17" s="26"/>
      <c r="CQ17" s="26"/>
      <c r="CR17" s="26"/>
      <c r="CS17" s="26"/>
      <c r="CT17" s="26"/>
      <c r="CU17" s="26"/>
      <c r="CV17" s="26"/>
      <c r="CW17" s="26"/>
      <c r="CX17" s="26"/>
      <c r="CY17" s="26"/>
      <c r="CZ17" s="26"/>
      <c r="DA17" s="26"/>
      <c r="DB17" s="26"/>
      <c r="DC17" s="26"/>
      <c r="DD17" s="26"/>
      <c r="DE17" s="26"/>
      <c r="DF17" s="26"/>
      <c r="DG17" s="26"/>
      <c r="DH17" s="26"/>
      <c r="DI17" s="26"/>
      <c r="DJ17" s="26"/>
      <c r="DK17" s="26"/>
      <c r="DL17" s="26"/>
      <c r="DM17" s="26"/>
      <c r="DN17" s="26"/>
      <c r="DO17" s="26"/>
      <c r="DP17" s="26"/>
      <c r="DQ17" s="26"/>
      <c r="DR17" s="26"/>
      <c r="DS17" s="26"/>
      <c r="DT17" s="26"/>
      <c r="DU17" s="26"/>
      <c r="DV17" s="26"/>
      <c r="DW17" s="26"/>
      <c r="DX17" s="26"/>
      <c r="DY17" s="26"/>
      <c r="DZ17" s="26"/>
      <c r="EA17" s="26"/>
      <c r="EB17" s="26"/>
      <c r="EC17" s="26"/>
      <c r="ED17" s="26"/>
      <c r="EE17" s="26"/>
      <c r="EF17" s="26"/>
      <c r="EG17" s="26"/>
      <c r="EH17" s="26"/>
      <c r="EI17" s="26"/>
      <c r="EJ17" s="26"/>
      <c r="EK17" s="26"/>
      <c r="EL17" s="26"/>
      <c r="EM17" s="26"/>
      <c r="EN17" s="26"/>
      <c r="EO17" s="26"/>
      <c r="EP17" s="26"/>
      <c r="EQ17" s="26"/>
      <c r="ER17" s="26"/>
      <c r="ES17" s="26"/>
      <c r="ET17" s="26"/>
      <c r="EU17" s="26"/>
      <c r="EV17" s="26"/>
      <c r="EW17" s="26"/>
      <c r="EX17" s="26"/>
      <c r="EY17" s="26"/>
      <c r="EZ17" s="26"/>
      <c r="FA17" s="26"/>
      <c r="FB17" s="26"/>
      <c r="FC17" s="26"/>
      <c r="FD17" s="26"/>
      <c r="FE17" s="26"/>
      <c r="FF17" s="26"/>
      <c r="FG17" s="26"/>
      <c r="FH17" s="26"/>
      <c r="FI17" s="26"/>
      <c r="FJ17" s="26"/>
      <c r="FK17" s="26"/>
      <c r="FL17" s="26"/>
      <c r="FM17" s="26"/>
      <c r="FN17" s="26"/>
      <c r="FO17" s="26"/>
      <c r="FP17" s="26"/>
      <c r="FQ17" s="26"/>
      <c r="FR17" s="26"/>
      <c r="FS17" s="26"/>
      <c r="FT17" s="26"/>
      <c r="FU17" s="26"/>
      <c r="FV17" s="26"/>
      <c r="FW17" s="26"/>
      <c r="FX17" s="26"/>
      <c r="FY17" s="26"/>
      <c r="FZ17" s="26"/>
      <c r="GA17" s="26"/>
      <c r="GB17" s="26"/>
      <c r="GC17" s="26"/>
      <c r="GG17" s="28"/>
    </row>
    <row r="18" spans="1:189" ht="15.75" x14ac:dyDescent="0.25">
      <c r="A18" s="16">
        <v>6.1</v>
      </c>
      <c r="B18" s="17" t="s">
        <v>8</v>
      </c>
      <c r="C18" s="9">
        <v>299702.43485154217</v>
      </c>
      <c r="D18" s="9">
        <v>313962.42203262233</v>
      </c>
      <c r="E18" s="9">
        <v>342504.86521785188</v>
      </c>
      <c r="F18" s="9">
        <v>426098.53150847531</v>
      </c>
      <c r="G18" s="9">
        <v>488310.66348974931</v>
      </c>
      <c r="H18" s="9">
        <v>502853.97351257398</v>
      </c>
      <c r="I18" s="9">
        <v>546290.83119107166</v>
      </c>
      <c r="J18" s="9">
        <v>584385.24845094897</v>
      </c>
      <c r="K18" s="9">
        <v>641541.6929345855</v>
      </c>
      <c r="L18" s="9">
        <v>717862.2282602255</v>
      </c>
      <c r="M18" s="9">
        <v>686297.91062325542</v>
      </c>
      <c r="N18" s="9">
        <v>692124.93739535089</v>
      </c>
      <c r="O18" s="9">
        <v>793319.32270989555</v>
      </c>
      <c r="P18" s="9">
        <v>820053.56190097332</v>
      </c>
      <c r="Q18" s="3"/>
      <c r="R18" s="4"/>
      <c r="S18" s="4"/>
      <c r="T18" s="3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1"/>
      <c r="GE18" s="1"/>
      <c r="GF18" s="1"/>
    </row>
    <row r="19" spans="1:189" ht="15.75" x14ac:dyDescent="0.25">
      <c r="A19" s="16">
        <v>6.2</v>
      </c>
      <c r="B19" s="17" t="s">
        <v>9</v>
      </c>
      <c r="C19" s="9">
        <v>83527.188951578937</v>
      </c>
      <c r="D19" s="9">
        <v>82243.107867971616</v>
      </c>
      <c r="E19" s="9">
        <v>80255.221638532006</v>
      </c>
      <c r="F19" s="9">
        <v>51229.037962463248</v>
      </c>
      <c r="G19" s="9">
        <v>59363.504714105773</v>
      </c>
      <c r="H19" s="9">
        <v>67261.750192951353</v>
      </c>
      <c r="I19" s="9">
        <v>69866.8104037218</v>
      </c>
      <c r="J19" s="9">
        <v>71474.862949919974</v>
      </c>
      <c r="K19" s="9">
        <v>64863.389075102052</v>
      </c>
      <c r="L19" s="9">
        <v>-14603.02671063826</v>
      </c>
      <c r="M19" s="9">
        <v>-4709.8156000006275</v>
      </c>
      <c r="N19" s="9">
        <v>22848.618127495371</v>
      </c>
      <c r="O19" s="9">
        <v>25998.853691673663</v>
      </c>
      <c r="P19" s="9">
        <v>45764.580565089185</v>
      </c>
      <c r="Q19" s="3"/>
      <c r="R19" s="4"/>
      <c r="S19" s="4"/>
      <c r="T19" s="3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1"/>
      <c r="GE19" s="1"/>
      <c r="GF19" s="1"/>
    </row>
    <row r="20" spans="1:189" s="27" customFormat="1" ht="30" x14ac:dyDescent="0.25">
      <c r="A20" s="41" t="s">
        <v>36</v>
      </c>
      <c r="B20" s="42" t="s">
        <v>10</v>
      </c>
      <c r="C20" s="25">
        <f>SUM(C21:C27)</f>
        <v>201375.71292592052</v>
      </c>
      <c r="D20" s="25">
        <f t="shared" ref="D20:J20" si="12">SUM(D21:D27)</f>
        <v>225316.89114905556</v>
      </c>
      <c r="E20" s="25">
        <f t="shared" si="12"/>
        <v>269150.13466732285</v>
      </c>
      <c r="F20" s="25">
        <f t="shared" si="12"/>
        <v>303719.60121344589</v>
      </c>
      <c r="G20" s="25">
        <f t="shared" si="12"/>
        <v>347997.73116270447</v>
      </c>
      <c r="H20" s="25">
        <f t="shared" si="12"/>
        <v>348179.65329770249</v>
      </c>
      <c r="I20" s="25">
        <f t="shared" si="12"/>
        <v>317599.91674579232</v>
      </c>
      <c r="J20" s="25">
        <f t="shared" si="12"/>
        <v>265552.28206052835</v>
      </c>
      <c r="K20" s="25">
        <f t="shared" ref="K20:P20" si="13">SUM(K21:K27)</f>
        <v>249437.94631263043</v>
      </c>
      <c r="L20" s="25">
        <f t="shared" si="13"/>
        <v>165437.93059280812</v>
      </c>
      <c r="M20" s="25">
        <f t="shared" si="13"/>
        <v>255594.65444965503</v>
      </c>
      <c r="N20" s="25">
        <f t="shared" si="13"/>
        <v>281218.32033765805</v>
      </c>
      <c r="O20" s="25">
        <f t="shared" si="13"/>
        <v>274119.20912832359</v>
      </c>
      <c r="P20" s="25">
        <f t="shared" si="13"/>
        <v>306926.30130095209</v>
      </c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  <c r="CK20" s="26"/>
      <c r="CL20" s="26"/>
      <c r="CM20" s="26"/>
      <c r="CN20" s="26"/>
      <c r="CO20" s="26"/>
      <c r="CP20" s="26"/>
      <c r="CQ20" s="26"/>
      <c r="CR20" s="26"/>
      <c r="CS20" s="26"/>
      <c r="CT20" s="26"/>
      <c r="CU20" s="26"/>
      <c r="CV20" s="26"/>
      <c r="CW20" s="26"/>
      <c r="CX20" s="26"/>
      <c r="CY20" s="26"/>
      <c r="CZ20" s="26"/>
      <c r="DA20" s="26"/>
      <c r="DB20" s="26"/>
      <c r="DC20" s="26"/>
      <c r="DD20" s="26"/>
      <c r="DE20" s="26"/>
      <c r="DF20" s="26"/>
      <c r="DG20" s="26"/>
      <c r="DH20" s="26"/>
      <c r="DI20" s="26"/>
      <c r="DJ20" s="26"/>
      <c r="DK20" s="26"/>
      <c r="DL20" s="26"/>
      <c r="DM20" s="26"/>
      <c r="DN20" s="26"/>
      <c r="DO20" s="26"/>
      <c r="DP20" s="26"/>
      <c r="DQ20" s="26"/>
      <c r="DR20" s="26"/>
      <c r="DS20" s="26"/>
      <c r="DT20" s="26"/>
      <c r="DU20" s="26"/>
      <c r="DV20" s="26"/>
      <c r="DW20" s="26"/>
      <c r="DX20" s="26"/>
      <c r="DY20" s="26"/>
      <c r="DZ20" s="26"/>
      <c r="EA20" s="26"/>
      <c r="EB20" s="26"/>
      <c r="EC20" s="26"/>
      <c r="ED20" s="26"/>
      <c r="EE20" s="26"/>
      <c r="EF20" s="26"/>
      <c r="EG20" s="26"/>
      <c r="EH20" s="26"/>
      <c r="EI20" s="26"/>
      <c r="EJ20" s="26"/>
      <c r="EK20" s="26"/>
      <c r="EL20" s="26"/>
      <c r="EM20" s="26"/>
      <c r="EN20" s="26"/>
      <c r="EO20" s="26"/>
      <c r="EP20" s="26"/>
      <c r="EQ20" s="26"/>
      <c r="ER20" s="26"/>
      <c r="ES20" s="26"/>
      <c r="ET20" s="26"/>
      <c r="EU20" s="26"/>
      <c r="EV20" s="26"/>
      <c r="EW20" s="26"/>
      <c r="EX20" s="26"/>
      <c r="EY20" s="26"/>
      <c r="EZ20" s="26"/>
      <c r="FA20" s="26"/>
      <c r="FB20" s="26"/>
      <c r="FC20" s="26"/>
      <c r="FD20" s="26"/>
      <c r="FE20" s="26"/>
      <c r="FF20" s="26"/>
      <c r="FG20" s="26"/>
      <c r="FH20" s="26"/>
      <c r="FI20" s="26"/>
      <c r="FJ20" s="26"/>
      <c r="FK20" s="26"/>
      <c r="FL20" s="26"/>
      <c r="FM20" s="26"/>
      <c r="FN20" s="26"/>
      <c r="FO20" s="26"/>
      <c r="FP20" s="26"/>
      <c r="FQ20" s="26"/>
      <c r="FR20" s="26"/>
      <c r="FS20" s="26"/>
      <c r="FT20" s="26"/>
      <c r="FU20" s="26"/>
      <c r="FV20" s="26"/>
      <c r="FW20" s="26"/>
      <c r="FX20" s="26"/>
      <c r="FY20" s="26"/>
      <c r="FZ20" s="26"/>
      <c r="GA20" s="26"/>
      <c r="GB20" s="26"/>
      <c r="GC20" s="26"/>
      <c r="GG20" s="28"/>
    </row>
    <row r="21" spans="1:189" ht="15.75" x14ac:dyDescent="0.25">
      <c r="A21" s="16">
        <v>7.1</v>
      </c>
      <c r="B21" s="17" t="s">
        <v>11</v>
      </c>
      <c r="C21" s="9">
        <v>1087</v>
      </c>
      <c r="D21" s="9">
        <v>1157</v>
      </c>
      <c r="E21" s="9">
        <v>1265</v>
      </c>
      <c r="F21" s="9">
        <v>1443</v>
      </c>
      <c r="G21" s="9">
        <v>1372</v>
      </c>
      <c r="H21" s="9">
        <v>1456.6571400000003</v>
      </c>
      <c r="I21" s="9">
        <v>434</v>
      </c>
      <c r="J21" s="9">
        <v>608</v>
      </c>
      <c r="K21" s="9">
        <v>239.78162911611798</v>
      </c>
      <c r="L21" s="9">
        <v>169.82605231708942</v>
      </c>
      <c r="M21" s="9">
        <v>530.69730253593934</v>
      </c>
      <c r="N21" s="9">
        <v>1136.4767932489458</v>
      </c>
      <c r="O21" s="9">
        <v>2139.5635868556219</v>
      </c>
      <c r="P21" s="9">
        <v>2652.5038403238041</v>
      </c>
      <c r="Q21" s="3"/>
      <c r="R21" s="4"/>
      <c r="S21" s="4"/>
      <c r="T21" s="3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1"/>
      <c r="GE21" s="1"/>
      <c r="GF21" s="1"/>
    </row>
    <row r="22" spans="1:189" ht="15.75" x14ac:dyDescent="0.25">
      <c r="A22" s="16">
        <v>7.2</v>
      </c>
      <c r="B22" s="17" t="s">
        <v>12</v>
      </c>
      <c r="C22" s="9">
        <v>95695.573329920502</v>
      </c>
      <c r="D22" s="9">
        <v>119166.92106570254</v>
      </c>
      <c r="E22" s="9">
        <v>150951.46259307026</v>
      </c>
      <c r="F22" s="9">
        <v>170166.85992570751</v>
      </c>
      <c r="G22" s="9">
        <v>178476.22206498191</v>
      </c>
      <c r="H22" s="9">
        <v>173009.57665018959</v>
      </c>
      <c r="I22" s="9">
        <v>161158.23760117701</v>
      </c>
      <c r="J22" s="9">
        <v>134260.53406612662</v>
      </c>
      <c r="K22" s="9">
        <v>111440.34141832497</v>
      </c>
      <c r="L22" s="9">
        <v>36822.522664952994</v>
      </c>
      <c r="M22" s="9">
        <v>109686.68256160273</v>
      </c>
      <c r="N22" s="9">
        <v>109426.94669388438</v>
      </c>
      <c r="O22" s="9">
        <v>106033.28339927201</v>
      </c>
      <c r="P22" s="9">
        <v>117625.89971790899</v>
      </c>
      <c r="Q22" s="3"/>
      <c r="R22" s="4"/>
      <c r="S22" s="4"/>
      <c r="T22" s="3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1"/>
      <c r="GE22" s="1"/>
      <c r="GF22" s="1"/>
    </row>
    <row r="23" spans="1:189" ht="15.75" x14ac:dyDescent="0.25">
      <c r="A23" s="16">
        <v>7.3</v>
      </c>
      <c r="B23" s="17" t="s">
        <v>13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-1</v>
      </c>
      <c r="P23" s="9">
        <v>-2</v>
      </c>
      <c r="Q23" s="3"/>
      <c r="R23" s="4"/>
      <c r="S23" s="4"/>
      <c r="T23" s="3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1"/>
      <c r="GE23" s="1"/>
      <c r="GF23" s="1"/>
    </row>
    <row r="24" spans="1:189" ht="15.75" x14ac:dyDescent="0.25">
      <c r="A24" s="16">
        <v>7.4</v>
      </c>
      <c r="B24" s="17" t="s">
        <v>14</v>
      </c>
      <c r="C24" s="9">
        <v>505.60829999999999</v>
      </c>
      <c r="D24" s="9">
        <v>925.79881386861302</v>
      </c>
      <c r="E24" s="9">
        <v>587.04680851063836</v>
      </c>
      <c r="F24" s="9">
        <v>1330.2619930058568</v>
      </c>
      <c r="G24" s="9">
        <v>682.02362367006981</v>
      </c>
      <c r="H24" s="9">
        <v>848.04417205406094</v>
      </c>
      <c r="I24" s="9">
        <v>928.92589248994409</v>
      </c>
      <c r="J24" s="9">
        <v>305.5808383233533</v>
      </c>
      <c r="K24" s="9">
        <v>505.60080878105157</v>
      </c>
      <c r="L24" s="9">
        <v>-7.3903864028681028</v>
      </c>
      <c r="M24" s="9">
        <v>-38.30344277556776</v>
      </c>
      <c r="N24" s="9">
        <v>215.18473362244049</v>
      </c>
      <c r="O24" s="9">
        <v>754.43612374179429</v>
      </c>
      <c r="P24" s="9">
        <v>826.24132259968928</v>
      </c>
      <c r="Q24" s="3"/>
      <c r="R24" s="4"/>
      <c r="S24" s="4"/>
      <c r="T24" s="3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1"/>
      <c r="GE24" s="1"/>
      <c r="GF24" s="1"/>
    </row>
    <row r="25" spans="1:189" ht="15.75" x14ac:dyDescent="0.25">
      <c r="A25" s="16">
        <v>7.5</v>
      </c>
      <c r="B25" s="17" t="s">
        <v>15</v>
      </c>
      <c r="C25" s="9">
        <v>458.8578</v>
      </c>
      <c r="D25" s="9">
        <v>623</v>
      </c>
      <c r="E25" s="9">
        <v>903.21662583368607</v>
      </c>
      <c r="F25" s="9">
        <v>1118.6354568809354</v>
      </c>
      <c r="G25" s="9">
        <v>1365.9420885730569</v>
      </c>
      <c r="H25" s="9">
        <v>4851.0577084734896</v>
      </c>
      <c r="I25" s="9">
        <v>5205.5598050838807</v>
      </c>
      <c r="J25" s="9">
        <v>4058.029546591697</v>
      </c>
      <c r="K25" s="9">
        <v>4073.3302935839201</v>
      </c>
      <c r="L25" s="9">
        <v>1501.5148054707211</v>
      </c>
      <c r="M25" s="9">
        <v>2350.9848372390361</v>
      </c>
      <c r="N25" s="9">
        <v>3166.6783051845655</v>
      </c>
      <c r="O25" s="9">
        <v>4064.5200770289657</v>
      </c>
      <c r="P25" s="9">
        <v>4774.21499473521</v>
      </c>
      <c r="Q25" s="3"/>
      <c r="R25" s="4"/>
      <c r="S25" s="4"/>
      <c r="T25" s="3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1"/>
      <c r="GE25" s="1"/>
      <c r="GF25" s="1"/>
    </row>
    <row r="26" spans="1:189" ht="15.75" x14ac:dyDescent="0.25">
      <c r="A26" s="16">
        <v>7.6</v>
      </c>
      <c r="B26" s="17" t="s">
        <v>16</v>
      </c>
      <c r="C26" s="9">
        <v>140.11439999999999</v>
      </c>
      <c r="D26" s="9">
        <v>142.85972419849065</v>
      </c>
      <c r="E26" s="9">
        <v>89.288568393348569</v>
      </c>
      <c r="F26" s="9">
        <v>105.54529647516857</v>
      </c>
      <c r="G26" s="9">
        <v>104.61278971915836</v>
      </c>
      <c r="H26" s="9">
        <v>433.05095984714615</v>
      </c>
      <c r="I26" s="9">
        <v>95.224235711335126</v>
      </c>
      <c r="J26" s="9">
        <v>197.64254651241816</v>
      </c>
      <c r="K26" s="9">
        <v>123.13835117865599</v>
      </c>
      <c r="L26" s="9">
        <v>55.280686188464315</v>
      </c>
      <c r="M26" s="9">
        <v>160.20455889866108</v>
      </c>
      <c r="N26" s="9">
        <v>119.76051481849584</v>
      </c>
      <c r="O26" s="9">
        <v>121.43018802160759</v>
      </c>
      <c r="P26" s="9">
        <v>126.25819289881679</v>
      </c>
      <c r="Q26" s="3"/>
      <c r="R26" s="4"/>
      <c r="S26" s="4"/>
      <c r="T26" s="3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1"/>
      <c r="GE26" s="1"/>
      <c r="GF26" s="1"/>
    </row>
    <row r="27" spans="1:189" ht="30" x14ac:dyDescent="0.25">
      <c r="A27" s="16">
        <v>7.7</v>
      </c>
      <c r="B27" s="17" t="s">
        <v>17</v>
      </c>
      <c r="C27" s="9">
        <v>103488.55909600001</v>
      </c>
      <c r="D27" s="9">
        <v>103301.31154528592</v>
      </c>
      <c r="E27" s="9">
        <v>115354.12007151489</v>
      </c>
      <c r="F27" s="9">
        <v>129555.29854137643</v>
      </c>
      <c r="G27" s="9">
        <v>165996.93059576026</v>
      </c>
      <c r="H27" s="9">
        <v>167581.2666671382</v>
      </c>
      <c r="I27" s="9">
        <v>149777.96921133017</v>
      </c>
      <c r="J27" s="9">
        <v>126122.49506297425</v>
      </c>
      <c r="K27" s="9">
        <v>133055.75381164573</v>
      </c>
      <c r="L27" s="9">
        <v>126896.17677028172</v>
      </c>
      <c r="M27" s="9">
        <v>142904.38863215421</v>
      </c>
      <c r="N27" s="9">
        <v>167153.27329689922</v>
      </c>
      <c r="O27" s="9">
        <v>161006.97575340362</v>
      </c>
      <c r="P27" s="9">
        <v>180923.18323248561</v>
      </c>
      <c r="Q27" s="3"/>
      <c r="R27" s="4"/>
      <c r="S27" s="4"/>
      <c r="T27" s="3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1"/>
      <c r="GE27" s="1"/>
      <c r="GF27" s="1"/>
    </row>
    <row r="28" spans="1:189" ht="15.75" x14ac:dyDescent="0.25">
      <c r="A28" s="18" t="s">
        <v>37</v>
      </c>
      <c r="B28" s="17" t="s">
        <v>18</v>
      </c>
      <c r="C28" s="9">
        <v>282809</v>
      </c>
      <c r="D28" s="9">
        <v>306678</v>
      </c>
      <c r="E28" s="9">
        <v>299134</v>
      </c>
      <c r="F28" s="9">
        <v>361982</v>
      </c>
      <c r="G28" s="9">
        <v>387335</v>
      </c>
      <c r="H28" s="9">
        <v>392701</v>
      </c>
      <c r="I28" s="9">
        <v>316212</v>
      </c>
      <c r="J28" s="9">
        <v>318329</v>
      </c>
      <c r="K28" s="9">
        <v>331808</v>
      </c>
      <c r="L28" s="9">
        <v>343768</v>
      </c>
      <c r="M28" s="9">
        <v>366411</v>
      </c>
      <c r="N28" s="9">
        <v>371738</v>
      </c>
      <c r="O28" s="9">
        <v>391194.67661262501</v>
      </c>
      <c r="P28" s="9">
        <v>423864.63071013289</v>
      </c>
      <c r="Q28" s="3"/>
      <c r="R28" s="4"/>
      <c r="S28" s="4"/>
      <c r="T28" s="3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1"/>
      <c r="GE28" s="1"/>
      <c r="GF28" s="1"/>
    </row>
    <row r="29" spans="1:189" ht="30" x14ac:dyDescent="0.25">
      <c r="A29" s="18" t="s">
        <v>38</v>
      </c>
      <c r="B29" s="17" t="s">
        <v>19</v>
      </c>
      <c r="C29" s="9">
        <v>562842.50534000003</v>
      </c>
      <c r="D29" s="9">
        <v>622769.99210814247</v>
      </c>
      <c r="E29" s="9">
        <v>672971.2430270107</v>
      </c>
      <c r="F29" s="9">
        <v>713093.0689106459</v>
      </c>
      <c r="G29" s="9">
        <v>718667.67818794365</v>
      </c>
      <c r="H29" s="9">
        <v>752938.70327588788</v>
      </c>
      <c r="I29" s="9">
        <v>858337.75113781344</v>
      </c>
      <c r="J29" s="9">
        <v>924156.95899710129</v>
      </c>
      <c r="K29" s="9">
        <v>892211.47432563873</v>
      </c>
      <c r="L29" s="9">
        <v>853786.51670133788</v>
      </c>
      <c r="M29" s="9">
        <v>951391.75955360522</v>
      </c>
      <c r="N29" s="9">
        <v>1046693.4967130357</v>
      </c>
      <c r="O29" s="9">
        <v>1140961.9321501891</v>
      </c>
      <c r="P29" s="9">
        <v>1204278.4652492497</v>
      </c>
      <c r="Q29" s="3"/>
      <c r="R29" s="4"/>
      <c r="S29" s="4"/>
      <c r="T29" s="3"/>
      <c r="U29" s="5"/>
      <c r="V29" s="5"/>
      <c r="W29" s="5"/>
      <c r="X29" s="5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1"/>
      <c r="GE29" s="1"/>
      <c r="GF29" s="1"/>
    </row>
    <row r="30" spans="1:189" ht="15.75" x14ac:dyDescent="0.25">
      <c r="A30" s="18" t="s">
        <v>39</v>
      </c>
      <c r="B30" s="17" t="s">
        <v>54</v>
      </c>
      <c r="C30" s="9">
        <v>290117</v>
      </c>
      <c r="D30" s="9">
        <v>310765.56250000006</v>
      </c>
      <c r="E30" s="9">
        <v>305841.34527439025</v>
      </c>
      <c r="F30" s="9">
        <v>323726.72060206957</v>
      </c>
      <c r="G30" s="9">
        <v>326491.02994958241</v>
      </c>
      <c r="H30" s="9">
        <v>357693.95467874792</v>
      </c>
      <c r="I30" s="9">
        <v>408643.30805831758</v>
      </c>
      <c r="J30" s="9">
        <v>429466.55335680465</v>
      </c>
      <c r="K30" s="9">
        <v>454296.5725948342</v>
      </c>
      <c r="L30" s="9">
        <v>442749.34778246033</v>
      </c>
      <c r="M30" s="9">
        <v>438996.04743082996</v>
      </c>
      <c r="N30" s="9">
        <v>535478.2608695653</v>
      </c>
      <c r="O30" s="9">
        <v>539105.09348625958</v>
      </c>
      <c r="P30" s="9">
        <v>554050.81135283248</v>
      </c>
      <c r="Q30" s="3"/>
      <c r="R30" s="4"/>
      <c r="S30" s="4"/>
      <c r="T30" s="3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1"/>
      <c r="GE30" s="1"/>
      <c r="GF30" s="1"/>
    </row>
    <row r="31" spans="1:189" ht="15.75" x14ac:dyDescent="0.25">
      <c r="A31" s="18" t="s">
        <v>40</v>
      </c>
      <c r="B31" s="17" t="s">
        <v>20</v>
      </c>
      <c r="C31" s="9">
        <v>587166.90651559143</v>
      </c>
      <c r="D31" s="9">
        <v>637655.34592199337</v>
      </c>
      <c r="E31" s="9">
        <v>645673.42497888487</v>
      </c>
      <c r="F31" s="9">
        <v>700610.26115297806</v>
      </c>
      <c r="G31" s="9">
        <v>758759.1365403668</v>
      </c>
      <c r="H31" s="9">
        <v>833989.85989833693</v>
      </c>
      <c r="I31" s="9">
        <v>887739.670688182</v>
      </c>
      <c r="J31" s="9">
        <v>908818.29030066542</v>
      </c>
      <c r="K31" s="9">
        <v>960458.56667585694</v>
      </c>
      <c r="L31" s="9">
        <v>896731.59408897359</v>
      </c>
      <c r="M31" s="9">
        <v>953552.0408841999</v>
      </c>
      <c r="N31" s="9">
        <v>1067453.4715408459</v>
      </c>
      <c r="O31" s="9">
        <v>1155877.1723188912</v>
      </c>
      <c r="P31" s="9">
        <v>1199513.0142100519</v>
      </c>
      <c r="Q31" s="3"/>
      <c r="R31" s="4"/>
      <c r="S31" s="4"/>
      <c r="T31" s="3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1"/>
      <c r="GE31" s="1"/>
      <c r="GF31" s="1"/>
    </row>
    <row r="32" spans="1:189" s="28" customFormat="1" ht="15.75" x14ac:dyDescent="0.25">
      <c r="A32" s="29"/>
      <c r="B32" s="30" t="s">
        <v>30</v>
      </c>
      <c r="C32" s="31">
        <f>C17+C20+C28+C29+C30+C31</f>
        <v>2307540.7485846332</v>
      </c>
      <c r="D32" s="31">
        <f t="shared" ref="D32:M32" si="14">D17+D20+D28+D29+D30+D31</f>
        <v>2499391.3215797851</v>
      </c>
      <c r="E32" s="31">
        <f t="shared" si="14"/>
        <v>2615530.2348039923</v>
      </c>
      <c r="F32" s="31">
        <f t="shared" si="14"/>
        <v>2880459.221350078</v>
      </c>
      <c r="G32" s="31">
        <f t="shared" si="14"/>
        <v>3086924.7440444524</v>
      </c>
      <c r="H32" s="31">
        <f t="shared" si="14"/>
        <v>3255618.8948562006</v>
      </c>
      <c r="I32" s="31">
        <f t="shared" si="14"/>
        <v>3404690.2882248992</v>
      </c>
      <c r="J32" s="31">
        <f t="shared" si="14"/>
        <v>3502183.1961159687</v>
      </c>
      <c r="K32" s="31">
        <f t="shared" si="14"/>
        <v>3594617.641918648</v>
      </c>
      <c r="L32" s="31">
        <f t="shared" si="14"/>
        <v>3405732.5907151671</v>
      </c>
      <c r="M32" s="31">
        <f t="shared" si="14"/>
        <v>3647533.5973415454</v>
      </c>
      <c r="N32" s="31">
        <f t="shared" ref="N32" si="15">N17+N20+N28+N29+N30+N31</f>
        <v>4017555.1049839514</v>
      </c>
      <c r="O32" s="31">
        <f t="shared" ref="O32" si="16">O17+O20+O28+O29+O30+O31</f>
        <v>4320576.2600978576</v>
      </c>
      <c r="P32" s="31">
        <f t="shared" ref="P32" si="17">P17+P20+P28+P29+P30+P31</f>
        <v>4554451.3652892811</v>
      </c>
      <c r="Q32" s="3"/>
      <c r="R32" s="4"/>
      <c r="S32" s="4"/>
      <c r="T32" s="3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  <c r="CI32" s="32"/>
      <c r="CJ32" s="32"/>
      <c r="CK32" s="32"/>
      <c r="CL32" s="32"/>
      <c r="CM32" s="32"/>
      <c r="CN32" s="32"/>
      <c r="CO32" s="32"/>
      <c r="CP32" s="32"/>
      <c r="CQ32" s="32"/>
      <c r="CR32" s="32"/>
      <c r="CS32" s="32"/>
      <c r="CT32" s="32"/>
      <c r="CU32" s="32"/>
      <c r="CV32" s="32"/>
      <c r="CW32" s="32"/>
      <c r="CX32" s="32"/>
      <c r="CY32" s="32"/>
      <c r="CZ32" s="32"/>
      <c r="DA32" s="32"/>
      <c r="DB32" s="32"/>
      <c r="DC32" s="32"/>
      <c r="DD32" s="32"/>
      <c r="DE32" s="32"/>
      <c r="DF32" s="26"/>
      <c r="DG32" s="26"/>
      <c r="DH32" s="26"/>
      <c r="DI32" s="26"/>
      <c r="DJ32" s="26"/>
      <c r="DK32" s="26"/>
      <c r="DL32" s="26"/>
      <c r="DM32" s="26"/>
      <c r="DN32" s="26"/>
      <c r="DO32" s="26"/>
      <c r="DP32" s="26"/>
      <c r="DQ32" s="26"/>
      <c r="DR32" s="26"/>
      <c r="DS32" s="26"/>
      <c r="DT32" s="26"/>
      <c r="DU32" s="26"/>
      <c r="DV32" s="26"/>
      <c r="DW32" s="26"/>
      <c r="DX32" s="26"/>
      <c r="DY32" s="32"/>
      <c r="DZ32" s="32"/>
      <c r="EA32" s="32"/>
      <c r="EB32" s="32"/>
      <c r="EC32" s="32"/>
      <c r="ED32" s="32"/>
      <c r="EE32" s="32"/>
      <c r="EF32" s="32"/>
      <c r="EG32" s="32"/>
      <c r="EH32" s="32"/>
      <c r="EI32" s="32"/>
      <c r="EJ32" s="32"/>
      <c r="EK32" s="32"/>
      <c r="EL32" s="32"/>
      <c r="EM32" s="32"/>
      <c r="EN32" s="32"/>
      <c r="EO32" s="32"/>
      <c r="EP32" s="32"/>
      <c r="EQ32" s="32"/>
      <c r="ER32" s="32"/>
      <c r="ES32" s="32"/>
      <c r="ET32" s="32"/>
      <c r="EU32" s="32"/>
      <c r="EV32" s="32"/>
      <c r="EW32" s="32"/>
      <c r="EX32" s="32"/>
      <c r="EY32" s="32"/>
      <c r="EZ32" s="32"/>
      <c r="FA32" s="32"/>
      <c r="FB32" s="32"/>
      <c r="FC32" s="32"/>
      <c r="FD32" s="32"/>
      <c r="FE32" s="32"/>
      <c r="FF32" s="32"/>
      <c r="FG32" s="32"/>
      <c r="FH32" s="32"/>
      <c r="FI32" s="32"/>
      <c r="FJ32" s="32"/>
      <c r="FK32" s="32"/>
      <c r="FL32" s="32"/>
      <c r="FM32" s="32"/>
      <c r="FN32" s="32"/>
      <c r="FO32" s="32"/>
      <c r="FP32" s="32"/>
      <c r="FQ32" s="32"/>
      <c r="FR32" s="32"/>
      <c r="FS32" s="32"/>
      <c r="FT32" s="32"/>
      <c r="FU32" s="32"/>
      <c r="FV32" s="32"/>
      <c r="FW32" s="32"/>
      <c r="FX32" s="32"/>
      <c r="FY32" s="32"/>
      <c r="FZ32" s="32"/>
      <c r="GA32" s="32"/>
      <c r="GB32" s="32"/>
      <c r="GC32" s="32"/>
      <c r="GD32" s="27"/>
      <c r="GE32" s="27"/>
      <c r="GF32" s="27"/>
    </row>
    <row r="33" spans="1:189" s="27" customFormat="1" ht="15.75" x14ac:dyDescent="0.25">
      <c r="A33" s="23" t="s">
        <v>27</v>
      </c>
      <c r="B33" s="33" t="s">
        <v>51</v>
      </c>
      <c r="C33" s="25">
        <f>C6+C11+C13+C14+C15+C17+C20+C28+C29+C30+C31</f>
        <v>5721919.9813676812</v>
      </c>
      <c r="D33" s="25">
        <f t="shared" ref="D33:M33" si="18">D6+D11+D13+D14+D15+D17+D20+D28+D29+D30+D31</f>
        <v>6125993.0685085934</v>
      </c>
      <c r="E33" s="25">
        <f t="shared" si="18"/>
        <v>6584082.7348154429</v>
      </c>
      <c r="F33" s="25">
        <f t="shared" si="18"/>
        <v>7059468.5964729916</v>
      </c>
      <c r="G33" s="25">
        <f t="shared" si="18"/>
        <v>7621451.0617189929</v>
      </c>
      <c r="H33" s="25">
        <f t="shared" si="18"/>
        <v>8337445.5865514204</v>
      </c>
      <c r="I33" s="25">
        <f t="shared" si="18"/>
        <v>8824845.7990284264</v>
      </c>
      <c r="J33" s="25">
        <f t="shared" si="18"/>
        <v>9281879.4956707507</v>
      </c>
      <c r="K33" s="25">
        <f t="shared" si="18"/>
        <v>9618900.9392934181</v>
      </c>
      <c r="L33" s="25">
        <f t="shared" si="18"/>
        <v>9075350.5882488098</v>
      </c>
      <c r="M33" s="25">
        <f t="shared" si="18"/>
        <v>9457802.5148703344</v>
      </c>
      <c r="N33" s="25">
        <f t="shared" ref="N33" si="19">N6+N11+N13+N14+N15+N17+N20+N28+N29+N30+N31</f>
        <v>10111040.426434504</v>
      </c>
      <c r="O33" s="25">
        <f t="shared" ref="O33" si="20">O6+O11+O13+O14+O15+O17+O20+O28+O29+O30+O31</f>
        <v>10785523.706465473</v>
      </c>
      <c r="P33" s="25">
        <f t="shared" ref="P33" si="21">P6+P11+P13+P14+P15+P17+P20+P28+P29+P30+P31</f>
        <v>11418538.707724623</v>
      </c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  <c r="CK33" s="26"/>
      <c r="CL33" s="26"/>
      <c r="CM33" s="26"/>
      <c r="CN33" s="26"/>
      <c r="CO33" s="26"/>
      <c r="CP33" s="26"/>
      <c r="CQ33" s="26"/>
      <c r="CR33" s="26"/>
      <c r="CS33" s="26"/>
      <c r="CT33" s="26"/>
      <c r="CU33" s="26"/>
      <c r="CV33" s="26"/>
      <c r="CW33" s="26"/>
      <c r="CX33" s="26"/>
      <c r="CY33" s="26"/>
      <c r="CZ33" s="26"/>
      <c r="DA33" s="26"/>
      <c r="DB33" s="26"/>
      <c r="DC33" s="26"/>
      <c r="DD33" s="26"/>
      <c r="DE33" s="26"/>
      <c r="DF33" s="26"/>
      <c r="DG33" s="26"/>
      <c r="DH33" s="26"/>
      <c r="DI33" s="26"/>
      <c r="DJ33" s="26"/>
      <c r="DK33" s="26"/>
      <c r="DL33" s="26"/>
      <c r="DM33" s="26"/>
      <c r="DN33" s="26"/>
      <c r="DO33" s="26"/>
      <c r="DP33" s="26"/>
      <c r="DQ33" s="26"/>
      <c r="DR33" s="26"/>
      <c r="DS33" s="26"/>
      <c r="DT33" s="26"/>
      <c r="DU33" s="26"/>
      <c r="DV33" s="26"/>
      <c r="DW33" s="26"/>
      <c r="DX33" s="26"/>
      <c r="DY33" s="26"/>
      <c r="DZ33" s="26"/>
      <c r="EA33" s="26"/>
      <c r="EB33" s="26"/>
      <c r="EC33" s="26"/>
      <c r="ED33" s="26"/>
      <c r="EE33" s="26"/>
      <c r="EF33" s="26"/>
      <c r="EG33" s="26"/>
      <c r="EH33" s="26"/>
      <c r="EI33" s="26"/>
      <c r="EJ33" s="26"/>
      <c r="EK33" s="26"/>
      <c r="EL33" s="26"/>
      <c r="EM33" s="26"/>
      <c r="EN33" s="26"/>
      <c r="EO33" s="26"/>
      <c r="EP33" s="26"/>
      <c r="EQ33" s="26"/>
      <c r="ER33" s="26"/>
      <c r="ES33" s="26"/>
      <c r="ET33" s="26"/>
      <c r="EU33" s="26"/>
      <c r="EV33" s="26"/>
      <c r="EW33" s="26"/>
      <c r="EX33" s="26"/>
      <c r="EY33" s="26"/>
      <c r="EZ33" s="26"/>
      <c r="FA33" s="26"/>
      <c r="FB33" s="26"/>
      <c r="FC33" s="26"/>
      <c r="FD33" s="26"/>
      <c r="FE33" s="26"/>
      <c r="FF33" s="26"/>
      <c r="FG33" s="26"/>
      <c r="FH33" s="26"/>
      <c r="FI33" s="26"/>
      <c r="FJ33" s="26"/>
      <c r="FK33" s="26"/>
      <c r="FL33" s="26"/>
      <c r="FM33" s="26"/>
      <c r="FN33" s="26"/>
      <c r="FO33" s="26"/>
      <c r="FP33" s="26"/>
      <c r="FQ33" s="26"/>
      <c r="FR33" s="26"/>
      <c r="FS33" s="26"/>
      <c r="FT33" s="26"/>
      <c r="FU33" s="26"/>
      <c r="FV33" s="26"/>
      <c r="FW33" s="26"/>
      <c r="FX33" s="26"/>
      <c r="FY33" s="26"/>
      <c r="FZ33" s="26"/>
      <c r="GA33" s="26"/>
      <c r="GB33" s="26"/>
      <c r="GC33" s="26"/>
      <c r="GG33" s="28"/>
    </row>
    <row r="34" spans="1:189" s="28" customFormat="1" ht="15.75" x14ac:dyDescent="0.25">
      <c r="A34" s="34" t="s">
        <v>43</v>
      </c>
      <c r="B34" s="35" t="s">
        <v>25</v>
      </c>
      <c r="C34" s="31">
        <f>GSVA_const!C34</f>
        <v>551418</v>
      </c>
      <c r="D34" s="31">
        <f>GSVA_const!D34</f>
        <v>573527.82497359731</v>
      </c>
      <c r="E34" s="31">
        <f>GSVA_const!E34</f>
        <v>583922.37646954646</v>
      </c>
      <c r="F34" s="31">
        <f>GSVA_const!F34</f>
        <v>633383.16876686446</v>
      </c>
      <c r="G34" s="31">
        <f>GSVA_const!G34</f>
        <v>684976</v>
      </c>
      <c r="H34" s="31">
        <f>GSVA_const!H34</f>
        <v>737379.9944467661</v>
      </c>
      <c r="I34" s="31">
        <f>GSVA_const!I34</f>
        <v>767612.55945205886</v>
      </c>
      <c r="J34" s="31">
        <f>GSVA_const!J34</f>
        <v>880345.99497264274</v>
      </c>
      <c r="K34" s="31">
        <f>GSVA_const!K34</f>
        <v>956249</v>
      </c>
      <c r="L34" s="31">
        <f>GSVA_const!L34</f>
        <v>906800.46560621122</v>
      </c>
      <c r="M34" s="31">
        <f>GSVA_const!M34</f>
        <v>947258.31669736723</v>
      </c>
      <c r="N34" s="31">
        <f>GSVA_const!N34</f>
        <v>929213.23712516041</v>
      </c>
      <c r="O34" s="31">
        <f>GSVA_const!O34</f>
        <v>986753.26800632197</v>
      </c>
      <c r="P34" s="31">
        <f>GSVA_const!P34</f>
        <v>1042270.3585650543</v>
      </c>
      <c r="Q34" s="3"/>
      <c r="R34" s="4"/>
      <c r="S34" s="4"/>
      <c r="T34" s="3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  <c r="CI34" s="32"/>
      <c r="CJ34" s="32"/>
      <c r="CK34" s="32"/>
      <c r="CL34" s="32"/>
      <c r="CM34" s="32"/>
      <c r="CN34" s="32"/>
      <c r="CO34" s="32"/>
      <c r="CP34" s="32"/>
      <c r="CQ34" s="32"/>
      <c r="CR34" s="32"/>
      <c r="CS34" s="32"/>
      <c r="CT34" s="32"/>
      <c r="CU34" s="32"/>
      <c r="CV34" s="32"/>
      <c r="CW34" s="32"/>
      <c r="CX34" s="32"/>
      <c r="CY34" s="32"/>
      <c r="CZ34" s="32"/>
      <c r="DA34" s="32"/>
      <c r="DB34" s="32"/>
      <c r="DC34" s="32"/>
      <c r="DD34" s="32"/>
      <c r="DE34" s="32"/>
      <c r="DF34" s="26"/>
      <c r="DG34" s="26"/>
      <c r="DH34" s="26"/>
      <c r="DI34" s="26"/>
      <c r="DJ34" s="26"/>
      <c r="DK34" s="26"/>
      <c r="DL34" s="26"/>
      <c r="DM34" s="26"/>
      <c r="DN34" s="26"/>
      <c r="DO34" s="26"/>
      <c r="DP34" s="26"/>
      <c r="DQ34" s="26"/>
      <c r="DR34" s="26"/>
      <c r="DS34" s="26"/>
      <c r="DT34" s="26"/>
      <c r="DU34" s="26"/>
      <c r="DV34" s="26"/>
      <c r="DW34" s="26"/>
      <c r="DX34" s="26"/>
      <c r="DY34" s="32"/>
      <c r="DZ34" s="32"/>
      <c r="EA34" s="32"/>
      <c r="EB34" s="32"/>
      <c r="EC34" s="32"/>
      <c r="ED34" s="32"/>
      <c r="EE34" s="32"/>
      <c r="EF34" s="32"/>
      <c r="EG34" s="32"/>
      <c r="EH34" s="32"/>
      <c r="EI34" s="32"/>
      <c r="EJ34" s="32"/>
      <c r="EK34" s="32"/>
      <c r="EL34" s="32"/>
      <c r="EM34" s="32"/>
      <c r="EN34" s="32"/>
      <c r="EO34" s="32"/>
      <c r="EP34" s="32"/>
      <c r="EQ34" s="32"/>
      <c r="ER34" s="32"/>
      <c r="ES34" s="32"/>
      <c r="ET34" s="32"/>
      <c r="EU34" s="32"/>
      <c r="EV34" s="32"/>
      <c r="EW34" s="32"/>
      <c r="EX34" s="32"/>
      <c r="EY34" s="32"/>
      <c r="EZ34" s="32"/>
      <c r="FA34" s="32"/>
      <c r="FB34" s="32"/>
      <c r="FC34" s="32"/>
      <c r="FD34" s="32"/>
      <c r="FE34" s="32"/>
      <c r="FF34" s="32"/>
      <c r="FG34" s="32"/>
      <c r="FH34" s="32"/>
      <c r="FI34" s="32"/>
      <c r="FJ34" s="32"/>
      <c r="FK34" s="32"/>
      <c r="FL34" s="32"/>
      <c r="FM34" s="32"/>
      <c r="FN34" s="32"/>
      <c r="FO34" s="32"/>
      <c r="FP34" s="32"/>
      <c r="FQ34" s="32"/>
      <c r="FR34" s="32"/>
      <c r="FS34" s="32"/>
      <c r="FT34" s="32"/>
      <c r="FU34" s="32"/>
      <c r="FV34" s="32"/>
      <c r="FW34" s="32"/>
      <c r="FX34" s="32"/>
      <c r="FY34" s="32"/>
      <c r="FZ34" s="32"/>
      <c r="GA34" s="32"/>
      <c r="GB34" s="32"/>
    </row>
    <row r="35" spans="1:189" s="28" customFormat="1" ht="15.75" x14ac:dyDescent="0.25">
      <c r="A35" s="34" t="s">
        <v>44</v>
      </c>
      <c r="B35" s="35" t="s">
        <v>24</v>
      </c>
      <c r="C35" s="31">
        <f>GSVA_const!C35</f>
        <v>219713</v>
      </c>
      <c r="D35" s="31">
        <f>GSVA_const!D35</f>
        <v>247668.82573069356</v>
      </c>
      <c r="E35" s="31">
        <f>GSVA_const!E35</f>
        <v>228189.59609785286</v>
      </c>
      <c r="F35" s="31">
        <f>GSVA_const!F35</f>
        <v>237553.51554605889</v>
      </c>
      <c r="G35" s="31">
        <f>GSVA_const!G35</f>
        <v>250135.49616790123</v>
      </c>
      <c r="H35" s="31">
        <f>GSVA_const!H35</f>
        <v>263613.34801471885</v>
      </c>
      <c r="I35" s="31">
        <f>GSVA_const!I35</f>
        <v>239960.66752444403</v>
      </c>
      <c r="J35" s="31">
        <f>GSVA_const!J35</f>
        <v>240133.02885715055</v>
      </c>
      <c r="K35" s="31">
        <f>GSVA_const!K35</f>
        <v>244141.927502512</v>
      </c>
      <c r="L35" s="31">
        <f>GSVA_const!L35</f>
        <v>247349.04641880118</v>
      </c>
      <c r="M35" s="31">
        <f>GSVA_const!M35</f>
        <v>245745.48696065659</v>
      </c>
      <c r="N35" s="31">
        <f>GSVA_const!N35</f>
        <v>246547.26668972889</v>
      </c>
      <c r="O35" s="31">
        <f>GSVA_const!O35</f>
        <v>246146.37682519274</v>
      </c>
      <c r="P35" s="31">
        <f>GSVA_const!P35</f>
        <v>246346.82175746083</v>
      </c>
      <c r="Q35" s="3"/>
      <c r="R35" s="4"/>
      <c r="S35" s="4"/>
      <c r="T35" s="3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2"/>
      <c r="BP35" s="32"/>
      <c r="BQ35" s="32"/>
      <c r="BR35" s="32"/>
      <c r="BS35" s="32"/>
      <c r="BT35" s="32"/>
      <c r="BU35" s="32"/>
      <c r="BV35" s="32"/>
      <c r="BW35" s="32"/>
      <c r="BX35" s="32"/>
      <c r="BY35" s="32"/>
      <c r="BZ35" s="32"/>
      <c r="CA35" s="32"/>
      <c r="CB35" s="32"/>
      <c r="CC35" s="32"/>
      <c r="CD35" s="32"/>
      <c r="CE35" s="32"/>
      <c r="CF35" s="32"/>
      <c r="CG35" s="32"/>
      <c r="CH35" s="32"/>
      <c r="CI35" s="32"/>
      <c r="CJ35" s="32"/>
      <c r="CK35" s="32"/>
      <c r="CL35" s="32"/>
      <c r="CM35" s="32"/>
      <c r="CN35" s="32"/>
      <c r="CO35" s="32"/>
      <c r="CP35" s="32"/>
      <c r="CQ35" s="32"/>
      <c r="CR35" s="32"/>
      <c r="CS35" s="32"/>
      <c r="CT35" s="32"/>
      <c r="CU35" s="32"/>
      <c r="CV35" s="32"/>
      <c r="CW35" s="32"/>
      <c r="CX35" s="32"/>
      <c r="CY35" s="32"/>
      <c r="CZ35" s="32"/>
      <c r="DA35" s="32"/>
      <c r="DB35" s="32"/>
      <c r="DC35" s="32"/>
      <c r="DD35" s="32"/>
      <c r="DE35" s="32"/>
      <c r="DF35" s="26"/>
      <c r="DG35" s="26"/>
      <c r="DH35" s="26"/>
      <c r="DI35" s="26"/>
      <c r="DJ35" s="26"/>
      <c r="DK35" s="26"/>
      <c r="DL35" s="26"/>
      <c r="DM35" s="26"/>
      <c r="DN35" s="26"/>
      <c r="DO35" s="26"/>
      <c r="DP35" s="26"/>
      <c r="DQ35" s="26"/>
      <c r="DR35" s="26"/>
      <c r="DS35" s="26"/>
      <c r="DT35" s="26"/>
      <c r="DU35" s="26"/>
      <c r="DV35" s="26"/>
      <c r="DW35" s="26"/>
      <c r="DX35" s="26"/>
      <c r="DY35" s="32"/>
      <c r="DZ35" s="32"/>
      <c r="EA35" s="32"/>
      <c r="EB35" s="32"/>
      <c r="EC35" s="32"/>
      <c r="ED35" s="32"/>
      <c r="EE35" s="32"/>
      <c r="EF35" s="32"/>
      <c r="EG35" s="32"/>
      <c r="EH35" s="32"/>
      <c r="EI35" s="32"/>
      <c r="EJ35" s="32"/>
      <c r="EK35" s="32"/>
      <c r="EL35" s="32"/>
      <c r="EM35" s="32"/>
      <c r="EN35" s="32"/>
      <c r="EO35" s="32"/>
      <c r="EP35" s="32"/>
      <c r="EQ35" s="32"/>
      <c r="ER35" s="32"/>
      <c r="ES35" s="32"/>
      <c r="ET35" s="32"/>
      <c r="EU35" s="32"/>
      <c r="EV35" s="32"/>
      <c r="EW35" s="32"/>
      <c r="EX35" s="32"/>
      <c r="EY35" s="32"/>
      <c r="EZ35" s="32"/>
      <c r="FA35" s="32"/>
      <c r="FB35" s="32"/>
      <c r="FC35" s="32"/>
      <c r="FD35" s="32"/>
      <c r="FE35" s="32"/>
      <c r="FF35" s="32"/>
      <c r="FG35" s="32"/>
      <c r="FH35" s="32"/>
      <c r="FI35" s="32"/>
      <c r="FJ35" s="32"/>
      <c r="FK35" s="32"/>
      <c r="FL35" s="32"/>
      <c r="FM35" s="32"/>
      <c r="FN35" s="32"/>
      <c r="FO35" s="32"/>
      <c r="FP35" s="32"/>
      <c r="FQ35" s="32"/>
      <c r="FR35" s="32"/>
      <c r="FS35" s="32"/>
      <c r="FT35" s="32"/>
      <c r="FU35" s="32"/>
      <c r="FV35" s="32"/>
      <c r="FW35" s="32"/>
      <c r="FX35" s="32"/>
      <c r="FY35" s="32"/>
      <c r="FZ35" s="32"/>
      <c r="GA35" s="32"/>
      <c r="GB35" s="32"/>
    </row>
    <row r="36" spans="1:189" s="28" customFormat="1" ht="15.75" x14ac:dyDescent="0.25">
      <c r="A36" s="34" t="s">
        <v>45</v>
      </c>
      <c r="B36" s="35" t="s">
        <v>63</v>
      </c>
      <c r="C36" s="31">
        <f>C33+C34-C35</f>
        <v>6053624.9813676812</v>
      </c>
      <c r="D36" s="31">
        <f t="shared" ref="D36:M36" si="22">D33+D34-D35</f>
        <v>6451852.067751497</v>
      </c>
      <c r="E36" s="31">
        <f t="shared" si="22"/>
        <v>6939815.5151871368</v>
      </c>
      <c r="F36" s="31">
        <f t="shared" si="22"/>
        <v>7455298.249693797</v>
      </c>
      <c r="G36" s="31">
        <f t="shared" si="22"/>
        <v>8056291.5655510919</v>
      </c>
      <c r="H36" s="31">
        <f t="shared" si="22"/>
        <v>8811212.2329834662</v>
      </c>
      <c r="I36" s="31">
        <f t="shared" si="22"/>
        <v>9352497.6909560412</v>
      </c>
      <c r="J36" s="31">
        <f t="shared" si="22"/>
        <v>9922092.4617862422</v>
      </c>
      <c r="K36" s="31">
        <f t="shared" si="22"/>
        <v>10331008.011790905</v>
      </c>
      <c r="L36" s="31">
        <f t="shared" si="22"/>
        <v>9734802.0074362196</v>
      </c>
      <c r="M36" s="31">
        <f t="shared" si="22"/>
        <v>10159315.344607044</v>
      </c>
      <c r="N36" s="31">
        <f t="shared" ref="N36" si="23">N33+N34-N35</f>
        <v>10793706.396869935</v>
      </c>
      <c r="O36" s="31">
        <f t="shared" ref="O36" si="24">O33+O34-O35</f>
        <v>11526130.597646603</v>
      </c>
      <c r="P36" s="31">
        <f t="shared" ref="P36" si="25">P33+P34-P35</f>
        <v>12214462.244532218</v>
      </c>
      <c r="Q36" s="3"/>
      <c r="R36" s="4"/>
      <c r="S36" s="4"/>
      <c r="T36" s="3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2"/>
      <c r="BP36" s="32"/>
      <c r="BQ36" s="32"/>
      <c r="BR36" s="32"/>
      <c r="BS36" s="32"/>
      <c r="BT36" s="32"/>
      <c r="BU36" s="32"/>
      <c r="BV36" s="32"/>
      <c r="BW36" s="32"/>
      <c r="BX36" s="32"/>
      <c r="BY36" s="32"/>
      <c r="BZ36" s="32"/>
      <c r="CA36" s="32"/>
      <c r="CB36" s="32"/>
      <c r="CC36" s="32"/>
      <c r="CD36" s="32"/>
      <c r="CE36" s="32"/>
      <c r="CF36" s="32"/>
      <c r="CG36" s="32"/>
      <c r="CH36" s="32"/>
      <c r="CI36" s="32"/>
      <c r="CJ36" s="32"/>
      <c r="CK36" s="32"/>
      <c r="CL36" s="32"/>
      <c r="CM36" s="32"/>
      <c r="CN36" s="32"/>
      <c r="CO36" s="32"/>
      <c r="CP36" s="32"/>
      <c r="CQ36" s="32"/>
      <c r="CR36" s="32"/>
      <c r="CS36" s="32"/>
      <c r="CT36" s="32"/>
      <c r="CU36" s="32"/>
      <c r="CV36" s="32"/>
      <c r="CW36" s="32"/>
      <c r="CX36" s="32"/>
      <c r="CY36" s="32"/>
      <c r="CZ36" s="32"/>
      <c r="DA36" s="32"/>
      <c r="DB36" s="32"/>
      <c r="DC36" s="32"/>
      <c r="DD36" s="32"/>
      <c r="DE36" s="32"/>
      <c r="DF36" s="26"/>
      <c r="DG36" s="26"/>
      <c r="DH36" s="26"/>
      <c r="DI36" s="26"/>
      <c r="DJ36" s="26"/>
      <c r="DK36" s="26"/>
      <c r="DL36" s="26"/>
      <c r="DM36" s="26"/>
      <c r="DN36" s="26"/>
      <c r="DO36" s="26"/>
      <c r="DP36" s="26"/>
      <c r="DQ36" s="26"/>
      <c r="DR36" s="26"/>
      <c r="DS36" s="26"/>
      <c r="DT36" s="26"/>
      <c r="DU36" s="26"/>
      <c r="DV36" s="26"/>
      <c r="DW36" s="26"/>
      <c r="DX36" s="26"/>
      <c r="DY36" s="32"/>
      <c r="DZ36" s="32"/>
      <c r="EA36" s="32"/>
      <c r="EB36" s="32"/>
      <c r="EC36" s="32"/>
      <c r="ED36" s="32"/>
      <c r="EE36" s="32"/>
      <c r="EF36" s="32"/>
      <c r="EG36" s="32"/>
      <c r="EH36" s="32"/>
      <c r="EI36" s="32"/>
      <c r="EJ36" s="32"/>
      <c r="EK36" s="32"/>
      <c r="EL36" s="32"/>
      <c r="EM36" s="32"/>
      <c r="EN36" s="32"/>
      <c r="EO36" s="32"/>
      <c r="EP36" s="32"/>
      <c r="EQ36" s="32"/>
      <c r="ER36" s="32"/>
      <c r="ES36" s="32"/>
      <c r="ET36" s="32"/>
      <c r="EU36" s="32"/>
      <c r="EV36" s="32"/>
      <c r="EW36" s="32"/>
      <c r="EX36" s="32"/>
      <c r="EY36" s="32"/>
      <c r="EZ36" s="32"/>
      <c r="FA36" s="32"/>
      <c r="FB36" s="32"/>
      <c r="FC36" s="32"/>
      <c r="FD36" s="32"/>
      <c r="FE36" s="32"/>
      <c r="FF36" s="32"/>
      <c r="FG36" s="32"/>
      <c r="FH36" s="32"/>
      <c r="FI36" s="32"/>
      <c r="FJ36" s="32"/>
      <c r="FK36" s="32"/>
      <c r="FL36" s="32"/>
      <c r="FM36" s="32"/>
      <c r="FN36" s="32"/>
      <c r="FO36" s="32"/>
      <c r="FP36" s="32"/>
      <c r="FQ36" s="32"/>
      <c r="FR36" s="32"/>
      <c r="FS36" s="32"/>
      <c r="FT36" s="32"/>
      <c r="FU36" s="32"/>
      <c r="FV36" s="32"/>
      <c r="FW36" s="32"/>
      <c r="FX36" s="32"/>
      <c r="FY36" s="32"/>
      <c r="FZ36" s="32"/>
      <c r="GA36" s="32"/>
      <c r="GB36" s="32"/>
    </row>
    <row r="37" spans="1:189" s="28" customFormat="1" ht="15.75" x14ac:dyDescent="0.25">
      <c r="A37" s="34" t="s">
        <v>46</v>
      </c>
      <c r="B37" s="35" t="s">
        <v>42</v>
      </c>
      <c r="C37" s="31">
        <f>GSVA_cur!C37</f>
        <v>69010</v>
      </c>
      <c r="D37" s="31">
        <f>GSVA_cur!D37</f>
        <v>69620</v>
      </c>
      <c r="E37" s="31">
        <f>GSVA_cur!E37</f>
        <v>70230</v>
      </c>
      <c r="F37" s="31">
        <f>GSVA_cur!F37</f>
        <v>70840</v>
      </c>
      <c r="G37" s="31">
        <f>GSVA_cur!G37</f>
        <v>71470</v>
      </c>
      <c r="H37" s="31">
        <f>GSVA_cur!H37</f>
        <v>72100</v>
      </c>
      <c r="I37" s="31">
        <f>GSVA_cur!I37</f>
        <v>72330</v>
      </c>
      <c r="J37" s="31">
        <f>GSVA_cur!J37</f>
        <v>72800</v>
      </c>
      <c r="K37" s="31">
        <f>GSVA_cur!K37</f>
        <v>73270</v>
      </c>
      <c r="L37" s="31">
        <f>GSVA_cur!L37</f>
        <v>73740</v>
      </c>
      <c r="M37" s="31">
        <f>GSVA_cur!M37</f>
        <v>74150</v>
      </c>
      <c r="N37" s="31">
        <f>GSVA_cur!N37</f>
        <v>74530</v>
      </c>
      <c r="O37" s="31">
        <f>GSVA_cur!O37</f>
        <v>74900</v>
      </c>
      <c r="P37" s="31">
        <f>GSVA_cur!P37</f>
        <v>75270</v>
      </c>
      <c r="Q37" s="1"/>
      <c r="R37" s="2"/>
      <c r="S37" s="2"/>
      <c r="T37" s="1"/>
      <c r="U37" s="1"/>
      <c r="V37" s="1"/>
      <c r="W37" s="1"/>
      <c r="X37" s="1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DF37" s="27"/>
      <c r="DG37" s="27"/>
      <c r="DH37" s="27"/>
      <c r="DI37" s="27"/>
      <c r="DJ37" s="27"/>
      <c r="DK37" s="27"/>
      <c r="DL37" s="27"/>
      <c r="DM37" s="27"/>
      <c r="DN37" s="27"/>
      <c r="DO37" s="27"/>
      <c r="DP37" s="27"/>
      <c r="DQ37" s="27"/>
      <c r="DR37" s="27"/>
      <c r="DS37" s="27"/>
      <c r="DT37" s="27"/>
      <c r="DU37" s="27"/>
      <c r="DV37" s="27"/>
      <c r="DW37" s="27"/>
      <c r="DX37" s="27"/>
    </row>
    <row r="38" spans="1:189" s="28" customFormat="1" ht="15.75" x14ac:dyDescent="0.25">
      <c r="A38" s="34" t="s">
        <v>47</v>
      </c>
      <c r="B38" s="35" t="s">
        <v>64</v>
      </c>
      <c r="C38" s="31">
        <f>C36/C37*1000</f>
        <v>87720.982196314755</v>
      </c>
      <c r="D38" s="31">
        <f t="shared" ref="D38:M38" si="26">D36/D37*1000</f>
        <v>92672.393963681374</v>
      </c>
      <c r="E38" s="31">
        <f t="shared" si="26"/>
        <v>98815.542007505865</v>
      </c>
      <c r="F38" s="31">
        <f t="shared" si="26"/>
        <v>105241.3643378571</v>
      </c>
      <c r="G38" s="31">
        <f t="shared" si="26"/>
        <v>112722.70275012022</v>
      </c>
      <c r="H38" s="31">
        <f t="shared" si="26"/>
        <v>122208.21404970135</v>
      </c>
      <c r="I38" s="31">
        <f t="shared" si="26"/>
        <v>129303.16177182416</v>
      </c>
      <c r="J38" s="31">
        <f t="shared" si="26"/>
        <v>136292.47887069013</v>
      </c>
      <c r="K38" s="31">
        <f t="shared" si="26"/>
        <v>140999.15397558219</v>
      </c>
      <c r="L38" s="31">
        <f t="shared" si="26"/>
        <v>132015.21572330105</v>
      </c>
      <c r="M38" s="31">
        <f t="shared" si="26"/>
        <v>137010.3215725832</v>
      </c>
      <c r="N38" s="31">
        <f t="shared" ref="N38" si="27">N36/N37*1000</f>
        <v>144823.64681161862</v>
      </c>
      <c r="O38" s="31">
        <f t="shared" ref="O38" si="28">O36/O37*1000</f>
        <v>153886.92386711086</v>
      </c>
      <c r="P38" s="31">
        <f t="shared" ref="P38" si="29">P36/P37*1000</f>
        <v>162275.30549398458</v>
      </c>
      <c r="Q38" s="1"/>
      <c r="R38" s="2"/>
      <c r="S38" s="2"/>
      <c r="T38" s="3"/>
      <c r="U38" s="3"/>
      <c r="V38" s="3"/>
      <c r="W38" s="3"/>
      <c r="X38" s="3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Y38" s="32"/>
      <c r="BZ38" s="32"/>
      <c r="CA38" s="32"/>
      <c r="CB38" s="32"/>
      <c r="DF38" s="27"/>
      <c r="DG38" s="27"/>
      <c r="DH38" s="27"/>
      <c r="DI38" s="27"/>
      <c r="DJ38" s="27"/>
      <c r="DK38" s="27"/>
      <c r="DL38" s="27"/>
      <c r="DM38" s="27"/>
      <c r="DN38" s="27"/>
      <c r="DO38" s="27"/>
      <c r="DP38" s="27"/>
      <c r="DQ38" s="27"/>
      <c r="DR38" s="27"/>
      <c r="DS38" s="27"/>
      <c r="DT38" s="27"/>
      <c r="DU38" s="27"/>
      <c r="DV38" s="27"/>
      <c r="DW38" s="27"/>
      <c r="DX38" s="27"/>
    </row>
    <row r="39" spans="1:189" x14ac:dyDescent="0.25">
      <c r="A39" s="2" t="s">
        <v>75</v>
      </c>
    </row>
  </sheetData>
  <sheetProtection formatColumns="0" formatRows="0"/>
  <pageMargins left="0.70866141732283505" right="0.70866141732283505" top="0.74803149606299202" bottom="0.74803149606299202" header="0.31496062992126" footer="0.31496062992126"/>
  <pageSetup paperSize="9" scale="10" orientation="landscape" horizontalDpi="4294967295" verticalDpi="4294967295" r:id="rId1"/>
  <colBreaks count="7" manualBreakCount="7">
    <brk id="24" max="1048575" man="1"/>
    <brk id="36" max="1048575" man="1"/>
    <brk id="52" max="1048575" man="1"/>
    <brk id="116" max="95" man="1"/>
    <brk id="152" max="1048575" man="1"/>
    <brk id="176" max="1048575" man="1"/>
    <brk id="184" max="9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GSVA_cur</vt:lpstr>
      <vt:lpstr>GSVA_const</vt:lpstr>
      <vt:lpstr>NSVA_cur</vt:lpstr>
      <vt:lpstr>NSVA_const</vt:lpstr>
      <vt:lpstr>GSVA_const!Print_Titles</vt:lpstr>
      <vt:lpstr>GSVA_cur!Print_Titles</vt:lpstr>
      <vt:lpstr>NSVA_const!Print_Titles</vt:lpstr>
      <vt:lpstr>NSVA_cur!Print_Titles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2025-08-04T05:45:02Z</dcterms:modified>
</cp:coreProperties>
</file>