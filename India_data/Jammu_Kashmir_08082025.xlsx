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24226"/>
  <xr:revisionPtr revIDLastSave="0" documentId="13_ncr:1_{A041BC2D-0D87-435A-9475-26BF4FF88697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SVA_cur" sheetId="10" r:id="rId1"/>
    <sheet name="GSVA_const" sheetId="1" r:id="rId2"/>
    <sheet name="NSVA_cur" sheetId="11" r:id="rId3"/>
    <sheet name="NSVA_const" sheetId="12" r:id="rId4"/>
  </sheets>
  <externalReferences>
    <externalReference r:id="rId5"/>
  </externalReferences>
  <definedNames>
    <definedName name="_xlnm.Print_Titles" localSheetId="1">GSVA_const!$A:$B</definedName>
    <definedName name="_xlnm.Print_Titles" localSheetId="0">GSVA_cur!$A:$B</definedName>
    <definedName name="_xlnm.Print_Titles" localSheetId="3">NSVA_const!$A:$B</definedName>
    <definedName name="_xlnm.Print_Titles" localSheetId="2">NSVA_cur!$A:$B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4" i="12" l="1"/>
  <c r="P34" i="12"/>
  <c r="O35" i="12"/>
  <c r="P35" i="12"/>
  <c r="O37" i="12"/>
  <c r="P37" i="12"/>
  <c r="P34" i="11"/>
  <c r="P35" i="11"/>
  <c r="P37" i="11"/>
  <c r="P37" i="1"/>
  <c r="P20" i="1"/>
  <c r="P20" i="11"/>
  <c r="P20" i="12"/>
  <c r="P20" i="10"/>
  <c r="P16" i="1"/>
  <c r="P17" i="1"/>
  <c r="P16" i="11"/>
  <c r="P17" i="11"/>
  <c r="P16" i="12"/>
  <c r="P17" i="12"/>
  <c r="P16" i="10"/>
  <c r="P17" i="10"/>
  <c r="P6" i="1"/>
  <c r="P12" i="1" s="1"/>
  <c r="P6" i="11"/>
  <c r="P6" i="12"/>
  <c r="P6" i="10"/>
  <c r="P12" i="10" s="1"/>
  <c r="P32" i="12" l="1"/>
  <c r="P33" i="12"/>
  <c r="P33" i="11"/>
  <c r="P32" i="11"/>
  <c r="P32" i="1"/>
  <c r="P32" i="10"/>
  <c r="P33" i="1"/>
  <c r="P33" i="10"/>
  <c r="P12" i="12"/>
  <c r="P12" i="11"/>
  <c r="O16" i="1"/>
  <c r="O17" i="1"/>
  <c r="O20" i="1"/>
  <c r="O37" i="1"/>
  <c r="O16" i="11"/>
  <c r="O17" i="11"/>
  <c r="O20" i="11"/>
  <c r="O34" i="11"/>
  <c r="O35" i="11"/>
  <c r="O37" i="11"/>
  <c r="O16" i="12"/>
  <c r="O17" i="12"/>
  <c r="O20" i="12"/>
  <c r="O16" i="10"/>
  <c r="O17" i="10"/>
  <c r="O20" i="10"/>
  <c r="P36" i="12" l="1"/>
  <c r="P36" i="11"/>
  <c r="P38" i="11"/>
  <c r="P36" i="10"/>
  <c r="P36" i="1"/>
  <c r="O32" i="12"/>
  <c r="O32" i="11"/>
  <c r="O32" i="1"/>
  <c r="O32" i="10"/>
  <c r="P38" i="12" l="1"/>
  <c r="P38" i="1"/>
  <c r="P38" i="10"/>
  <c r="I2" i="1"/>
  <c r="I2" i="11"/>
  <c r="I2" i="12"/>
  <c r="I2" i="10"/>
  <c r="O6" i="1" l="1"/>
  <c r="O6" i="11"/>
  <c r="O6" i="12"/>
  <c r="O6" i="10"/>
  <c r="O33" i="12" l="1"/>
  <c r="O36" i="12" s="1"/>
  <c r="O38" i="12" s="1"/>
  <c r="O33" i="10"/>
  <c r="O12" i="10"/>
  <c r="O33" i="11"/>
  <c r="O12" i="11"/>
  <c r="O12" i="1"/>
  <c r="O33" i="1"/>
  <c r="O36" i="1" s="1"/>
  <c r="O12" i="12"/>
  <c r="N34" i="12"/>
  <c r="N35" i="12"/>
  <c r="N37" i="12"/>
  <c r="N34" i="11"/>
  <c r="N35" i="11"/>
  <c r="N37" i="11"/>
  <c r="N37" i="1"/>
  <c r="N20" i="1"/>
  <c r="N20" i="11"/>
  <c r="N20" i="12"/>
  <c r="N20" i="10"/>
  <c r="N17" i="1"/>
  <c r="N17" i="11"/>
  <c r="N17" i="12"/>
  <c r="N17" i="10"/>
  <c r="N16" i="1"/>
  <c r="N16" i="11"/>
  <c r="N16" i="12"/>
  <c r="N16" i="10"/>
  <c r="N6" i="1"/>
  <c r="N6" i="11"/>
  <c r="N6" i="12"/>
  <c r="N6" i="10"/>
  <c r="N12" i="11" l="1"/>
  <c r="N12" i="10"/>
  <c r="O36" i="10"/>
  <c r="O36" i="11"/>
  <c r="N32" i="12"/>
  <c r="N33" i="12"/>
  <c r="N12" i="12"/>
  <c r="N32" i="11"/>
  <c r="N33" i="11"/>
  <c r="N32" i="1"/>
  <c r="N12" i="1"/>
  <c r="N33" i="1"/>
  <c r="N36" i="1" s="1"/>
  <c r="N33" i="10"/>
  <c r="N32" i="10"/>
  <c r="D34" i="11"/>
  <c r="E34" i="11"/>
  <c r="F34" i="11"/>
  <c r="G34" i="11"/>
  <c r="H34" i="11"/>
  <c r="I34" i="11"/>
  <c r="J34" i="11"/>
  <c r="K34" i="11"/>
  <c r="L34" i="11"/>
  <c r="M34" i="11"/>
  <c r="D35" i="11"/>
  <c r="E35" i="11"/>
  <c r="F35" i="11"/>
  <c r="G35" i="11"/>
  <c r="H35" i="11"/>
  <c r="I35" i="11"/>
  <c r="J35" i="11"/>
  <c r="K35" i="11"/>
  <c r="L35" i="11"/>
  <c r="M35" i="11"/>
  <c r="D37" i="11"/>
  <c r="E37" i="11"/>
  <c r="F37" i="11"/>
  <c r="G37" i="11"/>
  <c r="H37" i="11"/>
  <c r="I37" i="11"/>
  <c r="J37" i="11"/>
  <c r="K37" i="11"/>
  <c r="L37" i="11"/>
  <c r="M37" i="11"/>
  <c r="D37" i="1"/>
  <c r="E37" i="1"/>
  <c r="F37" i="1"/>
  <c r="G37" i="1"/>
  <c r="H37" i="1"/>
  <c r="I37" i="1"/>
  <c r="J37" i="1"/>
  <c r="K37" i="1"/>
  <c r="L37" i="1"/>
  <c r="M37" i="1"/>
  <c r="N36" i="12" l="1"/>
  <c r="N38" i="12" s="1"/>
  <c r="N36" i="10"/>
  <c r="O38" i="11"/>
  <c r="O38" i="10"/>
  <c r="O38" i="1"/>
  <c r="N36" i="11"/>
  <c r="D34" i="12"/>
  <c r="E34" i="12"/>
  <c r="F34" i="12"/>
  <c r="G34" i="12"/>
  <c r="H34" i="12"/>
  <c r="I34" i="12"/>
  <c r="J34" i="12"/>
  <c r="K34" i="12"/>
  <c r="L34" i="12"/>
  <c r="M34" i="12"/>
  <c r="D35" i="12"/>
  <c r="E35" i="12"/>
  <c r="F35" i="12"/>
  <c r="G35" i="12"/>
  <c r="H35" i="12"/>
  <c r="I35" i="12"/>
  <c r="J35" i="12"/>
  <c r="K35" i="12"/>
  <c r="L35" i="12"/>
  <c r="M35" i="12"/>
  <c r="D37" i="12"/>
  <c r="E37" i="12"/>
  <c r="F37" i="12"/>
  <c r="G37" i="12"/>
  <c r="H37" i="12"/>
  <c r="I37" i="12"/>
  <c r="J37" i="12"/>
  <c r="K37" i="12"/>
  <c r="L37" i="12"/>
  <c r="M37" i="12"/>
  <c r="N38" i="10" l="1"/>
  <c r="N38" i="11"/>
  <c r="N38" i="1"/>
  <c r="M20" i="1"/>
  <c r="M20" i="11"/>
  <c r="M20" i="12"/>
  <c r="M20" i="10"/>
  <c r="M16" i="1"/>
  <c r="M17" i="1"/>
  <c r="M16" i="11"/>
  <c r="M17" i="11"/>
  <c r="M16" i="12"/>
  <c r="M17" i="12"/>
  <c r="M16" i="10"/>
  <c r="M17" i="10"/>
  <c r="M6" i="1"/>
  <c r="M6" i="11"/>
  <c r="M6" i="12"/>
  <c r="M6" i="10"/>
  <c r="M32" i="12" l="1"/>
  <c r="M12" i="12"/>
  <c r="M33" i="12"/>
  <c r="M32" i="11"/>
  <c r="M12" i="11"/>
  <c r="M33" i="11"/>
  <c r="M33" i="1"/>
  <c r="M36" i="1" s="1"/>
  <c r="M32" i="1"/>
  <c r="M12" i="1"/>
  <c r="M33" i="10"/>
  <c r="M32" i="10"/>
  <c r="M12" i="10"/>
  <c r="L17" i="12"/>
  <c r="L17" i="11"/>
  <c r="L17" i="1"/>
  <c r="L17" i="10"/>
  <c r="M36" i="12" l="1"/>
  <c r="M36" i="11"/>
  <c r="M38" i="11" s="1"/>
  <c r="M38" i="1"/>
  <c r="M36" i="10"/>
  <c r="K17" i="10"/>
  <c r="M38" i="12" l="1"/>
  <c r="M38" i="10"/>
  <c r="L20" i="1"/>
  <c r="L20" i="11"/>
  <c r="L20" i="12"/>
  <c r="L20" i="10"/>
  <c r="L16" i="1"/>
  <c r="L16" i="11"/>
  <c r="L16" i="12"/>
  <c r="L16" i="10"/>
  <c r="L6" i="1"/>
  <c r="L6" i="11"/>
  <c r="L6" i="12"/>
  <c r="L6" i="10"/>
  <c r="L33" i="12" l="1"/>
  <c r="L32" i="12"/>
  <c r="L32" i="11"/>
  <c r="L33" i="11"/>
  <c r="L12" i="1"/>
  <c r="L12" i="10"/>
  <c r="L12" i="12"/>
  <c r="L12" i="11"/>
  <c r="L33" i="1"/>
  <c r="L33" i="10"/>
  <c r="L32" i="10"/>
  <c r="L32" i="1"/>
  <c r="L36" i="1" l="1"/>
  <c r="L36" i="12"/>
  <c r="L38" i="12" s="1"/>
  <c r="L36" i="11"/>
  <c r="L38" i="11" s="1"/>
  <c r="L36" i="10"/>
  <c r="L38" i="10" l="1"/>
  <c r="L38" i="1"/>
  <c r="I20" i="1" l="1"/>
  <c r="J20" i="1"/>
  <c r="K20" i="1"/>
  <c r="I20" i="11"/>
  <c r="J20" i="11"/>
  <c r="K20" i="11"/>
  <c r="I20" i="12"/>
  <c r="J20" i="12"/>
  <c r="K20" i="12"/>
  <c r="I20" i="10"/>
  <c r="J20" i="10"/>
  <c r="K20" i="10"/>
  <c r="I6" i="1"/>
  <c r="J6" i="1"/>
  <c r="K6" i="1"/>
  <c r="I6" i="11"/>
  <c r="J6" i="11"/>
  <c r="K6" i="11"/>
  <c r="I6" i="12"/>
  <c r="J6" i="12"/>
  <c r="K6" i="12"/>
  <c r="I6" i="10"/>
  <c r="J6" i="10"/>
  <c r="K6" i="10"/>
  <c r="K12" i="10" s="1"/>
  <c r="K16" i="1"/>
  <c r="K16" i="11"/>
  <c r="K16" i="12"/>
  <c r="K16" i="10"/>
  <c r="I17" i="1"/>
  <c r="J17" i="1"/>
  <c r="K17" i="1"/>
  <c r="I17" i="11"/>
  <c r="J17" i="11"/>
  <c r="K17" i="11"/>
  <c r="I17" i="12"/>
  <c r="J17" i="12"/>
  <c r="K17" i="12"/>
  <c r="I17" i="10"/>
  <c r="J17" i="10"/>
  <c r="I16" i="1"/>
  <c r="J16" i="1"/>
  <c r="I16" i="11"/>
  <c r="J16" i="11"/>
  <c r="I16" i="12"/>
  <c r="J16" i="12"/>
  <c r="I16" i="10"/>
  <c r="J16" i="10"/>
  <c r="K32" i="12" l="1"/>
  <c r="I33" i="12"/>
  <c r="I36" i="12" s="1"/>
  <c r="I38" i="12" s="1"/>
  <c r="J32" i="12"/>
  <c r="I32" i="12"/>
  <c r="J33" i="12"/>
  <c r="J36" i="12" s="1"/>
  <c r="J38" i="12" s="1"/>
  <c r="K12" i="12"/>
  <c r="K33" i="12"/>
  <c r="K36" i="12" s="1"/>
  <c r="K38" i="12" s="1"/>
  <c r="I32" i="11"/>
  <c r="K33" i="11"/>
  <c r="K36" i="11" s="1"/>
  <c r="K38" i="11" s="1"/>
  <c r="J33" i="11"/>
  <c r="J36" i="11" s="1"/>
  <c r="J38" i="11" s="1"/>
  <c r="I33" i="11"/>
  <c r="I36" i="11" s="1"/>
  <c r="I38" i="11" s="1"/>
  <c r="K32" i="11"/>
  <c r="J32" i="11"/>
  <c r="K32" i="1"/>
  <c r="K33" i="10"/>
  <c r="K12" i="11"/>
  <c r="K32" i="10"/>
  <c r="K12" i="1"/>
  <c r="K33" i="1"/>
  <c r="K36" i="1" s="1"/>
  <c r="I12" i="12"/>
  <c r="J12" i="11"/>
  <c r="I32" i="1"/>
  <c r="J12" i="1"/>
  <c r="I12" i="1"/>
  <c r="J32" i="10"/>
  <c r="I12" i="10"/>
  <c r="J12" i="10"/>
  <c r="J12" i="12"/>
  <c r="J32" i="1"/>
  <c r="J33" i="1"/>
  <c r="J36" i="1" s="1"/>
  <c r="J33" i="10"/>
  <c r="I12" i="11"/>
  <c r="I33" i="1"/>
  <c r="I36" i="1" s="1"/>
  <c r="I32" i="10"/>
  <c r="I33" i="10"/>
  <c r="K36" i="10" l="1"/>
  <c r="I36" i="10"/>
  <c r="J36" i="10"/>
  <c r="K38" i="10" l="1"/>
  <c r="K38" i="1"/>
  <c r="I38" i="1"/>
  <c r="J38" i="1"/>
  <c r="I38" i="10"/>
  <c r="J38" i="10"/>
  <c r="G20" i="1" l="1"/>
  <c r="H20" i="1"/>
  <c r="G20" i="11"/>
  <c r="H20" i="11"/>
  <c r="G20" i="12"/>
  <c r="H20" i="12"/>
  <c r="G20" i="10"/>
  <c r="H20" i="10"/>
  <c r="G17" i="1"/>
  <c r="H17" i="1"/>
  <c r="G17" i="11"/>
  <c r="G32" i="11" s="1"/>
  <c r="H17" i="11"/>
  <c r="H32" i="11" s="1"/>
  <c r="G17" i="12"/>
  <c r="H17" i="12"/>
  <c r="G17" i="10"/>
  <c r="H17" i="10"/>
  <c r="G16" i="1"/>
  <c r="H16" i="1"/>
  <c r="G16" i="11"/>
  <c r="H16" i="11"/>
  <c r="G16" i="12"/>
  <c r="H16" i="12"/>
  <c r="G16" i="10"/>
  <c r="H16" i="10"/>
  <c r="G6" i="1"/>
  <c r="H6" i="1"/>
  <c r="G6" i="11"/>
  <c r="H6" i="11"/>
  <c r="G6" i="12"/>
  <c r="G33" i="12" s="1"/>
  <c r="G36" i="12" s="1"/>
  <c r="G38" i="12" s="1"/>
  <c r="H6" i="12"/>
  <c r="G6" i="10"/>
  <c r="H6" i="10"/>
  <c r="H33" i="12" l="1"/>
  <c r="H36" i="12" s="1"/>
  <c r="H38" i="12" s="1"/>
  <c r="H32" i="12"/>
  <c r="G32" i="12"/>
  <c r="G33" i="11"/>
  <c r="G36" i="11" s="1"/>
  <c r="G38" i="11" s="1"/>
  <c r="H33" i="11"/>
  <c r="H36" i="11" s="1"/>
  <c r="H38" i="11" s="1"/>
  <c r="G12" i="12"/>
  <c r="H12" i="12"/>
  <c r="H12" i="11"/>
  <c r="H32" i="1"/>
  <c r="H12" i="10"/>
  <c r="H33" i="1"/>
  <c r="H36" i="1" s="1"/>
  <c r="H12" i="1"/>
  <c r="G33" i="1"/>
  <c r="G36" i="1" s="1"/>
  <c r="G12" i="1"/>
  <c r="H32" i="10"/>
  <c r="H33" i="10"/>
  <c r="G32" i="1"/>
  <c r="G12" i="11"/>
  <c r="G33" i="10"/>
  <c r="G32" i="10"/>
  <c r="G12" i="10"/>
  <c r="H36" i="10" l="1"/>
  <c r="G36" i="10"/>
  <c r="G38" i="1" l="1"/>
  <c r="H38" i="1"/>
  <c r="H38" i="10"/>
  <c r="G38" i="10"/>
  <c r="C37" i="12" l="1"/>
  <c r="C37" i="11"/>
  <c r="C37" i="1"/>
  <c r="C35" i="12"/>
  <c r="C34" i="12"/>
  <c r="C35" i="11"/>
  <c r="C34" i="11"/>
  <c r="F20" i="12" l="1"/>
  <c r="E20" i="12"/>
  <c r="D20" i="12"/>
  <c r="C20" i="12"/>
  <c r="F17" i="12"/>
  <c r="F32" i="12" s="1"/>
  <c r="E17" i="12"/>
  <c r="E32" i="12" s="1"/>
  <c r="D17" i="12"/>
  <c r="C17" i="12"/>
  <c r="F16" i="12"/>
  <c r="E16" i="12"/>
  <c r="D16" i="12"/>
  <c r="C16" i="12"/>
  <c r="F6" i="12"/>
  <c r="E6" i="12"/>
  <c r="D6" i="12"/>
  <c r="C6" i="12"/>
  <c r="F20" i="11"/>
  <c r="E20" i="11"/>
  <c r="D20" i="11"/>
  <c r="C20" i="11"/>
  <c r="F17" i="11"/>
  <c r="E17" i="11"/>
  <c r="D17" i="11"/>
  <c r="D32" i="11" s="1"/>
  <c r="C17" i="11"/>
  <c r="F16" i="11"/>
  <c r="E16" i="11"/>
  <c r="D16" i="11"/>
  <c r="C16" i="11"/>
  <c r="F6" i="11"/>
  <c r="E6" i="11"/>
  <c r="D6" i="11"/>
  <c r="C6" i="11"/>
  <c r="F20" i="1"/>
  <c r="E20" i="1"/>
  <c r="D20" i="1"/>
  <c r="C20" i="1"/>
  <c r="F17" i="1"/>
  <c r="E17" i="1"/>
  <c r="D17" i="1"/>
  <c r="C17" i="1"/>
  <c r="F16" i="1"/>
  <c r="E16" i="1"/>
  <c r="D16" i="1"/>
  <c r="C16" i="1"/>
  <c r="F6" i="1"/>
  <c r="E6" i="1"/>
  <c r="D6" i="1"/>
  <c r="C6" i="1"/>
  <c r="F20" i="10"/>
  <c r="F17" i="10"/>
  <c r="F16" i="10"/>
  <c r="F6" i="10"/>
  <c r="E20" i="10"/>
  <c r="D20" i="10"/>
  <c r="C20" i="10"/>
  <c r="E17" i="10"/>
  <c r="D17" i="10"/>
  <c r="C17" i="10"/>
  <c r="E16" i="10"/>
  <c r="D16" i="10"/>
  <c r="C16" i="10"/>
  <c r="E6" i="10"/>
  <c r="D6" i="10"/>
  <c r="C6" i="10"/>
  <c r="D32" i="12" l="1"/>
  <c r="E33" i="12"/>
  <c r="E36" i="12" s="1"/>
  <c r="E38" i="12" s="1"/>
  <c r="F33" i="12"/>
  <c r="F36" i="12" s="1"/>
  <c r="F38" i="12" s="1"/>
  <c r="D33" i="12"/>
  <c r="D36" i="12" s="1"/>
  <c r="D38" i="12" s="1"/>
  <c r="F33" i="11"/>
  <c r="F36" i="11" s="1"/>
  <c r="F38" i="11" s="1"/>
  <c r="E33" i="11"/>
  <c r="E36" i="11" s="1"/>
  <c r="E38" i="11" s="1"/>
  <c r="E32" i="11"/>
  <c r="F32" i="11"/>
  <c r="D33" i="11"/>
  <c r="D36" i="11" s="1"/>
  <c r="D38" i="11" s="1"/>
  <c r="C12" i="1"/>
  <c r="D12" i="1"/>
  <c r="E12" i="1"/>
  <c r="F12" i="1"/>
  <c r="C12" i="10"/>
  <c r="C33" i="1"/>
  <c r="C36" i="1" s="1"/>
  <c r="C33" i="12"/>
  <c r="C32" i="12"/>
  <c r="D33" i="10"/>
  <c r="F33" i="10"/>
  <c r="E12" i="12"/>
  <c r="E12" i="11"/>
  <c r="C33" i="11"/>
  <c r="C32" i="11"/>
  <c r="C32" i="1"/>
  <c r="D33" i="1"/>
  <c r="D36" i="1" s="1"/>
  <c r="D32" i="1"/>
  <c r="E33" i="1"/>
  <c r="E36" i="1" s="1"/>
  <c r="E32" i="1"/>
  <c r="F33" i="1"/>
  <c r="F36" i="1" s="1"/>
  <c r="F32" i="1"/>
  <c r="F32" i="10"/>
  <c r="F12" i="10"/>
  <c r="C12" i="12"/>
  <c r="D12" i="12"/>
  <c r="F12" i="12"/>
  <c r="C12" i="11"/>
  <c r="D12" i="11"/>
  <c r="F12" i="11"/>
  <c r="D12" i="10"/>
  <c r="C33" i="10"/>
  <c r="D32" i="10"/>
  <c r="E32" i="10"/>
  <c r="E33" i="10"/>
  <c r="C32" i="10"/>
  <c r="E12" i="10"/>
  <c r="C36" i="12" l="1"/>
  <c r="D36" i="10"/>
  <c r="E36" i="10"/>
  <c r="C36" i="10"/>
  <c r="F36" i="10"/>
  <c r="C36" i="11"/>
  <c r="C38" i="12" l="1"/>
  <c r="C38" i="1"/>
  <c r="E38" i="10"/>
  <c r="F38" i="10"/>
  <c r="F38" i="1"/>
  <c r="C38" i="10"/>
  <c r="D38" i="10"/>
  <c r="D38" i="1"/>
  <c r="E38" i="1"/>
  <c r="C38" i="11"/>
</calcChain>
</file>

<file path=xl/sharedStrings.xml><?xml version="1.0" encoding="utf-8"?>
<sst xmlns="http://schemas.openxmlformats.org/spreadsheetml/2006/main" count="288" uniqueCount="78">
  <si>
    <t>S.No.</t>
  </si>
  <si>
    <t>Item</t>
  </si>
  <si>
    <t>Agriculture, forestry and fishing</t>
  </si>
  <si>
    <t>Mining and quarrying</t>
  </si>
  <si>
    <t>Manufacturing</t>
  </si>
  <si>
    <t>Electricity, gas, water supply &amp; other utility services</t>
  </si>
  <si>
    <t>Construction</t>
  </si>
  <si>
    <t>Trade, repair, hotels and restaurants</t>
  </si>
  <si>
    <t>Trade &amp; repair services</t>
  </si>
  <si>
    <t>Hotels &amp; restaurants</t>
  </si>
  <si>
    <t>Transport, storage, communication &amp; services related to broadcasting</t>
  </si>
  <si>
    <t>Railways</t>
  </si>
  <si>
    <t>Road transport</t>
  </si>
  <si>
    <t>Water transport</t>
  </si>
  <si>
    <t>Air transport</t>
  </si>
  <si>
    <t>Services incidental to transport</t>
  </si>
  <si>
    <t>Storage</t>
  </si>
  <si>
    <t>Communication &amp; services related to broadcasting</t>
  </si>
  <si>
    <t>Financial services</t>
  </si>
  <si>
    <t>Real estate, ownership of dwelling &amp; professional services</t>
  </si>
  <si>
    <t>Other services</t>
  </si>
  <si>
    <t>2011-12</t>
  </si>
  <si>
    <t>2012-13</t>
  </si>
  <si>
    <t>2013-14</t>
  </si>
  <si>
    <t>Subsidies on products</t>
  </si>
  <si>
    <t>1.</t>
  </si>
  <si>
    <t>12.</t>
  </si>
  <si>
    <t>Primary</t>
  </si>
  <si>
    <t>Secondary</t>
  </si>
  <si>
    <t>Tertiary</t>
  </si>
  <si>
    <r>
      <t>2.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</si>
  <si>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3.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</si>
  <si>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4.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</si>
  <si>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5.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</si>
  <si>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6.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</si>
  <si>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7.</t>
    </r>
    <r>
      <rPr>
        <sz val="7"/>
        <rFont val="Times New Roman"/>
        <family val="1"/>
      </rPr>
      <t xml:space="preserve">      </t>
    </r>
    <r>
      <rPr>
        <sz val="11"/>
        <rFont val="Times New Roman"/>
        <family val="1"/>
      </rPr>
      <t> </t>
    </r>
  </si>
  <si>
    <r>
      <t>8.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</si>
  <si>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9.</t>
    </r>
    <r>
      <rPr>
        <sz val="7"/>
        <rFont val="Times New Roman"/>
        <family val="1"/>
      </rPr>
      <t xml:space="preserve">      </t>
    </r>
    <r>
      <rPr>
        <sz val="12"/>
        <rFont val="Times New Roman"/>
        <family val="1"/>
      </rPr>
      <t> </t>
    </r>
  </si>
  <si>
    <r>
      <t>10.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</si>
  <si>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r>
      <t>11.</t>
    </r>
    <r>
      <rPr>
        <sz val="7"/>
        <rFont val="Times New Roman"/>
        <family val="1"/>
      </rPr>
      <t xml:space="preserve">  </t>
    </r>
    <r>
      <rPr>
        <sz val="12"/>
        <rFont val="Times New Roman"/>
        <family val="1"/>
      </rPr>
      <t> </t>
    </r>
  </si>
  <si>
    <t>TOTAL GSVA at basic prices</t>
  </si>
  <si>
    <t>Population ('00)</t>
  </si>
  <si>
    <t>13.</t>
  </si>
  <si>
    <t>14.</t>
  </si>
  <si>
    <t>15.</t>
  </si>
  <si>
    <t>16.</t>
  </si>
  <si>
    <t>17.</t>
  </si>
  <si>
    <t>Gross State Value Added by economic activity at current prices</t>
  </si>
  <si>
    <t>Gross State Value Added by economic activity at constant (2011-12) prices</t>
  </si>
  <si>
    <t>Net State Value Added by economic activity at current prices</t>
  </si>
  <si>
    <t>TOTAL NSVA at basic prices</t>
  </si>
  <si>
    <t>Net State Value Added by economic activity at constant (2011-12) prices</t>
  </si>
  <si>
    <t>State :</t>
  </si>
  <si>
    <t>Public administration</t>
  </si>
  <si>
    <t>Gross State Domestic Product</t>
  </si>
  <si>
    <t>2014-15</t>
  </si>
  <si>
    <t>(Rs. in lakh)</t>
  </si>
  <si>
    <t>Per Capita GSDP (Rs.)</t>
  </si>
  <si>
    <t>Crops</t>
  </si>
  <si>
    <t>Livestock</t>
  </si>
  <si>
    <t>Forestry and logging</t>
  </si>
  <si>
    <t>Fishing and aquaculture</t>
  </si>
  <si>
    <t>Net State Domestic Product</t>
  </si>
  <si>
    <t>Per Capita NSDP (Rs.)</t>
  </si>
  <si>
    <t>2015-16</t>
  </si>
  <si>
    <t>Jammu &amp; Kashmir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</si>
  <si>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</si>
  <si>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</si>
  <si>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</si>
  <si>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</si>
  <si>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</si>
  <si>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</si>
  <si>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</si>
  <si>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</si>
  <si>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</si>
  <si>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 xml:space="preserve"> Source:  Directorate of Economics &amp; Statistics of respective State Governments, from 2011-12 to 2018-19 includs Ladakh</t>
  </si>
  <si>
    <t xml:space="preserve">    # Product Tax- Subsidies,</t>
  </si>
  <si>
    <t>Taxes on Products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</si>
</sst>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0">
    <xf numFmtId="0" fontId="0" fillId="0" borderId="0"/>
    <xf numFmtId="0" fontId="2" fillId="0" borderId="0"/>
    <xf numFmtId="0" fontId="3" fillId="0" borderId="0"/>
    <xf numFmtId="0" fontId="4" fillId="0" borderId="0"/>
    <xf numFmtId="0" fontId="6" fillId="0" borderId="0"/>
    <xf numFmtId="0" fontId="5" fillId="0" borderId="0"/>
    <xf numFmtId="0" fontId="6" fillId="0" borderId="0"/>
    <xf numFmtId="0" fontId="5" fillId="2" borderId="1" applyNumberFormat="0" applyFont="0" applyAlignment="0" applyProtection="0"/>
    <xf numFmtId="0" fontId="6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" fillId="2" borderId="1" applyNumberFormat="0" applyFont="0" applyAlignment="0" applyProtection="0"/>
    <xf numFmtId="0" fontId="9" fillId="0" borderId="0"/>
    <xf numFmtId="164" fontId="4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4" fillId="0" borderId="0"/>
  </cellStyleXfs>
  <cellXfs count="40">
    <xf numFmtId="0" fontId="0" fillId="0" borderId="0" xfId="0"/>
    <xf numFmtId="0" fontId="7" fillId="0" borderId="0" xfId="0" applyFont="1"/>
    <xf numFmtId="0" fontId="7" fillId="0" borderId="0" xfId="0" applyFont="1" applyProtection="1">
      <protection locked="0"/>
    </xf>
    <xf numFmtId="1" fontId="7" fillId="0" borderId="0" xfId="0" applyNumberFormat="1" applyFont="1"/>
    <xf numFmtId="1" fontId="7" fillId="0" borderId="0" xfId="0" applyNumberFormat="1" applyFont="1" applyProtection="1">
      <protection locked="0"/>
    </xf>
    <xf numFmtId="1" fontId="10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0" fontId="1" fillId="0" borderId="0" xfId="0" applyFont="1" applyAlignment="1">
      <alignment horizontal="left" vertical="center"/>
    </xf>
    <xf numFmtId="0" fontId="7" fillId="0" borderId="0" xfId="0" quotePrefix="1" applyFont="1" applyProtection="1">
      <protection locked="0"/>
    </xf>
    <xf numFmtId="0" fontId="7" fillId="3" borderId="0" xfId="0" applyFont="1" applyFill="1" applyProtection="1">
      <protection locked="0"/>
    </xf>
    <xf numFmtId="0" fontId="7" fillId="3" borderId="0" xfId="0" applyFont="1" applyFill="1"/>
    <xf numFmtId="1" fontId="7" fillId="3" borderId="0" xfId="0" applyNumberFormat="1" applyFont="1" applyFill="1"/>
    <xf numFmtId="1" fontId="7" fillId="3" borderId="0" xfId="0" applyNumberFormat="1" applyFont="1" applyFill="1" applyProtection="1">
      <protection locked="0"/>
    </xf>
    <xf numFmtId="0" fontId="7" fillId="4" borderId="0" xfId="0" applyFont="1" applyFill="1" applyProtection="1">
      <protection locked="0"/>
    </xf>
    <xf numFmtId="0" fontId="7" fillId="4" borderId="0" xfId="0" applyFont="1" applyFill="1"/>
    <xf numFmtId="49" fontId="11" fillId="0" borderId="2" xfId="0" applyNumberFormat="1" applyFont="1" applyBorder="1" applyAlignment="1" applyProtection="1">
      <alignment vertical="center" wrapText="1"/>
      <protection locked="0"/>
    </xf>
    <xf numFmtId="0" fontId="11" fillId="0" borderId="2" xfId="0" applyFont="1" applyBorder="1" applyAlignment="1" applyProtection="1">
      <alignment vertical="center" wrapText="1"/>
      <protection locked="0"/>
    </xf>
    <xf numFmtId="0" fontId="7" fillId="0" borderId="2" xfId="0" applyFont="1" applyBorder="1" applyProtection="1">
      <protection locked="0"/>
    </xf>
    <xf numFmtId="0" fontId="7" fillId="0" borderId="2" xfId="0" applyFont="1" applyBorder="1"/>
    <xf numFmtId="49" fontId="12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center" wrapText="1"/>
    </xf>
    <xf numFmtId="1" fontId="7" fillId="3" borderId="2" xfId="0" applyNumberFormat="1" applyFont="1" applyFill="1" applyBorder="1"/>
    <xf numFmtId="49" fontId="12" fillId="0" borderId="2" xfId="0" applyNumberFormat="1" applyFont="1" applyBorder="1" applyAlignment="1" applyProtection="1">
      <alignment horizontal="righ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1" fontId="7" fillId="0" borderId="2" xfId="0" applyNumberFormat="1" applyFont="1" applyBorder="1" applyProtection="1">
      <protection locked="0"/>
    </xf>
    <xf numFmtId="1" fontId="7" fillId="0" borderId="2" xfId="0" applyNumberFormat="1" applyFont="1" applyBorder="1"/>
    <xf numFmtId="49" fontId="12" fillId="0" borderId="2" xfId="0" applyNumberFormat="1" applyFont="1" applyBorder="1" applyAlignment="1" applyProtection="1">
      <alignment vertical="center" wrapText="1"/>
      <protection locked="0"/>
    </xf>
    <xf numFmtId="49" fontId="12" fillId="3" borderId="2" xfId="0" applyNumberFormat="1" applyFont="1" applyFill="1" applyBorder="1" applyAlignment="1" applyProtection="1">
      <alignment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1" fontId="7" fillId="3" borderId="2" xfId="0" applyNumberFormat="1" applyFont="1" applyFill="1" applyBorder="1" applyProtection="1">
      <protection locked="0"/>
    </xf>
    <xf numFmtId="49" fontId="12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49" fontId="14" fillId="3" borderId="2" xfId="0" applyNumberFormat="1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left" vertical="top" wrapText="1"/>
    </xf>
    <xf numFmtId="0" fontId="10" fillId="3" borderId="2" xfId="0" applyFont="1" applyFill="1" applyBorder="1" applyAlignment="1">
      <alignment horizontal="left" vertical="center" wrapText="1"/>
    </xf>
    <xf numFmtId="49" fontId="12" fillId="0" borderId="2" xfId="0" quotePrefix="1" applyNumberFormat="1" applyFont="1" applyBorder="1" applyAlignment="1">
      <alignment vertical="center" wrapText="1"/>
    </xf>
    <xf numFmtId="0" fontId="7" fillId="0" borderId="2" xfId="0" applyFont="1" applyBorder="1" applyAlignment="1" applyProtection="1">
      <alignment vertical="center" wrapText="1"/>
      <protection locked="0"/>
    </xf>
    <xf numFmtId="49" fontId="12" fillId="3" borderId="2" xfId="0" quotePrefix="1" applyNumberFormat="1" applyFont="1" applyFill="1" applyBorder="1" applyAlignment="1">
      <alignment vertical="center" wrapText="1"/>
    </xf>
    <xf numFmtId="0" fontId="7" fillId="3" borderId="2" xfId="0" applyFont="1" applyFill="1" applyBorder="1" applyAlignment="1" applyProtection="1">
      <alignment vertical="center" wrapText="1"/>
      <protection locked="0"/>
    </xf>
    <xf numFmtId="0" fontId="7" fillId="3" borderId="2" xfId="0" applyFont="1" applyFill="1" applyBorder="1" applyProtection="1">
      <protection locked="0"/>
    </xf>
  </cellXfs>
  <cellStyles count="530">
    <cellStyle name="Comma 2" xfId="15" xr:uid="{00000000-0005-0000-0000-000000000000}"/>
    <cellStyle name="Comma 2 2" xfId="528" xr:uid="{00000000-0005-0000-0000-000001000000}"/>
    <cellStyle name="Normal" xfId="0" builtinId="0"/>
    <cellStyle name="Normal 2" xfId="2" xr:uid="{00000000-0005-0000-0000-000003000000}"/>
    <cellStyle name="Normal 2 2" xfId="8" xr:uid="{00000000-0005-0000-0000-000004000000}"/>
    <cellStyle name="Normal 2 2 2" xfId="10" xr:uid="{00000000-0005-0000-0000-000005000000}"/>
    <cellStyle name="Normal 2 2 3" xfId="18" xr:uid="{00000000-0005-0000-0000-000006000000}"/>
    <cellStyle name="Normal 2 3" xfId="5" xr:uid="{00000000-0005-0000-0000-000007000000}"/>
    <cellStyle name="Normal 2 3 2" xfId="529" xr:uid="{00000000-0005-0000-0000-000008000000}"/>
    <cellStyle name="Normal 2 4" xfId="9" xr:uid="{00000000-0005-0000-0000-000009000000}"/>
    <cellStyle name="Normal 2 4 2" xfId="17" xr:uid="{00000000-0005-0000-0000-00000A000000}"/>
    <cellStyle name="Normal 3" xfId="1" xr:uid="{00000000-0005-0000-0000-00000B000000}"/>
    <cellStyle name="Normal 3 2" xfId="6" xr:uid="{00000000-0005-0000-0000-00000C000000}"/>
    <cellStyle name="Normal 3 2 2" xfId="11" xr:uid="{00000000-0005-0000-0000-00000D000000}"/>
    <cellStyle name="Normal 3 3" xfId="16" xr:uid="{00000000-0005-0000-0000-00000E000000}"/>
    <cellStyle name="Normal 4" xfId="3" xr:uid="{00000000-0005-0000-0000-00000F000000}"/>
    <cellStyle name="Normal 5" xfId="4" xr:uid="{00000000-0005-0000-0000-000010000000}"/>
    <cellStyle name="Normal 5 2" xfId="12" xr:uid="{00000000-0005-0000-0000-000011000000}"/>
    <cellStyle name="Normal 6" xfId="14" xr:uid="{00000000-0005-0000-0000-000012000000}"/>
    <cellStyle name="Note 2" xfId="7" xr:uid="{00000000-0005-0000-0000-000013000000}"/>
    <cellStyle name="Note 2 2" xfId="13" xr:uid="{00000000-0005-0000-0000-000014000000}"/>
    <cellStyle name="style1405592468105" xfId="19" xr:uid="{00000000-0005-0000-0000-000015000000}"/>
    <cellStyle name="style1405593752700" xfId="20" xr:uid="{00000000-0005-0000-0000-000016000000}"/>
    <cellStyle name="style1406113848636" xfId="21" xr:uid="{00000000-0005-0000-0000-000017000000}"/>
    <cellStyle name="style1406113848741" xfId="22" xr:uid="{00000000-0005-0000-0000-000018000000}"/>
    <cellStyle name="style1406113848796" xfId="23" xr:uid="{00000000-0005-0000-0000-000019000000}"/>
    <cellStyle name="style1406113848827" xfId="24" xr:uid="{00000000-0005-0000-0000-00001A000000}"/>
    <cellStyle name="style1406113848859" xfId="25" xr:uid="{00000000-0005-0000-0000-00001B000000}"/>
    <cellStyle name="style1406113848891" xfId="26" xr:uid="{00000000-0005-0000-0000-00001C000000}"/>
    <cellStyle name="style1406113848925" xfId="27" xr:uid="{00000000-0005-0000-0000-00001D000000}"/>
    <cellStyle name="style1406113848965" xfId="28" xr:uid="{00000000-0005-0000-0000-00001E000000}"/>
    <cellStyle name="style1406113848998" xfId="29" xr:uid="{00000000-0005-0000-0000-00001F000000}"/>
    <cellStyle name="style1406113849028" xfId="30" xr:uid="{00000000-0005-0000-0000-000020000000}"/>
    <cellStyle name="style1406113849058" xfId="31" xr:uid="{00000000-0005-0000-0000-000021000000}"/>
    <cellStyle name="style1406113849090" xfId="32" xr:uid="{00000000-0005-0000-0000-000022000000}"/>
    <cellStyle name="style1406113849117" xfId="33" xr:uid="{00000000-0005-0000-0000-000023000000}"/>
    <cellStyle name="style1406113849144" xfId="34" xr:uid="{00000000-0005-0000-0000-000024000000}"/>
    <cellStyle name="style1406113849183" xfId="35" xr:uid="{00000000-0005-0000-0000-000025000000}"/>
    <cellStyle name="style1406113849217" xfId="36" xr:uid="{00000000-0005-0000-0000-000026000000}"/>
    <cellStyle name="style1406113849255" xfId="37" xr:uid="{00000000-0005-0000-0000-000027000000}"/>
    <cellStyle name="style1406113849284" xfId="38" xr:uid="{00000000-0005-0000-0000-000028000000}"/>
    <cellStyle name="style1406113849311" xfId="39" xr:uid="{00000000-0005-0000-0000-000029000000}"/>
    <cellStyle name="style1406113849339" xfId="40" xr:uid="{00000000-0005-0000-0000-00002A000000}"/>
    <cellStyle name="style1406113849367" xfId="41" xr:uid="{00000000-0005-0000-0000-00002B000000}"/>
    <cellStyle name="style1406113849389" xfId="42" xr:uid="{00000000-0005-0000-0000-00002C000000}"/>
    <cellStyle name="style1406113849413" xfId="43" xr:uid="{00000000-0005-0000-0000-00002D000000}"/>
    <cellStyle name="style1406113849558" xfId="44" xr:uid="{00000000-0005-0000-0000-00002E000000}"/>
    <cellStyle name="style1406113849582" xfId="45" xr:uid="{00000000-0005-0000-0000-00002F000000}"/>
    <cellStyle name="style1406113849605" xfId="46" xr:uid="{00000000-0005-0000-0000-000030000000}"/>
    <cellStyle name="style1406113849630" xfId="47" xr:uid="{00000000-0005-0000-0000-000031000000}"/>
    <cellStyle name="style1406113849653" xfId="48" xr:uid="{00000000-0005-0000-0000-000032000000}"/>
    <cellStyle name="style1406113849674" xfId="49" xr:uid="{00000000-0005-0000-0000-000033000000}"/>
    <cellStyle name="style1406113849701" xfId="50" xr:uid="{00000000-0005-0000-0000-000034000000}"/>
    <cellStyle name="style1406113849728" xfId="51" xr:uid="{00000000-0005-0000-0000-000035000000}"/>
    <cellStyle name="style1406113849754" xfId="52" xr:uid="{00000000-0005-0000-0000-000036000000}"/>
    <cellStyle name="style1406113849781" xfId="53" xr:uid="{00000000-0005-0000-0000-000037000000}"/>
    <cellStyle name="style1406113849808" xfId="54" xr:uid="{00000000-0005-0000-0000-000038000000}"/>
    <cellStyle name="style1406113849835" xfId="55" xr:uid="{00000000-0005-0000-0000-000039000000}"/>
    <cellStyle name="style1406113849856" xfId="56" xr:uid="{00000000-0005-0000-0000-00003A000000}"/>
    <cellStyle name="style1406113849876" xfId="57" xr:uid="{00000000-0005-0000-0000-00003B000000}"/>
    <cellStyle name="style1406113849898" xfId="58" xr:uid="{00000000-0005-0000-0000-00003C000000}"/>
    <cellStyle name="style1406113849921" xfId="59" xr:uid="{00000000-0005-0000-0000-00003D000000}"/>
    <cellStyle name="style1406113849947" xfId="60" xr:uid="{00000000-0005-0000-0000-00003E000000}"/>
    <cellStyle name="style1406113849975" xfId="61" xr:uid="{00000000-0005-0000-0000-00003F000000}"/>
    <cellStyle name="style1406113850004" xfId="62" xr:uid="{00000000-0005-0000-0000-000040000000}"/>
    <cellStyle name="style1406113850027" xfId="63" xr:uid="{00000000-0005-0000-0000-000041000000}"/>
    <cellStyle name="style1406113850054" xfId="64" xr:uid="{00000000-0005-0000-0000-000042000000}"/>
    <cellStyle name="style1406113850081" xfId="65" xr:uid="{00000000-0005-0000-0000-000043000000}"/>
    <cellStyle name="style1406113850103" xfId="66" xr:uid="{00000000-0005-0000-0000-000044000000}"/>
    <cellStyle name="style1406113850129" xfId="67" xr:uid="{00000000-0005-0000-0000-000045000000}"/>
    <cellStyle name="style1406113850156" xfId="68" xr:uid="{00000000-0005-0000-0000-000046000000}"/>
    <cellStyle name="style1406113850182" xfId="69" xr:uid="{00000000-0005-0000-0000-000047000000}"/>
    <cellStyle name="style1406113850203" xfId="70" xr:uid="{00000000-0005-0000-0000-000048000000}"/>
    <cellStyle name="style1406113850224" xfId="71" xr:uid="{00000000-0005-0000-0000-000049000000}"/>
    <cellStyle name="style1406113850258" xfId="72" xr:uid="{00000000-0005-0000-0000-00004A000000}"/>
    <cellStyle name="style1406113850331" xfId="73" xr:uid="{00000000-0005-0000-0000-00004B000000}"/>
    <cellStyle name="style1406113850358" xfId="74" xr:uid="{00000000-0005-0000-0000-00004C000000}"/>
    <cellStyle name="style1406113850380" xfId="75" xr:uid="{00000000-0005-0000-0000-00004D000000}"/>
    <cellStyle name="style1406113850409" xfId="76" xr:uid="{00000000-0005-0000-0000-00004E000000}"/>
    <cellStyle name="style1406113850431" xfId="77" xr:uid="{00000000-0005-0000-0000-00004F000000}"/>
    <cellStyle name="style1406113850452" xfId="78" xr:uid="{00000000-0005-0000-0000-000050000000}"/>
    <cellStyle name="style1406113850474" xfId="79" xr:uid="{00000000-0005-0000-0000-000051000000}"/>
    <cellStyle name="style1406113850501" xfId="80" xr:uid="{00000000-0005-0000-0000-000052000000}"/>
    <cellStyle name="style1406113850522" xfId="81" xr:uid="{00000000-0005-0000-0000-000053000000}"/>
    <cellStyle name="style1406113850542" xfId="82" xr:uid="{00000000-0005-0000-0000-000054000000}"/>
    <cellStyle name="style1406113850570" xfId="83" xr:uid="{00000000-0005-0000-0000-000055000000}"/>
    <cellStyle name="style1406113850591" xfId="84" xr:uid="{00000000-0005-0000-0000-000056000000}"/>
    <cellStyle name="style1406113850614" xfId="85" xr:uid="{00000000-0005-0000-0000-000057000000}"/>
    <cellStyle name="style1406113850636" xfId="86" xr:uid="{00000000-0005-0000-0000-000058000000}"/>
    <cellStyle name="style1406113850655" xfId="87" xr:uid="{00000000-0005-0000-0000-000059000000}"/>
    <cellStyle name="style1406113850674" xfId="88" xr:uid="{00000000-0005-0000-0000-00005A000000}"/>
    <cellStyle name="style1406113850723" xfId="89" xr:uid="{00000000-0005-0000-0000-00005B000000}"/>
    <cellStyle name="style1406113850767" xfId="90" xr:uid="{00000000-0005-0000-0000-00005C000000}"/>
    <cellStyle name="style1406113850816" xfId="91" xr:uid="{00000000-0005-0000-0000-00005D000000}"/>
    <cellStyle name="style1406114189185" xfId="92" xr:uid="{00000000-0005-0000-0000-00005E000000}"/>
    <cellStyle name="style1406114189213" xfId="93" xr:uid="{00000000-0005-0000-0000-00005F000000}"/>
    <cellStyle name="style1406114189239" xfId="94" xr:uid="{00000000-0005-0000-0000-000060000000}"/>
    <cellStyle name="style1406114189259" xfId="95" xr:uid="{00000000-0005-0000-0000-000061000000}"/>
    <cellStyle name="style1406114189283" xfId="96" xr:uid="{00000000-0005-0000-0000-000062000000}"/>
    <cellStyle name="style1406114189307" xfId="97" xr:uid="{00000000-0005-0000-0000-000063000000}"/>
    <cellStyle name="style1406114189331" xfId="98" xr:uid="{00000000-0005-0000-0000-000064000000}"/>
    <cellStyle name="style1406114189356" xfId="99" xr:uid="{00000000-0005-0000-0000-000065000000}"/>
    <cellStyle name="style1406114189382" xfId="100" xr:uid="{00000000-0005-0000-0000-000066000000}"/>
    <cellStyle name="style1406114189407" xfId="101" xr:uid="{00000000-0005-0000-0000-000067000000}"/>
    <cellStyle name="style1406114189432" xfId="102" xr:uid="{00000000-0005-0000-0000-000068000000}"/>
    <cellStyle name="style1406114189459" xfId="103" xr:uid="{00000000-0005-0000-0000-000069000000}"/>
    <cellStyle name="style1406114189481" xfId="104" xr:uid="{00000000-0005-0000-0000-00006A000000}"/>
    <cellStyle name="style1406114189505" xfId="105" xr:uid="{00000000-0005-0000-0000-00006B000000}"/>
    <cellStyle name="style1406114189535" xfId="106" xr:uid="{00000000-0005-0000-0000-00006C000000}"/>
    <cellStyle name="style1406114189560" xfId="107" xr:uid="{00000000-0005-0000-0000-00006D000000}"/>
    <cellStyle name="style1406114189585" xfId="108" xr:uid="{00000000-0005-0000-0000-00006E000000}"/>
    <cellStyle name="style1406114189616" xfId="109" xr:uid="{00000000-0005-0000-0000-00006F000000}"/>
    <cellStyle name="style1406114189644" xfId="110" xr:uid="{00000000-0005-0000-0000-000070000000}"/>
    <cellStyle name="style1406114189671" xfId="111" xr:uid="{00000000-0005-0000-0000-000071000000}"/>
    <cellStyle name="style1406114189696" xfId="112" xr:uid="{00000000-0005-0000-0000-000072000000}"/>
    <cellStyle name="style1406114189716" xfId="113" xr:uid="{00000000-0005-0000-0000-000073000000}"/>
    <cellStyle name="style1406114189736" xfId="114" xr:uid="{00000000-0005-0000-0000-000074000000}"/>
    <cellStyle name="style1406114189757" xfId="115" xr:uid="{00000000-0005-0000-0000-000075000000}"/>
    <cellStyle name="style1406114189778" xfId="116" xr:uid="{00000000-0005-0000-0000-000076000000}"/>
    <cellStyle name="style1406114189799" xfId="117" xr:uid="{00000000-0005-0000-0000-000077000000}"/>
    <cellStyle name="style1406114189820" xfId="118" xr:uid="{00000000-0005-0000-0000-000078000000}"/>
    <cellStyle name="style1406114189840" xfId="119" xr:uid="{00000000-0005-0000-0000-000079000000}"/>
    <cellStyle name="style1406114189860" xfId="120" xr:uid="{00000000-0005-0000-0000-00007A000000}"/>
    <cellStyle name="style1406114189886" xfId="121" xr:uid="{00000000-0005-0000-0000-00007B000000}"/>
    <cellStyle name="style1406114189911" xfId="122" xr:uid="{00000000-0005-0000-0000-00007C000000}"/>
    <cellStyle name="style1406114189990" xfId="123" xr:uid="{00000000-0005-0000-0000-00007D000000}"/>
    <cellStyle name="style1406114190017" xfId="124" xr:uid="{00000000-0005-0000-0000-00007E000000}"/>
    <cellStyle name="style1406114190044" xfId="125" xr:uid="{00000000-0005-0000-0000-00007F000000}"/>
    <cellStyle name="style1406114190069" xfId="126" xr:uid="{00000000-0005-0000-0000-000080000000}"/>
    <cellStyle name="style1406114190088" xfId="127" xr:uid="{00000000-0005-0000-0000-000081000000}"/>
    <cellStyle name="style1406114190108" xfId="128" xr:uid="{00000000-0005-0000-0000-000082000000}"/>
    <cellStyle name="style1406114190127" xfId="129" xr:uid="{00000000-0005-0000-0000-000083000000}"/>
    <cellStyle name="style1406114190148" xfId="130" xr:uid="{00000000-0005-0000-0000-000084000000}"/>
    <cellStyle name="style1406114190171" xfId="131" xr:uid="{00000000-0005-0000-0000-000085000000}"/>
    <cellStyle name="style1406114190195" xfId="132" xr:uid="{00000000-0005-0000-0000-000086000000}"/>
    <cellStyle name="style1406114190219" xfId="133" xr:uid="{00000000-0005-0000-0000-000087000000}"/>
    <cellStyle name="style1406114190238" xfId="134" xr:uid="{00000000-0005-0000-0000-000088000000}"/>
    <cellStyle name="style1406114190262" xfId="135" xr:uid="{00000000-0005-0000-0000-000089000000}"/>
    <cellStyle name="style1406114190285" xfId="136" xr:uid="{00000000-0005-0000-0000-00008A000000}"/>
    <cellStyle name="style1406114190303" xfId="137" xr:uid="{00000000-0005-0000-0000-00008B000000}"/>
    <cellStyle name="style1406114190327" xfId="138" xr:uid="{00000000-0005-0000-0000-00008C000000}"/>
    <cellStyle name="style1406114190351" xfId="139" xr:uid="{00000000-0005-0000-0000-00008D000000}"/>
    <cellStyle name="style1406114190375" xfId="140" xr:uid="{00000000-0005-0000-0000-00008E000000}"/>
    <cellStyle name="style1406114190395" xfId="141" xr:uid="{00000000-0005-0000-0000-00008F000000}"/>
    <cellStyle name="style1406114190415" xfId="142" xr:uid="{00000000-0005-0000-0000-000090000000}"/>
    <cellStyle name="style1406114190439" xfId="143" xr:uid="{00000000-0005-0000-0000-000091000000}"/>
    <cellStyle name="style1406114190464" xfId="144" xr:uid="{00000000-0005-0000-0000-000092000000}"/>
    <cellStyle name="style1406114190487" xfId="145" xr:uid="{00000000-0005-0000-0000-000093000000}"/>
    <cellStyle name="style1406114190507" xfId="146" xr:uid="{00000000-0005-0000-0000-000094000000}"/>
    <cellStyle name="style1406114190534" xfId="147" xr:uid="{00000000-0005-0000-0000-000095000000}"/>
    <cellStyle name="style1406114190553" xfId="148" xr:uid="{00000000-0005-0000-0000-000096000000}"/>
    <cellStyle name="style1406114190571" xfId="149" xr:uid="{00000000-0005-0000-0000-000097000000}"/>
    <cellStyle name="style1406114190588" xfId="150" xr:uid="{00000000-0005-0000-0000-000098000000}"/>
    <cellStyle name="style1406114190609" xfId="151" xr:uid="{00000000-0005-0000-0000-000099000000}"/>
    <cellStyle name="style1406114190628" xfId="152" xr:uid="{00000000-0005-0000-0000-00009A000000}"/>
    <cellStyle name="style1406114190647" xfId="153" xr:uid="{00000000-0005-0000-0000-00009B000000}"/>
    <cellStyle name="style1406114190666" xfId="154" xr:uid="{00000000-0005-0000-0000-00009C000000}"/>
    <cellStyle name="style1406114190687" xfId="155" xr:uid="{00000000-0005-0000-0000-00009D000000}"/>
    <cellStyle name="style1406114190844" xfId="156" xr:uid="{00000000-0005-0000-0000-00009E000000}"/>
    <cellStyle name="style1406114190863" xfId="157" xr:uid="{00000000-0005-0000-0000-00009F000000}"/>
    <cellStyle name="style1406114190881" xfId="158" xr:uid="{00000000-0005-0000-0000-0000A0000000}"/>
    <cellStyle name="style1406114190900" xfId="159" xr:uid="{00000000-0005-0000-0000-0000A1000000}"/>
    <cellStyle name="style1406114190959" xfId="160" xr:uid="{00000000-0005-0000-0000-0000A2000000}"/>
    <cellStyle name="style1406114191014" xfId="161" xr:uid="{00000000-0005-0000-0000-0000A3000000}"/>
    <cellStyle name="style1406114191303" xfId="162" xr:uid="{00000000-0005-0000-0000-0000A4000000}"/>
    <cellStyle name="style1406114191912" xfId="163" xr:uid="{00000000-0005-0000-0000-0000A5000000}"/>
    <cellStyle name="style1406114345186" xfId="164" xr:uid="{00000000-0005-0000-0000-0000A6000000}"/>
    <cellStyle name="style1406114345361" xfId="165" xr:uid="{00000000-0005-0000-0000-0000A7000000}"/>
    <cellStyle name="style1406114398523" xfId="166" xr:uid="{00000000-0005-0000-0000-0000A8000000}"/>
    <cellStyle name="style1406114398549" xfId="167" xr:uid="{00000000-0005-0000-0000-0000A9000000}"/>
    <cellStyle name="style1406114398571" xfId="168" xr:uid="{00000000-0005-0000-0000-0000AA000000}"/>
    <cellStyle name="style1406114398589" xfId="169" xr:uid="{00000000-0005-0000-0000-0000AB000000}"/>
    <cellStyle name="style1406114398610" xfId="170" xr:uid="{00000000-0005-0000-0000-0000AC000000}"/>
    <cellStyle name="style1406114398632" xfId="171" xr:uid="{00000000-0005-0000-0000-0000AD000000}"/>
    <cellStyle name="style1406114398654" xfId="172" xr:uid="{00000000-0005-0000-0000-0000AE000000}"/>
    <cellStyle name="style1406114398679" xfId="173" xr:uid="{00000000-0005-0000-0000-0000AF000000}"/>
    <cellStyle name="style1406114398703" xfId="174" xr:uid="{00000000-0005-0000-0000-0000B0000000}"/>
    <cellStyle name="style1406114398726" xfId="175" xr:uid="{00000000-0005-0000-0000-0000B1000000}"/>
    <cellStyle name="style1406114398750" xfId="176" xr:uid="{00000000-0005-0000-0000-0000B2000000}"/>
    <cellStyle name="style1406114398774" xfId="177" xr:uid="{00000000-0005-0000-0000-0000B3000000}"/>
    <cellStyle name="style1406114398792" xfId="178" xr:uid="{00000000-0005-0000-0000-0000B4000000}"/>
    <cellStyle name="style1406114398812" xfId="179" xr:uid="{00000000-0005-0000-0000-0000B5000000}"/>
    <cellStyle name="style1406114398835" xfId="180" xr:uid="{00000000-0005-0000-0000-0000B6000000}"/>
    <cellStyle name="style1406114398855" xfId="181" xr:uid="{00000000-0005-0000-0000-0000B7000000}"/>
    <cellStyle name="style1406114398880" xfId="182" xr:uid="{00000000-0005-0000-0000-0000B8000000}"/>
    <cellStyle name="style1406114398898" xfId="183" xr:uid="{00000000-0005-0000-0000-0000B9000000}"/>
    <cellStyle name="style1406114398922" xfId="184" xr:uid="{00000000-0005-0000-0000-0000BA000000}"/>
    <cellStyle name="style1406114398946" xfId="185" xr:uid="{00000000-0005-0000-0000-0000BB000000}"/>
    <cellStyle name="style1406114398972" xfId="186" xr:uid="{00000000-0005-0000-0000-0000BC000000}"/>
    <cellStyle name="style1406114398991" xfId="187" xr:uid="{00000000-0005-0000-0000-0000BD000000}"/>
    <cellStyle name="style1406114399009" xfId="188" xr:uid="{00000000-0005-0000-0000-0000BE000000}"/>
    <cellStyle name="style1406114399027" xfId="189" xr:uid="{00000000-0005-0000-0000-0000BF000000}"/>
    <cellStyle name="style1406114399044" xfId="190" xr:uid="{00000000-0005-0000-0000-0000C0000000}"/>
    <cellStyle name="style1406114399064" xfId="191" xr:uid="{00000000-0005-0000-0000-0000C1000000}"/>
    <cellStyle name="style1406114399083" xfId="192" xr:uid="{00000000-0005-0000-0000-0000C2000000}"/>
    <cellStyle name="style1406114399102" xfId="193" xr:uid="{00000000-0005-0000-0000-0000C3000000}"/>
    <cellStyle name="style1406114399120" xfId="194" xr:uid="{00000000-0005-0000-0000-0000C4000000}"/>
    <cellStyle name="style1406114399144" xfId="195" xr:uid="{00000000-0005-0000-0000-0000C5000000}"/>
    <cellStyle name="style1406114399167" xfId="196" xr:uid="{00000000-0005-0000-0000-0000C6000000}"/>
    <cellStyle name="style1406114399199" xfId="197" xr:uid="{00000000-0005-0000-0000-0000C7000000}"/>
    <cellStyle name="style1406114399226" xfId="198" xr:uid="{00000000-0005-0000-0000-0000C8000000}"/>
    <cellStyle name="style1406114399254" xfId="199" xr:uid="{00000000-0005-0000-0000-0000C9000000}"/>
    <cellStyle name="style1406114399277" xfId="200" xr:uid="{00000000-0005-0000-0000-0000CA000000}"/>
    <cellStyle name="style1406114399294" xfId="201" xr:uid="{00000000-0005-0000-0000-0000CB000000}"/>
    <cellStyle name="style1406114399311" xfId="202" xr:uid="{00000000-0005-0000-0000-0000CC000000}"/>
    <cellStyle name="style1406114399329" xfId="203" xr:uid="{00000000-0005-0000-0000-0000CD000000}"/>
    <cellStyle name="style1406114399348" xfId="204" xr:uid="{00000000-0005-0000-0000-0000CE000000}"/>
    <cellStyle name="style1406114399367" xfId="205" xr:uid="{00000000-0005-0000-0000-0000CF000000}"/>
    <cellStyle name="style1406114399389" xfId="206" xr:uid="{00000000-0005-0000-0000-0000D0000000}"/>
    <cellStyle name="style1406114399411" xfId="207" xr:uid="{00000000-0005-0000-0000-0000D1000000}"/>
    <cellStyle name="style1406114399490" xfId="208" xr:uid="{00000000-0005-0000-0000-0000D2000000}"/>
    <cellStyle name="style1406114399512" xfId="209" xr:uid="{00000000-0005-0000-0000-0000D3000000}"/>
    <cellStyle name="style1406114399534" xfId="210" xr:uid="{00000000-0005-0000-0000-0000D4000000}"/>
    <cellStyle name="style1406114399551" xfId="211" xr:uid="{00000000-0005-0000-0000-0000D5000000}"/>
    <cellStyle name="style1406114399576" xfId="212" xr:uid="{00000000-0005-0000-0000-0000D6000000}"/>
    <cellStyle name="style1406114399599" xfId="213" xr:uid="{00000000-0005-0000-0000-0000D7000000}"/>
    <cellStyle name="style1406114399622" xfId="214" xr:uid="{00000000-0005-0000-0000-0000D8000000}"/>
    <cellStyle name="style1406114399641" xfId="215" xr:uid="{00000000-0005-0000-0000-0000D9000000}"/>
    <cellStyle name="style1406114399662" xfId="216" xr:uid="{00000000-0005-0000-0000-0000DA000000}"/>
    <cellStyle name="style1406114399689" xfId="217" xr:uid="{00000000-0005-0000-0000-0000DB000000}"/>
    <cellStyle name="style1406114399716" xfId="218" xr:uid="{00000000-0005-0000-0000-0000DC000000}"/>
    <cellStyle name="style1406114399740" xfId="219" xr:uid="{00000000-0005-0000-0000-0000DD000000}"/>
    <cellStyle name="style1406114399758" xfId="220" xr:uid="{00000000-0005-0000-0000-0000DE000000}"/>
    <cellStyle name="style1406114399783" xfId="221" xr:uid="{00000000-0005-0000-0000-0000DF000000}"/>
    <cellStyle name="style1406114399802" xfId="222" xr:uid="{00000000-0005-0000-0000-0000E0000000}"/>
    <cellStyle name="style1406114399820" xfId="223" xr:uid="{00000000-0005-0000-0000-0000E1000000}"/>
    <cellStyle name="style1406114399839" xfId="224" xr:uid="{00000000-0005-0000-0000-0000E2000000}"/>
    <cellStyle name="style1406114399860" xfId="225" xr:uid="{00000000-0005-0000-0000-0000E3000000}"/>
    <cellStyle name="style1406114399878" xfId="226" xr:uid="{00000000-0005-0000-0000-0000E4000000}"/>
    <cellStyle name="style1406114399896" xfId="227" xr:uid="{00000000-0005-0000-0000-0000E5000000}"/>
    <cellStyle name="style1406114399914" xfId="228" xr:uid="{00000000-0005-0000-0000-0000E6000000}"/>
    <cellStyle name="style1406114399932" xfId="229" xr:uid="{00000000-0005-0000-0000-0000E7000000}"/>
    <cellStyle name="style1406114399951" xfId="230" xr:uid="{00000000-0005-0000-0000-0000E8000000}"/>
    <cellStyle name="style1406114399969" xfId="231" xr:uid="{00000000-0005-0000-0000-0000E9000000}"/>
    <cellStyle name="style1406114399987" xfId="232" xr:uid="{00000000-0005-0000-0000-0000EA000000}"/>
    <cellStyle name="style1406114400018" xfId="233" xr:uid="{00000000-0005-0000-0000-0000EB000000}"/>
    <cellStyle name="style1406114400104" xfId="234" xr:uid="{00000000-0005-0000-0000-0000EC000000}"/>
    <cellStyle name="style1406114400339" xfId="235" xr:uid="{00000000-0005-0000-0000-0000ED000000}"/>
    <cellStyle name="style1406114400806" xfId="236" xr:uid="{00000000-0005-0000-0000-0000EE000000}"/>
    <cellStyle name="style1406114440149" xfId="237" xr:uid="{00000000-0005-0000-0000-0000EF000000}"/>
    <cellStyle name="style1406114440175" xfId="238" xr:uid="{00000000-0005-0000-0000-0000F0000000}"/>
    <cellStyle name="style1406114440200" xfId="239" xr:uid="{00000000-0005-0000-0000-0000F1000000}"/>
    <cellStyle name="style1406114440219" xfId="240" xr:uid="{00000000-0005-0000-0000-0000F2000000}"/>
    <cellStyle name="style1406114440242" xfId="241" xr:uid="{00000000-0005-0000-0000-0000F3000000}"/>
    <cellStyle name="style1406114440265" xfId="242" xr:uid="{00000000-0005-0000-0000-0000F4000000}"/>
    <cellStyle name="style1406114440288" xfId="243" xr:uid="{00000000-0005-0000-0000-0000F5000000}"/>
    <cellStyle name="style1406114440311" xfId="244" xr:uid="{00000000-0005-0000-0000-0000F6000000}"/>
    <cellStyle name="style1406114440332" xfId="245" xr:uid="{00000000-0005-0000-0000-0000F7000000}"/>
    <cellStyle name="style1406114440354" xfId="246" xr:uid="{00000000-0005-0000-0000-0000F8000000}"/>
    <cellStyle name="style1406114440375" xfId="247" xr:uid="{00000000-0005-0000-0000-0000F9000000}"/>
    <cellStyle name="style1406114440396" xfId="248" xr:uid="{00000000-0005-0000-0000-0000FA000000}"/>
    <cellStyle name="style1406114440413" xfId="249" xr:uid="{00000000-0005-0000-0000-0000FB000000}"/>
    <cellStyle name="style1406114440430" xfId="250" xr:uid="{00000000-0005-0000-0000-0000FC000000}"/>
    <cellStyle name="style1406114440452" xfId="251" xr:uid="{00000000-0005-0000-0000-0000FD000000}"/>
    <cellStyle name="style1406114440470" xfId="252" xr:uid="{00000000-0005-0000-0000-0000FE000000}"/>
    <cellStyle name="style1406114440492" xfId="253" xr:uid="{00000000-0005-0000-0000-0000FF000000}"/>
    <cellStyle name="style1406114440509" xfId="254" xr:uid="{00000000-0005-0000-0000-000000010000}"/>
    <cellStyle name="style1406114440531" xfId="255" xr:uid="{00000000-0005-0000-0000-000001010000}"/>
    <cellStyle name="style1406114440552" xfId="256" xr:uid="{00000000-0005-0000-0000-000002010000}"/>
    <cellStyle name="style1406114440573" xfId="257" xr:uid="{00000000-0005-0000-0000-000003010000}"/>
    <cellStyle name="style1406114440590" xfId="258" xr:uid="{00000000-0005-0000-0000-000004010000}"/>
    <cellStyle name="style1406114440607" xfId="259" xr:uid="{00000000-0005-0000-0000-000005010000}"/>
    <cellStyle name="style1406114440624" xfId="260" xr:uid="{00000000-0005-0000-0000-000006010000}"/>
    <cellStyle name="style1406114440641" xfId="261" xr:uid="{00000000-0005-0000-0000-000007010000}"/>
    <cellStyle name="style1406114440657" xfId="262" xr:uid="{00000000-0005-0000-0000-000008010000}"/>
    <cellStyle name="style1406114440676" xfId="263" xr:uid="{00000000-0005-0000-0000-000009010000}"/>
    <cellStyle name="style1406114440693" xfId="264" xr:uid="{00000000-0005-0000-0000-00000A010000}"/>
    <cellStyle name="style1406114440711" xfId="265" xr:uid="{00000000-0005-0000-0000-00000B010000}"/>
    <cellStyle name="style1406114440733" xfId="266" xr:uid="{00000000-0005-0000-0000-00000C010000}"/>
    <cellStyle name="style1406114440756" xfId="267" xr:uid="{00000000-0005-0000-0000-00000D010000}"/>
    <cellStyle name="style1406114440778" xfId="268" xr:uid="{00000000-0005-0000-0000-00000E010000}"/>
    <cellStyle name="style1406114440801" xfId="269" xr:uid="{00000000-0005-0000-0000-00000F010000}"/>
    <cellStyle name="style1406114440831" xfId="270" xr:uid="{00000000-0005-0000-0000-000010010000}"/>
    <cellStyle name="style1406114440854" xfId="271" xr:uid="{00000000-0005-0000-0000-000011010000}"/>
    <cellStyle name="style1406114440871" xfId="272" xr:uid="{00000000-0005-0000-0000-000012010000}"/>
    <cellStyle name="style1406114440888" xfId="273" xr:uid="{00000000-0005-0000-0000-000013010000}"/>
    <cellStyle name="style1406114440905" xfId="274" xr:uid="{00000000-0005-0000-0000-000014010000}"/>
    <cellStyle name="style1406114440922" xfId="275" xr:uid="{00000000-0005-0000-0000-000015010000}"/>
    <cellStyle name="style1406114440941" xfId="276" xr:uid="{00000000-0005-0000-0000-000016010000}"/>
    <cellStyle name="style1406114440964" xfId="277" xr:uid="{00000000-0005-0000-0000-000017010000}"/>
    <cellStyle name="style1406114440986" xfId="278" xr:uid="{00000000-0005-0000-0000-000018010000}"/>
    <cellStyle name="style1406114441003" xfId="279" xr:uid="{00000000-0005-0000-0000-000019010000}"/>
    <cellStyle name="style1406114441024" xfId="280" xr:uid="{00000000-0005-0000-0000-00001A010000}"/>
    <cellStyle name="style1406114441046" xfId="281" xr:uid="{00000000-0005-0000-0000-00001B010000}"/>
    <cellStyle name="style1406114441063" xfId="282" xr:uid="{00000000-0005-0000-0000-00001C010000}"/>
    <cellStyle name="style1406114441085" xfId="283" xr:uid="{00000000-0005-0000-0000-00001D010000}"/>
    <cellStyle name="style1406114441106" xfId="284" xr:uid="{00000000-0005-0000-0000-00001E010000}"/>
    <cellStyle name="style1406114441127" xfId="285" xr:uid="{00000000-0005-0000-0000-00001F010000}"/>
    <cellStyle name="style1406114441144" xfId="286" xr:uid="{00000000-0005-0000-0000-000020010000}"/>
    <cellStyle name="style1406114441245" xfId="287" xr:uid="{00000000-0005-0000-0000-000021010000}"/>
    <cellStyle name="style1406114441267" xfId="288" xr:uid="{00000000-0005-0000-0000-000022010000}"/>
    <cellStyle name="style1406114441288" xfId="289" xr:uid="{00000000-0005-0000-0000-000023010000}"/>
    <cellStyle name="style1406114441309" xfId="290" xr:uid="{00000000-0005-0000-0000-000024010000}"/>
    <cellStyle name="style1406114441326" xfId="291" xr:uid="{00000000-0005-0000-0000-000025010000}"/>
    <cellStyle name="style1406114441350" xfId="292" xr:uid="{00000000-0005-0000-0000-000026010000}"/>
    <cellStyle name="style1406114441369" xfId="293" xr:uid="{00000000-0005-0000-0000-000027010000}"/>
    <cellStyle name="style1406114441387" xfId="294" xr:uid="{00000000-0005-0000-0000-000028010000}"/>
    <cellStyle name="style1406114441405" xfId="295" xr:uid="{00000000-0005-0000-0000-000029010000}"/>
    <cellStyle name="style1406114441425" xfId="296" xr:uid="{00000000-0005-0000-0000-00002A010000}"/>
    <cellStyle name="style1406114441444" xfId="297" xr:uid="{00000000-0005-0000-0000-00002B010000}"/>
    <cellStyle name="style1406114441462" xfId="298" xr:uid="{00000000-0005-0000-0000-00002C010000}"/>
    <cellStyle name="style1406114441479" xfId="299" xr:uid="{00000000-0005-0000-0000-00002D010000}"/>
    <cellStyle name="style1406114441496" xfId="300" xr:uid="{00000000-0005-0000-0000-00002E010000}"/>
    <cellStyle name="style1406114441514" xfId="301" xr:uid="{00000000-0005-0000-0000-00002F010000}"/>
    <cellStyle name="style1406114441532" xfId="302" xr:uid="{00000000-0005-0000-0000-000030010000}"/>
    <cellStyle name="style1406114441549" xfId="303" xr:uid="{00000000-0005-0000-0000-000031010000}"/>
    <cellStyle name="style1406114441566" xfId="304" xr:uid="{00000000-0005-0000-0000-000032010000}"/>
    <cellStyle name="style1406114441594" xfId="305" xr:uid="{00000000-0005-0000-0000-000033010000}"/>
    <cellStyle name="style1406114441626" xfId="306" xr:uid="{00000000-0005-0000-0000-000034010000}"/>
    <cellStyle name="style1406114442197" xfId="307" xr:uid="{00000000-0005-0000-0000-000035010000}"/>
    <cellStyle name="style1406114490232" xfId="308" xr:uid="{00000000-0005-0000-0000-000036010000}"/>
    <cellStyle name="style1406114490278" xfId="309" xr:uid="{00000000-0005-0000-0000-000037010000}"/>
    <cellStyle name="style1406114490860" xfId="310" xr:uid="{00000000-0005-0000-0000-000038010000}"/>
    <cellStyle name="style1406114491098" xfId="311" xr:uid="{00000000-0005-0000-0000-000039010000}"/>
    <cellStyle name="style1406114491204" xfId="312" xr:uid="{00000000-0005-0000-0000-00003A010000}"/>
    <cellStyle name="style1406114491528" xfId="313" xr:uid="{00000000-0005-0000-0000-00003B010000}"/>
    <cellStyle name="style1406114491549" xfId="314" xr:uid="{00000000-0005-0000-0000-00003C010000}"/>
    <cellStyle name="style1406114491606" xfId="315" xr:uid="{00000000-0005-0000-0000-00003D010000}"/>
    <cellStyle name="style1406114491677" xfId="316" xr:uid="{00000000-0005-0000-0000-00003E010000}"/>
    <cellStyle name="style1406182998088" xfId="317" xr:uid="{00000000-0005-0000-0000-00003F010000}"/>
    <cellStyle name="style1406182998186" xfId="318" xr:uid="{00000000-0005-0000-0000-000040010000}"/>
    <cellStyle name="style1406183036983" xfId="319" xr:uid="{00000000-0005-0000-0000-000041010000}"/>
    <cellStyle name="style1411446450504" xfId="320" xr:uid="{00000000-0005-0000-0000-000042010000}"/>
    <cellStyle name="style1411446450551" xfId="321" xr:uid="{00000000-0005-0000-0000-000043010000}"/>
    <cellStyle name="style1411446450598" xfId="322" xr:uid="{00000000-0005-0000-0000-000044010000}"/>
    <cellStyle name="style1411446450629" xfId="323" xr:uid="{00000000-0005-0000-0000-000045010000}"/>
    <cellStyle name="style1411446450660" xfId="324" xr:uid="{00000000-0005-0000-0000-000046010000}"/>
    <cellStyle name="style1411446450738" xfId="325" xr:uid="{00000000-0005-0000-0000-000047010000}"/>
    <cellStyle name="style1411446450769" xfId="326" xr:uid="{00000000-0005-0000-0000-000048010000}"/>
    <cellStyle name="style1411446450801" xfId="327" xr:uid="{00000000-0005-0000-0000-000049010000}"/>
    <cellStyle name="style1411446450847" xfId="328" xr:uid="{00000000-0005-0000-0000-00004A010000}"/>
    <cellStyle name="style1411446450879" xfId="329" xr:uid="{00000000-0005-0000-0000-00004B010000}"/>
    <cellStyle name="style1411446450910" xfId="330" xr:uid="{00000000-0005-0000-0000-00004C010000}"/>
    <cellStyle name="style1411446450957" xfId="331" xr:uid="{00000000-0005-0000-0000-00004D010000}"/>
    <cellStyle name="style1411446450988" xfId="332" xr:uid="{00000000-0005-0000-0000-00004E010000}"/>
    <cellStyle name="style1411446451019" xfId="333" xr:uid="{00000000-0005-0000-0000-00004F010000}"/>
    <cellStyle name="style1411446451050" xfId="334" xr:uid="{00000000-0005-0000-0000-000050010000}"/>
    <cellStyle name="style1411446451128" xfId="335" xr:uid="{00000000-0005-0000-0000-000051010000}"/>
    <cellStyle name="style1411446451159" xfId="336" xr:uid="{00000000-0005-0000-0000-000052010000}"/>
    <cellStyle name="style1411446451191" xfId="337" xr:uid="{00000000-0005-0000-0000-000053010000}"/>
    <cellStyle name="style1411446451206" xfId="338" xr:uid="{00000000-0005-0000-0000-000054010000}"/>
    <cellStyle name="style1411446451237" xfId="339" xr:uid="{00000000-0005-0000-0000-000055010000}"/>
    <cellStyle name="style1411446451269" xfId="340" xr:uid="{00000000-0005-0000-0000-000056010000}"/>
    <cellStyle name="style1411446451284" xfId="341" xr:uid="{00000000-0005-0000-0000-000057010000}"/>
    <cellStyle name="style1411446451315" xfId="342" xr:uid="{00000000-0005-0000-0000-000058010000}"/>
    <cellStyle name="style1411446451331" xfId="343" xr:uid="{00000000-0005-0000-0000-000059010000}"/>
    <cellStyle name="style1411446451362" xfId="344" xr:uid="{00000000-0005-0000-0000-00005A010000}"/>
    <cellStyle name="style1411446451378" xfId="345" xr:uid="{00000000-0005-0000-0000-00005B010000}"/>
    <cellStyle name="style1411446451409" xfId="346" xr:uid="{00000000-0005-0000-0000-00005C010000}"/>
    <cellStyle name="style1411446451471" xfId="347" xr:uid="{00000000-0005-0000-0000-00005D010000}"/>
    <cellStyle name="style1411446451518" xfId="348" xr:uid="{00000000-0005-0000-0000-00005E010000}"/>
    <cellStyle name="style1411446451549" xfId="349" xr:uid="{00000000-0005-0000-0000-00005F010000}"/>
    <cellStyle name="style1411446451581" xfId="350" xr:uid="{00000000-0005-0000-0000-000060010000}"/>
    <cellStyle name="style1411446451596" xfId="351" xr:uid="{00000000-0005-0000-0000-000061010000}"/>
    <cellStyle name="style1411446451627" xfId="352" xr:uid="{00000000-0005-0000-0000-000062010000}"/>
    <cellStyle name="style1411446451659" xfId="353" xr:uid="{00000000-0005-0000-0000-000063010000}"/>
    <cellStyle name="style1411446451690" xfId="354" xr:uid="{00000000-0005-0000-0000-000064010000}"/>
    <cellStyle name="style1411446451705" xfId="355" xr:uid="{00000000-0005-0000-0000-000065010000}"/>
    <cellStyle name="style1411446451721" xfId="356" xr:uid="{00000000-0005-0000-0000-000066010000}"/>
    <cellStyle name="style1411446451752" xfId="357" xr:uid="{00000000-0005-0000-0000-000067010000}"/>
    <cellStyle name="style1411446451815" xfId="358" xr:uid="{00000000-0005-0000-0000-000068010000}"/>
    <cellStyle name="style1411446451846" xfId="359" xr:uid="{00000000-0005-0000-0000-000069010000}"/>
    <cellStyle name="style1411446451877" xfId="360" xr:uid="{00000000-0005-0000-0000-00006A010000}"/>
    <cellStyle name="style1411446451893" xfId="361" xr:uid="{00000000-0005-0000-0000-00006B010000}"/>
    <cellStyle name="style1411446451924" xfId="362" xr:uid="{00000000-0005-0000-0000-00006C010000}"/>
    <cellStyle name="style1411446451955" xfId="363" xr:uid="{00000000-0005-0000-0000-00006D010000}"/>
    <cellStyle name="style1411446451971" xfId="364" xr:uid="{00000000-0005-0000-0000-00006E010000}"/>
    <cellStyle name="style1411446452002" xfId="365" xr:uid="{00000000-0005-0000-0000-00006F010000}"/>
    <cellStyle name="style1411446452033" xfId="366" xr:uid="{00000000-0005-0000-0000-000070010000}"/>
    <cellStyle name="style1411446452049" xfId="367" xr:uid="{00000000-0005-0000-0000-000071010000}"/>
    <cellStyle name="style1411446452111" xfId="368" xr:uid="{00000000-0005-0000-0000-000072010000}"/>
    <cellStyle name="style1411446452142" xfId="369" xr:uid="{00000000-0005-0000-0000-000073010000}"/>
    <cellStyle name="style1411446452158" xfId="370" xr:uid="{00000000-0005-0000-0000-000074010000}"/>
    <cellStyle name="style1411446452189" xfId="371" xr:uid="{00000000-0005-0000-0000-000075010000}"/>
    <cellStyle name="style1411446452220" xfId="372" xr:uid="{00000000-0005-0000-0000-000076010000}"/>
    <cellStyle name="style1411446452236" xfId="373" xr:uid="{00000000-0005-0000-0000-000077010000}"/>
    <cellStyle name="style1411446452267" xfId="374" xr:uid="{00000000-0005-0000-0000-000078010000}"/>
    <cellStyle name="style1411446452298" xfId="375" xr:uid="{00000000-0005-0000-0000-000079010000}"/>
    <cellStyle name="style1411446452314" xfId="376" xr:uid="{00000000-0005-0000-0000-00007A010000}"/>
    <cellStyle name="style1411446452329" xfId="377" xr:uid="{00000000-0005-0000-0000-00007B010000}"/>
    <cellStyle name="style1411446452361" xfId="378" xr:uid="{00000000-0005-0000-0000-00007C010000}"/>
    <cellStyle name="style1411446452407" xfId="379" xr:uid="{00000000-0005-0000-0000-00007D010000}"/>
    <cellStyle name="style1411446452439" xfId="380" xr:uid="{00000000-0005-0000-0000-00007E010000}"/>
    <cellStyle name="style1411446452454" xfId="381" xr:uid="{00000000-0005-0000-0000-00007F010000}"/>
    <cellStyle name="style1411446452485" xfId="382" xr:uid="{00000000-0005-0000-0000-000080010000}"/>
    <cellStyle name="style1411446452501" xfId="383" xr:uid="{00000000-0005-0000-0000-000081010000}"/>
    <cellStyle name="style1411446452532" xfId="384" xr:uid="{00000000-0005-0000-0000-000082010000}"/>
    <cellStyle name="style1411446452548" xfId="385" xr:uid="{00000000-0005-0000-0000-000083010000}"/>
    <cellStyle name="style1411446452563" xfId="386" xr:uid="{00000000-0005-0000-0000-000084010000}"/>
    <cellStyle name="style1411449801970" xfId="387" xr:uid="{00000000-0005-0000-0000-000085010000}"/>
    <cellStyle name="style1411449802014" xfId="388" xr:uid="{00000000-0005-0000-0000-000086010000}"/>
    <cellStyle name="style1411449802039" xfId="389" xr:uid="{00000000-0005-0000-0000-000087010000}"/>
    <cellStyle name="style1411449802064" xfId="390" xr:uid="{00000000-0005-0000-0000-000088010000}"/>
    <cellStyle name="style1411449802092" xfId="391" xr:uid="{00000000-0005-0000-0000-000089010000}"/>
    <cellStyle name="style1411449802118" xfId="392" xr:uid="{00000000-0005-0000-0000-00008A010000}"/>
    <cellStyle name="style1411449802516" xfId="393" xr:uid="{00000000-0005-0000-0000-00008B010000}"/>
    <cellStyle name="style1411449802578" xfId="394" xr:uid="{00000000-0005-0000-0000-00008C010000}"/>
    <cellStyle name="style1411449802602" xfId="395" xr:uid="{00000000-0005-0000-0000-00008D010000}"/>
    <cellStyle name="style1411449802628" xfId="396" xr:uid="{00000000-0005-0000-0000-00008E010000}"/>
    <cellStyle name="style1411449802695" xfId="397" xr:uid="{00000000-0005-0000-0000-00008F010000}"/>
    <cellStyle name="style1411449802719" xfId="398" xr:uid="{00000000-0005-0000-0000-000090010000}"/>
    <cellStyle name="style1411449802744" xfId="399" xr:uid="{00000000-0005-0000-0000-000091010000}"/>
    <cellStyle name="style1411449802916" xfId="400" xr:uid="{00000000-0005-0000-0000-000092010000}"/>
    <cellStyle name="style1411449802935" xfId="401" xr:uid="{00000000-0005-0000-0000-000093010000}"/>
    <cellStyle name="style1411449802987" xfId="402" xr:uid="{00000000-0005-0000-0000-000094010000}"/>
    <cellStyle name="style1411449803130" xfId="403" xr:uid="{00000000-0005-0000-0000-000095010000}"/>
    <cellStyle name="style1411449803296" xfId="404" xr:uid="{00000000-0005-0000-0000-000096010000}"/>
    <cellStyle name="style1411449803317" xfId="405" xr:uid="{00000000-0005-0000-0000-000097010000}"/>
    <cellStyle name="style1411449803337" xfId="406" xr:uid="{00000000-0005-0000-0000-000098010000}"/>
    <cellStyle name="style1411449803356" xfId="407" xr:uid="{00000000-0005-0000-0000-000099010000}"/>
    <cellStyle name="style1411449803379" xfId="408" xr:uid="{00000000-0005-0000-0000-00009A010000}"/>
    <cellStyle name="style1411449803400" xfId="409" xr:uid="{00000000-0005-0000-0000-00009B010000}"/>
    <cellStyle name="style1411449803420" xfId="410" xr:uid="{00000000-0005-0000-0000-00009C010000}"/>
    <cellStyle name="style1411449803440" xfId="411" xr:uid="{00000000-0005-0000-0000-00009D010000}"/>
    <cellStyle name="style1411449803461" xfId="412" xr:uid="{00000000-0005-0000-0000-00009E010000}"/>
    <cellStyle name="style1411449803483" xfId="413" xr:uid="{00000000-0005-0000-0000-00009F010000}"/>
    <cellStyle name="style1411449803510" xfId="414" xr:uid="{00000000-0005-0000-0000-0000A0010000}"/>
    <cellStyle name="style1411449803534" xfId="415" xr:uid="{00000000-0005-0000-0000-0000A1010000}"/>
    <cellStyle name="style1411449803554" xfId="416" xr:uid="{00000000-0005-0000-0000-0000A2010000}"/>
    <cellStyle name="style1411449803577" xfId="417" xr:uid="{00000000-0005-0000-0000-0000A3010000}"/>
    <cellStyle name="style1411451081406" xfId="418" xr:uid="{00000000-0005-0000-0000-0000A4010000}"/>
    <cellStyle name="style1411451081449" xfId="419" xr:uid="{00000000-0005-0000-0000-0000A5010000}"/>
    <cellStyle name="style1411451081472" xfId="420" xr:uid="{00000000-0005-0000-0000-0000A6010000}"/>
    <cellStyle name="style1411451081497" xfId="421" xr:uid="{00000000-0005-0000-0000-0000A7010000}"/>
    <cellStyle name="style1411451081522" xfId="422" xr:uid="{00000000-0005-0000-0000-0000A8010000}"/>
    <cellStyle name="style1411451081547" xfId="423" xr:uid="{00000000-0005-0000-0000-0000A9010000}"/>
    <cellStyle name="style1411451081953" xfId="424" xr:uid="{00000000-0005-0000-0000-0000AA010000}"/>
    <cellStyle name="style1411451082017" xfId="425" xr:uid="{00000000-0005-0000-0000-0000AB010000}"/>
    <cellStyle name="style1411451082043" xfId="426" xr:uid="{00000000-0005-0000-0000-0000AC010000}"/>
    <cellStyle name="style1411451082068" xfId="427" xr:uid="{00000000-0005-0000-0000-0000AD010000}"/>
    <cellStyle name="style1411451082091" xfId="428" xr:uid="{00000000-0005-0000-0000-0000AE010000}"/>
    <cellStyle name="style1411451082115" xfId="429" xr:uid="{00000000-0005-0000-0000-0000AF010000}"/>
    <cellStyle name="style1411451082188" xfId="430" xr:uid="{00000000-0005-0000-0000-0000B0010000}"/>
    <cellStyle name="style1411451082364" xfId="431" xr:uid="{00000000-0005-0000-0000-0000B1010000}"/>
    <cellStyle name="style1411451082383" xfId="432" xr:uid="{00000000-0005-0000-0000-0000B2010000}"/>
    <cellStyle name="style1411451082433" xfId="433" xr:uid="{00000000-0005-0000-0000-0000B3010000}"/>
    <cellStyle name="style1411451082533" xfId="434" xr:uid="{00000000-0005-0000-0000-0000B4010000}"/>
    <cellStyle name="style1411451082735" xfId="435" xr:uid="{00000000-0005-0000-0000-0000B5010000}"/>
    <cellStyle name="style1411451082754" xfId="436" xr:uid="{00000000-0005-0000-0000-0000B6010000}"/>
    <cellStyle name="style1411451082774" xfId="437" xr:uid="{00000000-0005-0000-0000-0000B7010000}"/>
    <cellStyle name="style1411451082793" xfId="438" xr:uid="{00000000-0005-0000-0000-0000B8010000}"/>
    <cellStyle name="style1411451082814" xfId="439" xr:uid="{00000000-0005-0000-0000-0000B9010000}"/>
    <cellStyle name="style1411451082834" xfId="440" xr:uid="{00000000-0005-0000-0000-0000BA010000}"/>
    <cellStyle name="style1411451082853" xfId="441" xr:uid="{00000000-0005-0000-0000-0000BB010000}"/>
    <cellStyle name="style1411451082873" xfId="442" xr:uid="{00000000-0005-0000-0000-0000BC010000}"/>
    <cellStyle name="style1411451082893" xfId="443" xr:uid="{00000000-0005-0000-0000-0000BD010000}"/>
    <cellStyle name="style1411451082912" xfId="444" xr:uid="{00000000-0005-0000-0000-0000BE010000}"/>
    <cellStyle name="style1411451082933" xfId="445" xr:uid="{00000000-0005-0000-0000-0000BF010000}"/>
    <cellStyle name="style1411451082954" xfId="446" xr:uid="{00000000-0005-0000-0000-0000C0010000}"/>
    <cellStyle name="style1411451082974" xfId="447" xr:uid="{00000000-0005-0000-0000-0000C1010000}"/>
    <cellStyle name="style1411451082993" xfId="448" xr:uid="{00000000-0005-0000-0000-0000C2010000}"/>
    <cellStyle name="style1411451083012" xfId="449" xr:uid="{00000000-0005-0000-0000-0000C3010000}"/>
    <cellStyle name="style1411542382001" xfId="450" xr:uid="{00000000-0005-0000-0000-0000C4010000}"/>
    <cellStyle name="style1411542382059" xfId="451" xr:uid="{00000000-0005-0000-0000-0000C5010000}"/>
    <cellStyle name="style1411542382094" xfId="452" xr:uid="{00000000-0005-0000-0000-0000C6010000}"/>
    <cellStyle name="style1411542382123" xfId="453" xr:uid="{00000000-0005-0000-0000-0000C7010000}"/>
    <cellStyle name="style1411542382156" xfId="454" xr:uid="{00000000-0005-0000-0000-0000C8010000}"/>
    <cellStyle name="style1411542382190" xfId="455" xr:uid="{00000000-0005-0000-0000-0000C9010000}"/>
    <cellStyle name="style1411542382225" xfId="456" xr:uid="{00000000-0005-0000-0000-0000CA010000}"/>
    <cellStyle name="style1411542382311" xfId="457" xr:uid="{00000000-0005-0000-0000-0000CB010000}"/>
    <cellStyle name="style1411542382346" xfId="458" xr:uid="{00000000-0005-0000-0000-0000CC010000}"/>
    <cellStyle name="style1411542382378" xfId="459" xr:uid="{00000000-0005-0000-0000-0000CD010000}"/>
    <cellStyle name="style1411542382409" xfId="460" xr:uid="{00000000-0005-0000-0000-0000CE010000}"/>
    <cellStyle name="style1411542382440" xfId="461" xr:uid="{00000000-0005-0000-0000-0000CF010000}"/>
    <cellStyle name="style1411542382466" xfId="462" xr:uid="{00000000-0005-0000-0000-0000D0010000}"/>
    <cellStyle name="style1411542382491" xfId="463" xr:uid="{00000000-0005-0000-0000-0000D1010000}"/>
    <cellStyle name="style1411542382523" xfId="464" xr:uid="{00000000-0005-0000-0000-0000D2010000}"/>
    <cellStyle name="style1411542382556" xfId="465" xr:uid="{00000000-0005-0000-0000-0000D3010000}"/>
    <cellStyle name="style1411542382585" xfId="466" xr:uid="{00000000-0005-0000-0000-0000D4010000}"/>
    <cellStyle name="style1411542382613" xfId="467" xr:uid="{00000000-0005-0000-0000-0000D5010000}"/>
    <cellStyle name="style1411542382701" xfId="468" xr:uid="{00000000-0005-0000-0000-0000D6010000}"/>
    <cellStyle name="style1411542382751" xfId="469" xr:uid="{00000000-0005-0000-0000-0000D7010000}"/>
    <cellStyle name="style1411542382774" xfId="470" xr:uid="{00000000-0005-0000-0000-0000D8010000}"/>
    <cellStyle name="style1411542382797" xfId="471" xr:uid="{00000000-0005-0000-0000-0000D9010000}"/>
    <cellStyle name="style1411542382821" xfId="472" xr:uid="{00000000-0005-0000-0000-0000DA010000}"/>
    <cellStyle name="style1411542382844" xfId="473" xr:uid="{00000000-0005-0000-0000-0000DB010000}"/>
    <cellStyle name="style1411542382872" xfId="474" xr:uid="{00000000-0005-0000-0000-0000DC010000}"/>
    <cellStyle name="style1411542382898" xfId="475" xr:uid="{00000000-0005-0000-0000-0000DD010000}"/>
    <cellStyle name="style1411542382921" xfId="476" xr:uid="{00000000-0005-0000-0000-0000DE010000}"/>
    <cellStyle name="style1411542382949" xfId="477" xr:uid="{00000000-0005-0000-0000-0000DF010000}"/>
    <cellStyle name="style1411542382977" xfId="478" xr:uid="{00000000-0005-0000-0000-0000E0010000}"/>
    <cellStyle name="style1411542383005" xfId="479" xr:uid="{00000000-0005-0000-0000-0000E1010000}"/>
    <cellStyle name="style1411542383036" xfId="480" xr:uid="{00000000-0005-0000-0000-0000E2010000}"/>
    <cellStyle name="style1411542383066" xfId="481" xr:uid="{00000000-0005-0000-0000-0000E3010000}"/>
    <cellStyle name="style1411542383094" xfId="482" xr:uid="{00000000-0005-0000-0000-0000E4010000}"/>
    <cellStyle name="style1411542383116" xfId="483" xr:uid="{00000000-0005-0000-0000-0000E5010000}"/>
    <cellStyle name="style1411542383137" xfId="484" xr:uid="{00000000-0005-0000-0000-0000E6010000}"/>
    <cellStyle name="style1411542383160" xfId="485" xr:uid="{00000000-0005-0000-0000-0000E7010000}"/>
    <cellStyle name="style1411542383184" xfId="486" xr:uid="{00000000-0005-0000-0000-0000E8010000}"/>
    <cellStyle name="style1411542383249" xfId="487" xr:uid="{00000000-0005-0000-0000-0000E9010000}"/>
    <cellStyle name="style1411542383276" xfId="488" xr:uid="{00000000-0005-0000-0000-0000EA010000}"/>
    <cellStyle name="style1411542383303" xfId="489" xr:uid="{00000000-0005-0000-0000-0000EB010000}"/>
    <cellStyle name="style1411542383332" xfId="490" xr:uid="{00000000-0005-0000-0000-0000EC010000}"/>
    <cellStyle name="style1411542383355" xfId="491" xr:uid="{00000000-0005-0000-0000-0000ED010000}"/>
    <cellStyle name="style1411542383382" xfId="492" xr:uid="{00000000-0005-0000-0000-0000EE010000}"/>
    <cellStyle name="style1411542383409" xfId="493" xr:uid="{00000000-0005-0000-0000-0000EF010000}"/>
    <cellStyle name="style1411542383430" xfId="494" xr:uid="{00000000-0005-0000-0000-0000F0010000}"/>
    <cellStyle name="style1411542383457" xfId="495" xr:uid="{00000000-0005-0000-0000-0000F1010000}"/>
    <cellStyle name="style1411542383483" xfId="496" xr:uid="{00000000-0005-0000-0000-0000F2010000}"/>
    <cellStyle name="style1411542383510" xfId="497" xr:uid="{00000000-0005-0000-0000-0000F3010000}"/>
    <cellStyle name="style1411542383530" xfId="498" xr:uid="{00000000-0005-0000-0000-0000F4010000}"/>
    <cellStyle name="style1411542383552" xfId="499" xr:uid="{00000000-0005-0000-0000-0000F5010000}"/>
    <cellStyle name="style1411542383579" xfId="500" xr:uid="{00000000-0005-0000-0000-0000F6010000}"/>
    <cellStyle name="style1411542383606" xfId="501" xr:uid="{00000000-0005-0000-0000-0000F7010000}"/>
    <cellStyle name="style1411542383632" xfId="502" xr:uid="{00000000-0005-0000-0000-0000F8010000}"/>
    <cellStyle name="style1411542383654" xfId="503" xr:uid="{00000000-0005-0000-0000-0000F9010000}"/>
    <cellStyle name="style1411542383684" xfId="504" xr:uid="{00000000-0005-0000-0000-0000FA010000}"/>
    <cellStyle name="style1411542383710" xfId="505" xr:uid="{00000000-0005-0000-0000-0000FB010000}"/>
    <cellStyle name="style1411542383732" xfId="506" xr:uid="{00000000-0005-0000-0000-0000FC010000}"/>
    <cellStyle name="style1411542383756" xfId="507" xr:uid="{00000000-0005-0000-0000-0000FD010000}"/>
    <cellStyle name="style1411542383790" xfId="508" xr:uid="{00000000-0005-0000-0000-0000FE010000}"/>
    <cellStyle name="style1411542383813" xfId="509" xr:uid="{00000000-0005-0000-0000-0000FF010000}"/>
    <cellStyle name="style1411542383835" xfId="510" xr:uid="{00000000-0005-0000-0000-000000020000}"/>
    <cellStyle name="style1411542383858" xfId="511" xr:uid="{00000000-0005-0000-0000-000001020000}"/>
    <cellStyle name="style1411542383881" xfId="512" xr:uid="{00000000-0005-0000-0000-000002020000}"/>
    <cellStyle name="style1411542383904" xfId="513" xr:uid="{00000000-0005-0000-0000-000003020000}"/>
    <cellStyle name="style1411542383967" xfId="514" xr:uid="{00000000-0005-0000-0000-000004020000}"/>
    <cellStyle name="style1411542383989" xfId="515" xr:uid="{00000000-0005-0000-0000-000005020000}"/>
    <cellStyle name="style1411542384009" xfId="516" xr:uid="{00000000-0005-0000-0000-000006020000}"/>
    <cellStyle name="style1411542384030" xfId="517" xr:uid="{00000000-0005-0000-0000-000007020000}"/>
    <cellStyle name="style1411542384052" xfId="518" xr:uid="{00000000-0005-0000-0000-000008020000}"/>
    <cellStyle name="style1411542384115" xfId="519" xr:uid="{00000000-0005-0000-0000-000009020000}"/>
    <cellStyle name="style1411542384148" xfId="520" xr:uid="{00000000-0005-0000-0000-00000A020000}"/>
    <cellStyle name="style1411542384169" xfId="521" xr:uid="{00000000-0005-0000-0000-00000B020000}"/>
    <cellStyle name="style1411542384188" xfId="522" xr:uid="{00000000-0005-0000-0000-00000C020000}"/>
    <cellStyle name="style1411542384208" xfId="523" xr:uid="{00000000-0005-0000-0000-00000D020000}"/>
    <cellStyle name="style1411542384227" xfId="524" xr:uid="{00000000-0005-0000-0000-00000E020000}"/>
    <cellStyle name="style1411542384246" xfId="525" xr:uid="{00000000-0005-0000-0000-00000F020000}"/>
    <cellStyle name="style1411542384273" xfId="526" xr:uid="{00000000-0005-0000-0000-000010020000}"/>
    <cellStyle name="style1411542384293" xfId="527" xr:uid="{00000000-0005-0000-0000-000011020000}"/>
  </cellStyles>
  <dxfs count="0"/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dhra%20Pradesh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SVA_cur"/>
      <sheetName val="GSVA_const"/>
      <sheetName val="NSVA_cur"/>
      <sheetName val="NSVA_const"/>
    </sheetNames>
    <sheetDataSet>
      <sheetData sheetId="0">
        <row r="3">
          <cell r="I3" t="str">
            <v>01.08.2025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W40"/>
  <sheetViews>
    <sheetView zoomScale="93" zoomScaleNormal="93" zoomScaleSheetLayoutView="100" workbookViewId="0">
      <pane xSplit="2" ySplit="5" topLeftCell="C19" activePane="bottomRight" state="frozen"/>
      <selection activeCell="A40" sqref="A40"/>
      <selection pane="topRight" activeCell="A40" sqref="A40"/>
      <selection pane="bottomLeft" activeCell="A40" sqref="A40"/>
      <selection pane="bottomRight" activeCell="Q33" sqref="Q33"/>
    </sheetView>
  </sheetViews>
  <sheetFormatPr defaultColWidth="8.85546875" defaultRowHeight="15" x14ac:dyDescent="0.25"/>
  <cols>
    <col min="1" max="1" width="11" style="2" customWidth="1"/>
    <col min="2" max="2" width="26.85546875" style="2" customWidth="1"/>
    <col min="3" max="6" width="10.28515625" style="2" customWidth="1"/>
    <col min="7" max="7" width="11.7109375" style="2" customWidth="1"/>
    <col min="8" max="8" width="11.28515625" style="2" customWidth="1"/>
    <col min="9" max="9" width="10.85546875" style="2" customWidth="1"/>
    <col min="10" max="10" width="11.85546875" style="1" customWidth="1"/>
    <col min="11" max="11" width="11.140625" style="1" customWidth="1"/>
    <col min="12" max="12" width="11.85546875" style="1" customWidth="1"/>
    <col min="13" max="13" width="11.42578125" style="1" customWidth="1"/>
    <col min="14" max="15" width="11.28515625" style="1" customWidth="1"/>
    <col min="16" max="16" width="11.7109375" style="1" customWidth="1"/>
    <col min="17" max="17" width="11.5703125" style="1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1" customWidth="1"/>
    <col min="23" max="23" width="9.140625" style="2" customWidth="1"/>
    <col min="24" max="24" width="10.85546875" style="2" customWidth="1"/>
    <col min="25" max="25" width="10.85546875" style="1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32" width="9.140625" style="1" hidden="1" customWidth="1"/>
    <col min="133" max="133" width="9.140625" style="1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18.75" x14ac:dyDescent="0.3">
      <c r="A1" s="2" t="s">
        <v>52</v>
      </c>
      <c r="B1" s="6" t="s">
        <v>65</v>
      </c>
      <c r="X1" s="3"/>
    </row>
    <row r="2" spans="1:194" ht="15.75" x14ac:dyDescent="0.25">
      <c r="A2" s="7" t="s">
        <v>47</v>
      </c>
      <c r="I2" s="2" t="str">
        <f>[1]GSVA_cur!$I$3</f>
        <v>01.08.2025</v>
      </c>
    </row>
    <row r="3" spans="1:194" ht="15.75" x14ac:dyDescent="0.25">
      <c r="A3" s="7"/>
    </row>
    <row r="4" spans="1:194" ht="15.75" x14ac:dyDescent="0.25">
      <c r="A4" s="7"/>
      <c r="E4" s="8"/>
      <c r="F4" s="8" t="s">
        <v>56</v>
      </c>
      <c r="G4" s="8"/>
      <c r="H4" s="8"/>
      <c r="I4" s="8"/>
    </row>
    <row r="5" spans="1:194" ht="15.75" x14ac:dyDescent="0.25">
      <c r="A5" s="15" t="s">
        <v>0</v>
      </c>
      <c r="B5" s="16" t="s">
        <v>1</v>
      </c>
      <c r="C5" s="17" t="s">
        <v>21</v>
      </c>
      <c r="D5" s="17" t="s">
        <v>22</v>
      </c>
      <c r="E5" s="17" t="s">
        <v>23</v>
      </c>
      <c r="F5" s="17" t="s">
        <v>55</v>
      </c>
      <c r="G5" s="17" t="s">
        <v>64</v>
      </c>
      <c r="H5" s="17" t="s">
        <v>66</v>
      </c>
      <c r="I5" s="17" t="s">
        <v>67</v>
      </c>
      <c r="J5" s="18" t="s">
        <v>68</v>
      </c>
      <c r="K5" s="18" t="s">
        <v>69</v>
      </c>
      <c r="L5" s="18" t="s">
        <v>70</v>
      </c>
      <c r="M5" s="18" t="s">
        <v>71</v>
      </c>
      <c r="N5" s="18" t="s">
        <v>72</v>
      </c>
      <c r="O5" s="18" t="s">
        <v>73</v>
      </c>
      <c r="P5" s="18" t="s">
        <v>74</v>
      </c>
    </row>
    <row r="6" spans="1:194" s="10" customFormat="1" ht="30" x14ac:dyDescent="0.25">
      <c r="A6" s="19" t="s">
        <v>25</v>
      </c>
      <c r="B6" s="20" t="s">
        <v>2</v>
      </c>
      <c r="C6" s="21">
        <f>SUM(C7:C10)</f>
        <v>1306347.2539721353</v>
      </c>
      <c r="D6" s="21">
        <f t="shared" ref="D6:E6" si="0">SUM(D7:D10)</f>
        <v>1567928.6538917683</v>
      </c>
      <c r="E6" s="21">
        <f t="shared" si="0"/>
        <v>1705640.4451634572</v>
      </c>
      <c r="F6" s="21">
        <f t="shared" ref="F6:O6" si="1">SUM(F7:F10)</f>
        <v>1509046.7915145112</v>
      </c>
      <c r="G6" s="21">
        <f t="shared" si="1"/>
        <v>2121395.7434536545</v>
      </c>
      <c r="H6" s="21">
        <f t="shared" si="1"/>
        <v>2363969.9371726997</v>
      </c>
      <c r="I6" s="21">
        <f t="shared" si="1"/>
        <v>2486687.6969436011</v>
      </c>
      <c r="J6" s="21">
        <f t="shared" si="1"/>
        <v>2671530.5217246213</v>
      </c>
      <c r="K6" s="21">
        <f t="shared" si="1"/>
        <v>2809539.529944818</v>
      </c>
      <c r="L6" s="21">
        <f t="shared" si="1"/>
        <v>2814399.6527864737</v>
      </c>
      <c r="M6" s="21">
        <f t="shared" si="1"/>
        <v>3361448.6723040785</v>
      </c>
      <c r="N6" s="21">
        <f t="shared" si="1"/>
        <v>3752441.3007462095</v>
      </c>
      <c r="O6" s="21">
        <f t="shared" si="1"/>
        <v>4198476.9569492862</v>
      </c>
      <c r="P6" s="21">
        <f t="shared" ref="P6" si="2">SUM(P7:P10)</f>
        <v>4686909.6744357646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L6" s="9"/>
    </row>
    <row r="7" spans="1:194" ht="15.75" x14ac:dyDescent="0.25">
      <c r="A7" s="22">
        <v>1.1000000000000001</v>
      </c>
      <c r="B7" s="23" t="s">
        <v>58</v>
      </c>
      <c r="C7" s="24">
        <v>795338.608600365</v>
      </c>
      <c r="D7" s="24">
        <v>1033495.6428052651</v>
      </c>
      <c r="E7" s="24">
        <v>1181249.0483795214</v>
      </c>
      <c r="F7" s="24">
        <v>885819.44784542953</v>
      </c>
      <c r="G7" s="24">
        <v>1339993.5659851311</v>
      </c>
      <c r="H7" s="24">
        <v>1451193.7921861277</v>
      </c>
      <c r="I7" s="24">
        <v>1494767.3271114968</v>
      </c>
      <c r="J7" s="25">
        <v>1590323.3221580675</v>
      </c>
      <c r="K7" s="25">
        <v>1671782.9258423673</v>
      </c>
      <c r="L7" s="25">
        <v>1645407.0631197309</v>
      </c>
      <c r="M7" s="25">
        <v>2030778.8628040957</v>
      </c>
      <c r="N7" s="25">
        <v>2045380.131611702</v>
      </c>
      <c r="O7" s="25">
        <v>2381018.4933766485</v>
      </c>
      <c r="P7" s="25">
        <v>2738939.2342959642</v>
      </c>
      <c r="Q7" s="3"/>
      <c r="R7" s="4"/>
      <c r="S7" s="4"/>
      <c r="T7" s="4"/>
      <c r="U7" s="4"/>
      <c r="V7" s="3"/>
      <c r="W7" s="4"/>
      <c r="X7" s="4"/>
      <c r="Y7" s="3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1"/>
      <c r="GJ7" s="1"/>
      <c r="GK7" s="1"/>
    </row>
    <row r="8" spans="1:194" ht="15.75" x14ac:dyDescent="0.25">
      <c r="A8" s="22">
        <v>1.2</v>
      </c>
      <c r="B8" s="23" t="s">
        <v>59</v>
      </c>
      <c r="C8" s="24">
        <v>344125.10016853822</v>
      </c>
      <c r="D8" s="24">
        <v>345821.60643596342</v>
      </c>
      <c r="E8" s="24">
        <v>345447.94586524129</v>
      </c>
      <c r="F8" s="24">
        <v>431106.38124629174</v>
      </c>
      <c r="G8" s="24">
        <v>579713.58733165183</v>
      </c>
      <c r="H8" s="24">
        <v>659706.86849720008</v>
      </c>
      <c r="I8" s="24">
        <v>733909.24025987613</v>
      </c>
      <c r="J8" s="25">
        <v>807676.13903247495</v>
      </c>
      <c r="K8" s="25">
        <v>841122.91476946254</v>
      </c>
      <c r="L8" s="25">
        <v>879146.01460904931</v>
      </c>
      <c r="M8" s="25">
        <v>961963.72585747414</v>
      </c>
      <c r="N8" s="25">
        <v>1126061.6567632449</v>
      </c>
      <c r="O8" s="25">
        <v>1213524.2599047115</v>
      </c>
      <c r="P8" s="25">
        <v>1306795.9309215357</v>
      </c>
      <c r="Q8" s="3"/>
      <c r="R8" s="4"/>
      <c r="S8" s="4"/>
      <c r="T8" s="4"/>
      <c r="U8" s="4"/>
      <c r="V8" s="3"/>
      <c r="W8" s="4"/>
      <c r="X8" s="4"/>
      <c r="Y8" s="3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1"/>
      <c r="GJ8" s="1"/>
      <c r="GK8" s="1"/>
    </row>
    <row r="9" spans="1:194" ht="15.75" x14ac:dyDescent="0.25">
      <c r="A9" s="22">
        <v>1.3</v>
      </c>
      <c r="B9" s="23" t="s">
        <v>60</v>
      </c>
      <c r="C9" s="24">
        <v>134535.62583128194</v>
      </c>
      <c r="D9" s="24">
        <v>154145.34266393329</v>
      </c>
      <c r="E9" s="24">
        <v>144558.44559138073</v>
      </c>
      <c r="F9" s="24">
        <v>156066.03369477225</v>
      </c>
      <c r="G9" s="24">
        <v>162323.58227218894</v>
      </c>
      <c r="H9" s="24">
        <v>213088.68353820979</v>
      </c>
      <c r="I9" s="24">
        <v>217402.74691261593</v>
      </c>
      <c r="J9" s="25">
        <v>231122.73982906129</v>
      </c>
      <c r="K9" s="25">
        <v>251447.23779861143</v>
      </c>
      <c r="L9" s="25">
        <v>243661.1811779807</v>
      </c>
      <c r="M9" s="25">
        <v>300484.87671662646</v>
      </c>
      <c r="N9" s="25">
        <v>507336.31887213973</v>
      </c>
      <c r="O9" s="25">
        <v>526290.96918465639</v>
      </c>
      <c r="P9" s="25">
        <v>559613.34757580503</v>
      </c>
      <c r="Q9" s="3"/>
      <c r="R9" s="4"/>
      <c r="S9" s="4"/>
      <c r="T9" s="4"/>
      <c r="U9" s="4"/>
      <c r="V9" s="3"/>
      <c r="W9" s="4"/>
      <c r="X9" s="4"/>
      <c r="Y9" s="3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1"/>
      <c r="GJ9" s="1"/>
      <c r="GK9" s="1"/>
    </row>
    <row r="10" spans="1:194" ht="15.75" x14ac:dyDescent="0.25">
      <c r="A10" s="22">
        <v>1.4</v>
      </c>
      <c r="B10" s="23" t="s">
        <v>61</v>
      </c>
      <c r="C10" s="24">
        <v>32347.91937195</v>
      </c>
      <c r="D10" s="24">
        <v>34466.061986606248</v>
      </c>
      <c r="E10" s="24">
        <v>34385.005327313724</v>
      </c>
      <c r="F10" s="24">
        <v>36054.928728017789</v>
      </c>
      <c r="G10" s="24">
        <v>39365.007864682499</v>
      </c>
      <c r="H10" s="24">
        <v>39980.592951162231</v>
      </c>
      <c r="I10" s="24">
        <v>40608.382659611998</v>
      </c>
      <c r="J10" s="25">
        <v>42408.320705018028</v>
      </c>
      <c r="K10" s="25">
        <v>45186.451534376538</v>
      </c>
      <c r="L10" s="25">
        <v>46185.393879712981</v>
      </c>
      <c r="M10" s="25">
        <v>68221.206925881823</v>
      </c>
      <c r="N10" s="25">
        <v>73663.193499122834</v>
      </c>
      <c r="O10" s="25">
        <v>77643.234483269887</v>
      </c>
      <c r="P10" s="25">
        <v>81561.161642458785</v>
      </c>
      <c r="Q10" s="3"/>
      <c r="R10" s="4"/>
      <c r="S10" s="4"/>
      <c r="T10" s="4"/>
      <c r="U10" s="4"/>
      <c r="V10" s="3"/>
      <c r="W10" s="4"/>
      <c r="X10" s="4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1"/>
      <c r="GJ10" s="1"/>
      <c r="GK10" s="1"/>
    </row>
    <row r="11" spans="1:194" ht="15.75" x14ac:dyDescent="0.25">
      <c r="A11" s="26" t="s">
        <v>30</v>
      </c>
      <c r="B11" s="23" t="s">
        <v>3</v>
      </c>
      <c r="C11" s="24">
        <v>32930.556799999998</v>
      </c>
      <c r="D11" s="24">
        <v>77085.853199999998</v>
      </c>
      <c r="E11" s="24">
        <v>55232.364596158266</v>
      </c>
      <c r="F11" s="24">
        <v>41196.176297233527</v>
      </c>
      <c r="G11" s="24">
        <v>100836.10708210393</v>
      </c>
      <c r="H11" s="24">
        <v>29766.058632187563</v>
      </c>
      <c r="I11" s="24">
        <v>26448.201292693862</v>
      </c>
      <c r="J11" s="25">
        <v>37958.885274516921</v>
      </c>
      <c r="K11" s="25">
        <v>24685.14123877056</v>
      </c>
      <c r="L11" s="25">
        <v>17413.78161620715</v>
      </c>
      <c r="M11" s="25">
        <v>46529.661786923563</v>
      </c>
      <c r="N11" s="25">
        <v>70376.103986174494</v>
      </c>
      <c r="O11" s="25">
        <v>90986.157572870143</v>
      </c>
      <c r="P11" s="25">
        <v>100643.88206227563</v>
      </c>
      <c r="Q11" s="3"/>
      <c r="R11" s="4"/>
      <c r="S11" s="4"/>
      <c r="T11" s="4"/>
      <c r="U11" s="4"/>
      <c r="V11" s="3"/>
      <c r="W11" s="4"/>
      <c r="X11" s="4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1"/>
      <c r="GJ11" s="1"/>
      <c r="GK11" s="1"/>
    </row>
    <row r="12" spans="1:194" s="9" customFormat="1" ht="15.75" x14ac:dyDescent="0.25">
      <c r="A12" s="27"/>
      <c r="B12" s="28" t="s">
        <v>27</v>
      </c>
      <c r="C12" s="29">
        <f>C6+C11</f>
        <v>1339277.8107721352</v>
      </c>
      <c r="D12" s="29">
        <f t="shared" ref="D12:E12" si="3">D6+D11</f>
        <v>1645014.5070917683</v>
      </c>
      <c r="E12" s="29">
        <f t="shared" si="3"/>
        <v>1760872.8097596155</v>
      </c>
      <c r="F12" s="29">
        <f t="shared" ref="F12:N12" si="4">F6+F11</f>
        <v>1550242.9678117447</v>
      </c>
      <c r="G12" s="29">
        <f t="shared" si="4"/>
        <v>2222231.8505357583</v>
      </c>
      <c r="H12" s="29">
        <f t="shared" si="4"/>
        <v>2393735.9958048873</v>
      </c>
      <c r="I12" s="29">
        <f t="shared" si="4"/>
        <v>2513135.8982362952</v>
      </c>
      <c r="J12" s="29">
        <f t="shared" si="4"/>
        <v>2709489.4069991382</v>
      </c>
      <c r="K12" s="29">
        <f t="shared" si="4"/>
        <v>2834224.6711835884</v>
      </c>
      <c r="L12" s="29">
        <f t="shared" si="4"/>
        <v>2831813.434402681</v>
      </c>
      <c r="M12" s="29">
        <f t="shared" si="4"/>
        <v>3407978.3340910021</v>
      </c>
      <c r="N12" s="29">
        <f t="shared" si="4"/>
        <v>3822817.4047323838</v>
      </c>
      <c r="O12" s="29">
        <f t="shared" ref="O12:P12" si="5">O6+O11</f>
        <v>4289463.1145221563</v>
      </c>
      <c r="P12" s="29">
        <f t="shared" si="5"/>
        <v>4787553.5564980404</v>
      </c>
      <c r="Q12" s="3"/>
      <c r="R12" s="4"/>
      <c r="S12" s="4"/>
      <c r="T12" s="4"/>
      <c r="U12" s="4"/>
      <c r="V12" s="3"/>
      <c r="W12" s="4"/>
      <c r="X12" s="4"/>
      <c r="Y12" s="3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0"/>
      <c r="GJ12" s="10"/>
      <c r="GK12" s="10"/>
    </row>
    <row r="13" spans="1:194" s="1" customFormat="1" ht="15.75" x14ac:dyDescent="0.25">
      <c r="A13" s="30" t="s">
        <v>31</v>
      </c>
      <c r="B13" s="31" t="s">
        <v>4</v>
      </c>
      <c r="C13" s="25">
        <v>797559.93779999996</v>
      </c>
      <c r="D13" s="25">
        <v>785118.47479999997</v>
      </c>
      <c r="E13" s="25">
        <v>835782.87975684158</v>
      </c>
      <c r="F13" s="25">
        <v>876019.55127527856</v>
      </c>
      <c r="G13" s="25">
        <v>1032469.4102644869</v>
      </c>
      <c r="H13" s="25">
        <v>1041139.9797817071</v>
      </c>
      <c r="I13" s="25">
        <v>1090675.2656451135</v>
      </c>
      <c r="J13" s="25">
        <v>1110741.2303387558</v>
      </c>
      <c r="K13" s="25">
        <v>1043748.5319978185</v>
      </c>
      <c r="L13" s="25">
        <v>1342174.4317893519</v>
      </c>
      <c r="M13" s="25">
        <v>1142230.0789105897</v>
      </c>
      <c r="N13" s="25">
        <v>1226656.9390308035</v>
      </c>
      <c r="O13" s="25">
        <v>1363267.2235997717</v>
      </c>
      <c r="P13" s="25">
        <v>1471375.1754346809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L13" s="2"/>
    </row>
    <row r="14" spans="1:194" ht="30" x14ac:dyDescent="0.25">
      <c r="A14" s="26" t="s">
        <v>32</v>
      </c>
      <c r="B14" s="23" t="s">
        <v>5</v>
      </c>
      <c r="C14" s="24">
        <v>616233.40800000005</v>
      </c>
      <c r="D14" s="24">
        <v>593349.06717608671</v>
      </c>
      <c r="E14" s="24">
        <v>545186.99840108328</v>
      </c>
      <c r="F14" s="24">
        <v>585441.67921675218</v>
      </c>
      <c r="G14" s="24">
        <v>658182.27227475203</v>
      </c>
      <c r="H14" s="24">
        <v>630465.80958003353</v>
      </c>
      <c r="I14" s="24">
        <v>737689.74456647574</v>
      </c>
      <c r="J14" s="25">
        <v>888417.63952270756</v>
      </c>
      <c r="K14" s="25">
        <v>818798.74768380553</v>
      </c>
      <c r="L14" s="25">
        <v>881763.6195742205</v>
      </c>
      <c r="M14" s="25">
        <v>918301.85647166264</v>
      </c>
      <c r="N14" s="25">
        <v>984331.95656792144</v>
      </c>
      <c r="O14" s="25">
        <v>1015692.1720836747</v>
      </c>
      <c r="P14" s="25">
        <v>1078595.4504050738</v>
      </c>
      <c r="Q14" s="3"/>
      <c r="R14" s="4"/>
      <c r="S14" s="4"/>
      <c r="T14" s="4"/>
      <c r="U14" s="4"/>
      <c r="V14" s="3"/>
      <c r="W14" s="4"/>
      <c r="X14" s="4"/>
      <c r="Y14" s="3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3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3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3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1"/>
      <c r="GJ14" s="1"/>
      <c r="GK14" s="1"/>
    </row>
    <row r="15" spans="1:194" ht="15.75" x14ac:dyDescent="0.25">
      <c r="A15" s="26" t="s">
        <v>33</v>
      </c>
      <c r="B15" s="23" t="s">
        <v>6</v>
      </c>
      <c r="C15" s="24">
        <v>652948.66553058894</v>
      </c>
      <c r="D15" s="24">
        <v>693613.74946853402</v>
      </c>
      <c r="E15" s="24">
        <v>790272.36978232511</v>
      </c>
      <c r="F15" s="24">
        <v>849300.45690085681</v>
      </c>
      <c r="G15" s="24">
        <v>855010.72909714654</v>
      </c>
      <c r="H15" s="24">
        <v>980036.3698754966</v>
      </c>
      <c r="I15" s="24">
        <v>1096936.9523577704</v>
      </c>
      <c r="J15" s="25">
        <v>1152525.7756896671</v>
      </c>
      <c r="K15" s="25">
        <v>1224664.8137644732</v>
      </c>
      <c r="L15" s="25">
        <v>1109280.9316425091</v>
      </c>
      <c r="M15" s="25">
        <v>1323388.6666349734</v>
      </c>
      <c r="N15" s="25">
        <v>1536738.8239159759</v>
      </c>
      <c r="O15" s="25">
        <v>1644284.170635704</v>
      </c>
      <c r="P15" s="25">
        <v>1866776.3957964405</v>
      </c>
      <c r="Q15" s="3"/>
      <c r="R15" s="4"/>
      <c r="S15" s="4"/>
      <c r="T15" s="4"/>
      <c r="U15" s="4"/>
      <c r="V15" s="3"/>
      <c r="W15" s="4"/>
      <c r="X15" s="4"/>
      <c r="Y15" s="3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3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3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3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1"/>
      <c r="GJ15" s="1"/>
      <c r="GK15" s="1"/>
    </row>
    <row r="16" spans="1:194" s="9" customFormat="1" ht="15.75" x14ac:dyDescent="0.25">
      <c r="A16" s="27"/>
      <c r="B16" s="28" t="s">
        <v>28</v>
      </c>
      <c r="C16" s="29">
        <f>+C13+C14+C15</f>
        <v>2066742.011330589</v>
      </c>
      <c r="D16" s="29">
        <f t="shared" ref="D16:E16" si="6">+D13+D14+D15</f>
        <v>2072081.2914446208</v>
      </c>
      <c r="E16" s="29">
        <f t="shared" si="6"/>
        <v>2171242.2479402497</v>
      </c>
      <c r="F16" s="29">
        <f t="shared" ref="F16:L16" si="7">+F13+F14+F15</f>
        <v>2310761.6873928877</v>
      </c>
      <c r="G16" s="29">
        <f t="shared" si="7"/>
        <v>2545662.4116363856</v>
      </c>
      <c r="H16" s="29">
        <f t="shared" si="7"/>
        <v>2651642.1592372372</v>
      </c>
      <c r="I16" s="29">
        <f t="shared" si="7"/>
        <v>2925301.9625693597</v>
      </c>
      <c r="J16" s="29">
        <f t="shared" si="7"/>
        <v>3151684.6455511302</v>
      </c>
      <c r="K16" s="29">
        <f t="shared" si="7"/>
        <v>3087212.0934460973</v>
      </c>
      <c r="L16" s="29">
        <f t="shared" si="7"/>
        <v>3333218.9830060815</v>
      </c>
      <c r="M16" s="29">
        <f t="shared" ref="M16:N16" si="8">+M13+M14+M15</f>
        <v>3383920.6020172257</v>
      </c>
      <c r="N16" s="29">
        <f t="shared" si="8"/>
        <v>3747727.7195147006</v>
      </c>
      <c r="O16" s="29">
        <f t="shared" ref="O16:P16" si="9">+O13+O14+O15</f>
        <v>4023243.5663191504</v>
      </c>
      <c r="P16" s="29">
        <f t="shared" si="9"/>
        <v>4416747.0216361955</v>
      </c>
      <c r="Q16" s="3"/>
      <c r="R16" s="4"/>
      <c r="S16" s="4"/>
      <c r="T16" s="4"/>
      <c r="U16" s="4"/>
      <c r="V16" s="3"/>
      <c r="W16" s="4"/>
      <c r="X16" s="4"/>
      <c r="Y16" s="3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1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1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1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0"/>
      <c r="GJ16" s="10"/>
      <c r="GK16" s="10"/>
    </row>
    <row r="17" spans="1:194" s="10" customFormat="1" ht="30" x14ac:dyDescent="0.25">
      <c r="A17" s="19" t="s">
        <v>34</v>
      </c>
      <c r="B17" s="20" t="s">
        <v>7</v>
      </c>
      <c r="C17" s="21">
        <f>C18+C19</f>
        <v>667074.20150667301</v>
      </c>
      <c r="D17" s="21">
        <f t="shared" ref="D17:E17" si="10">D18+D19</f>
        <v>803871.34410750214</v>
      </c>
      <c r="E17" s="21">
        <f t="shared" si="10"/>
        <v>904360.56977079413</v>
      </c>
      <c r="F17" s="21">
        <f t="shared" ref="F17:L17" si="11">F18+F19</f>
        <v>910030.17985359416</v>
      </c>
      <c r="G17" s="21">
        <f t="shared" si="11"/>
        <v>1070665.5770853481</v>
      </c>
      <c r="H17" s="21">
        <f t="shared" si="11"/>
        <v>1207320.0328568125</v>
      </c>
      <c r="I17" s="21">
        <f t="shared" si="11"/>
        <v>1415010.7729999104</v>
      </c>
      <c r="J17" s="21">
        <f t="shared" si="11"/>
        <v>1649386.9473884415</v>
      </c>
      <c r="K17" s="21">
        <f t="shared" si="11"/>
        <v>1714193.265122809</v>
      </c>
      <c r="L17" s="21">
        <f t="shared" si="11"/>
        <v>1346464.6559258471</v>
      </c>
      <c r="M17" s="21">
        <f t="shared" ref="M17:N17" si="12">M18+M19</f>
        <v>1715971.3417784653</v>
      </c>
      <c r="N17" s="21">
        <f t="shared" si="12"/>
        <v>2126553.045331174</v>
      </c>
      <c r="O17" s="21">
        <f t="shared" ref="O17:P17" si="13">O18+O19</f>
        <v>2287892.3390010069</v>
      </c>
      <c r="P17" s="21">
        <f t="shared" si="13"/>
        <v>2560726.1598743717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L17" s="9"/>
    </row>
    <row r="18" spans="1:194" ht="15.75" x14ac:dyDescent="0.25">
      <c r="A18" s="22">
        <v>6.1</v>
      </c>
      <c r="B18" s="23" t="s">
        <v>8</v>
      </c>
      <c r="C18" s="24">
        <v>590434.27439999999</v>
      </c>
      <c r="D18" s="24">
        <v>725844.62496648205</v>
      </c>
      <c r="E18" s="24">
        <v>824586.82838113839</v>
      </c>
      <c r="F18" s="24">
        <v>830679.55075058527</v>
      </c>
      <c r="G18" s="24">
        <v>986432.91410532012</v>
      </c>
      <c r="H18" s="24">
        <v>1116078.09562392</v>
      </c>
      <c r="I18" s="24">
        <v>1304826.5728908088</v>
      </c>
      <c r="J18" s="25">
        <v>1515776.4500524879</v>
      </c>
      <c r="K18" s="25">
        <v>1582046.6162764328</v>
      </c>
      <c r="L18" s="25">
        <v>1289382.5393499217</v>
      </c>
      <c r="M18" s="25">
        <v>1590433.2271792868</v>
      </c>
      <c r="N18" s="25">
        <v>1928021.9173235695</v>
      </c>
      <c r="O18" s="25">
        <v>2068988.3726158794</v>
      </c>
      <c r="P18" s="25">
        <v>2316902.3453871366</v>
      </c>
      <c r="Q18" s="3"/>
      <c r="R18" s="4"/>
      <c r="S18" s="4"/>
      <c r="T18" s="4"/>
      <c r="U18" s="4"/>
      <c r="V18" s="3"/>
      <c r="W18" s="4"/>
      <c r="X18" s="4"/>
      <c r="Y18" s="3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1"/>
      <c r="GJ18" s="1"/>
      <c r="GK18" s="1"/>
    </row>
    <row r="19" spans="1:194" ht="15.75" x14ac:dyDescent="0.25">
      <c r="A19" s="22">
        <v>6.2</v>
      </c>
      <c r="B19" s="23" t="s">
        <v>9</v>
      </c>
      <c r="C19" s="24">
        <v>76639.927106673029</v>
      </c>
      <c r="D19" s="24">
        <v>78026.719141020105</v>
      </c>
      <c r="E19" s="24">
        <v>79773.741389655799</v>
      </c>
      <c r="F19" s="24">
        <v>79350.629103008949</v>
      </c>
      <c r="G19" s="24">
        <v>84232.662980027861</v>
      </c>
      <c r="H19" s="24">
        <v>91241.937232892553</v>
      </c>
      <c r="I19" s="24">
        <v>110184.20010910164</v>
      </c>
      <c r="J19" s="25">
        <v>133610.4973359537</v>
      </c>
      <c r="K19" s="25">
        <v>132146.64884637634</v>
      </c>
      <c r="L19" s="25">
        <v>57082.116575925422</v>
      </c>
      <c r="M19" s="25">
        <v>125538.11459917844</v>
      </c>
      <c r="N19" s="25">
        <v>198531.12800760445</v>
      </c>
      <c r="O19" s="25">
        <v>218903.96638512751</v>
      </c>
      <c r="P19" s="25">
        <v>243823.81448723536</v>
      </c>
      <c r="Q19" s="3"/>
      <c r="R19" s="4"/>
      <c r="S19" s="4"/>
      <c r="T19" s="4"/>
      <c r="U19" s="4"/>
      <c r="V19" s="3"/>
      <c r="W19" s="4"/>
      <c r="X19" s="4"/>
      <c r="Y19" s="3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1"/>
      <c r="GJ19" s="1"/>
      <c r="GK19" s="1"/>
    </row>
    <row r="20" spans="1:194" s="10" customFormat="1" ht="45" x14ac:dyDescent="0.25">
      <c r="A20" s="32" t="s">
        <v>35</v>
      </c>
      <c r="B20" s="33" t="s">
        <v>10</v>
      </c>
      <c r="C20" s="21">
        <f>SUM(C21:C27)</f>
        <v>471746.96453262144</v>
      </c>
      <c r="D20" s="21">
        <f t="shared" ref="D20:E20" si="14">SUM(D21:D27)</f>
        <v>555008.59603518574</v>
      </c>
      <c r="E20" s="21">
        <f t="shared" si="14"/>
        <v>634912.03576754348</v>
      </c>
      <c r="F20" s="21">
        <f t="shared" ref="F20:N20" si="15">SUM(F21:F27)</f>
        <v>711465.37263590761</v>
      </c>
      <c r="G20" s="21">
        <f t="shared" si="15"/>
        <v>800834.07103587058</v>
      </c>
      <c r="H20" s="21">
        <f t="shared" si="15"/>
        <v>863586.84711610246</v>
      </c>
      <c r="I20" s="21">
        <f t="shared" si="15"/>
        <v>926700.68974272208</v>
      </c>
      <c r="J20" s="21">
        <f t="shared" si="15"/>
        <v>1004597.0655376351</v>
      </c>
      <c r="K20" s="21">
        <f t="shared" si="15"/>
        <v>1031419.455377253</v>
      </c>
      <c r="L20" s="21">
        <f t="shared" si="15"/>
        <v>933234.40640959935</v>
      </c>
      <c r="M20" s="21">
        <f t="shared" si="15"/>
        <v>1313258.033354261</v>
      </c>
      <c r="N20" s="21">
        <f t="shared" si="15"/>
        <v>1417418.9230524441</v>
      </c>
      <c r="O20" s="21">
        <f t="shared" ref="O20:P20" si="16">SUM(O21:O27)</f>
        <v>1572557.4452793198</v>
      </c>
      <c r="P20" s="21">
        <f t="shared" si="16"/>
        <v>1754345.6185788689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L20" s="9"/>
    </row>
    <row r="21" spans="1:194" ht="15.75" x14ac:dyDescent="0.25">
      <c r="A21" s="22">
        <v>7.1</v>
      </c>
      <c r="B21" s="23" t="s">
        <v>11</v>
      </c>
      <c r="C21" s="24">
        <v>12315</v>
      </c>
      <c r="D21" s="24">
        <v>14326</v>
      </c>
      <c r="E21" s="24">
        <v>15835</v>
      </c>
      <c r="F21" s="24">
        <v>17754</v>
      </c>
      <c r="G21" s="24">
        <v>19054</v>
      </c>
      <c r="H21" s="24">
        <v>18859</v>
      </c>
      <c r="I21" s="24">
        <v>21532</v>
      </c>
      <c r="J21" s="25">
        <v>25685</v>
      </c>
      <c r="K21" s="25">
        <v>33774</v>
      </c>
      <c r="L21" s="25">
        <v>10226.893901155443</v>
      </c>
      <c r="M21" s="25">
        <v>11249.294790374457</v>
      </c>
      <c r="N21" s="25">
        <v>15489.94978786956</v>
      </c>
      <c r="O21" s="25">
        <v>16434.441286550886</v>
      </c>
      <c r="P21" s="25">
        <v>18181.422395311245</v>
      </c>
      <c r="Q21" s="3"/>
      <c r="R21" s="4"/>
      <c r="S21" s="4"/>
      <c r="T21" s="4"/>
      <c r="U21" s="4"/>
      <c r="V21" s="3"/>
      <c r="W21" s="4"/>
      <c r="X21" s="4"/>
      <c r="Y21" s="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1"/>
      <c r="GJ21" s="1"/>
      <c r="GK21" s="1"/>
    </row>
    <row r="22" spans="1:194" ht="15.75" x14ac:dyDescent="0.25">
      <c r="A22" s="22">
        <v>7.2</v>
      </c>
      <c r="B22" s="23" t="s">
        <v>12</v>
      </c>
      <c r="C22" s="24">
        <v>344034.2451</v>
      </c>
      <c r="D22" s="24">
        <v>398201.4520435161</v>
      </c>
      <c r="E22" s="24">
        <v>437847.75279667112</v>
      </c>
      <c r="F22" s="24">
        <v>470180.53763860883</v>
      </c>
      <c r="G22" s="24">
        <v>502946.72778781719</v>
      </c>
      <c r="H22" s="24">
        <v>540398.19776834222</v>
      </c>
      <c r="I22" s="24">
        <v>584093.15851529338</v>
      </c>
      <c r="J22" s="25">
        <v>682421.85627215286</v>
      </c>
      <c r="K22" s="25">
        <v>656562.0734585193</v>
      </c>
      <c r="L22" s="25">
        <v>545208.25108922052</v>
      </c>
      <c r="M22" s="25">
        <v>857038.08060388884</v>
      </c>
      <c r="N22" s="25">
        <v>890259.78785723238</v>
      </c>
      <c r="O22" s="25">
        <v>975929.10413586663</v>
      </c>
      <c r="P22" s="25">
        <v>1096393.8329925481</v>
      </c>
      <c r="Q22" s="3"/>
      <c r="R22" s="4"/>
      <c r="S22" s="4"/>
      <c r="T22" s="4"/>
      <c r="U22" s="4"/>
      <c r="V22" s="3"/>
      <c r="W22" s="4"/>
      <c r="X22" s="4"/>
      <c r="Y22" s="3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1"/>
      <c r="GJ22" s="1"/>
      <c r="GK22" s="1"/>
    </row>
    <row r="23" spans="1:194" ht="15.75" x14ac:dyDescent="0.25">
      <c r="A23" s="22">
        <v>7.3</v>
      </c>
      <c r="B23" s="23" t="s">
        <v>13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3"/>
      <c r="R23" s="4"/>
      <c r="S23" s="4"/>
      <c r="T23" s="4"/>
      <c r="U23" s="4"/>
      <c r="V23" s="3"/>
      <c r="W23" s="4"/>
      <c r="X23" s="4"/>
      <c r="Y23" s="3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1"/>
      <c r="GJ23" s="1"/>
      <c r="GK23" s="1"/>
    </row>
    <row r="24" spans="1:194" ht="15.75" x14ac:dyDescent="0.25">
      <c r="A24" s="22">
        <v>7.4</v>
      </c>
      <c r="B24" s="23" t="s">
        <v>14</v>
      </c>
      <c r="C24" s="24">
        <v>7900.1354000000001</v>
      </c>
      <c r="D24" s="24">
        <v>15984.396699999999</v>
      </c>
      <c r="E24" s="24">
        <v>12637.729579046347</v>
      </c>
      <c r="F24" s="24">
        <v>20352.563435920245</v>
      </c>
      <c r="G24" s="24">
        <v>34859.859600000003</v>
      </c>
      <c r="H24" s="24">
        <v>32098.630400000002</v>
      </c>
      <c r="I24" s="24">
        <v>33509.258816380323</v>
      </c>
      <c r="J24" s="25">
        <v>18075.696571658646</v>
      </c>
      <c r="K24" s="25">
        <v>28222.911610946088</v>
      </c>
      <c r="L24" s="25">
        <v>24938.2223150678</v>
      </c>
      <c r="M24" s="25">
        <v>32262.465382691302</v>
      </c>
      <c r="N24" s="25">
        <v>33200.865152650666</v>
      </c>
      <c r="O24" s="25">
        <v>49798.233471123924</v>
      </c>
      <c r="P24" s="25">
        <v>56941.058126057214</v>
      </c>
      <c r="Q24" s="3"/>
      <c r="R24" s="4"/>
      <c r="S24" s="4"/>
      <c r="T24" s="4"/>
      <c r="U24" s="4"/>
      <c r="V24" s="3"/>
      <c r="W24" s="4"/>
      <c r="X24" s="4"/>
      <c r="Y24" s="3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1"/>
      <c r="GJ24" s="1"/>
      <c r="GK24" s="1"/>
    </row>
    <row r="25" spans="1:194" ht="30" x14ac:dyDescent="0.25">
      <c r="A25" s="22">
        <v>7.5</v>
      </c>
      <c r="B25" s="23" t="s">
        <v>15</v>
      </c>
      <c r="C25" s="24">
        <v>625.66549999999995</v>
      </c>
      <c r="D25" s="24">
        <v>724.88165280245482</v>
      </c>
      <c r="E25" s="24">
        <v>805.71889743486076</v>
      </c>
      <c r="F25" s="24">
        <v>864.65017141379008</v>
      </c>
      <c r="G25" s="24">
        <v>941.3226123835575</v>
      </c>
      <c r="H25" s="24">
        <v>13766.00812213479</v>
      </c>
      <c r="I25" s="24">
        <v>13415.419879247513</v>
      </c>
      <c r="J25" s="25">
        <v>13648.512988178474</v>
      </c>
      <c r="K25" s="25">
        <v>13535.08169535774</v>
      </c>
      <c r="L25" s="25">
        <v>7221.1489681747307</v>
      </c>
      <c r="M25" s="25">
        <v>5714.6961347268552</v>
      </c>
      <c r="N25" s="25">
        <v>9879.1879441026649</v>
      </c>
      <c r="O25" s="25">
        <v>12612.117031609328</v>
      </c>
      <c r="P25" s="25">
        <v>14181.15135486384</v>
      </c>
      <c r="Q25" s="3"/>
      <c r="R25" s="4"/>
      <c r="S25" s="4"/>
      <c r="T25" s="4"/>
      <c r="U25" s="4"/>
      <c r="V25" s="3"/>
      <c r="W25" s="4"/>
      <c r="X25" s="4"/>
      <c r="Y25" s="3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1"/>
      <c r="GJ25" s="1"/>
      <c r="GK25" s="1"/>
    </row>
    <row r="26" spans="1:194" ht="15.75" x14ac:dyDescent="0.25">
      <c r="A26" s="22">
        <v>7.6</v>
      </c>
      <c r="B26" s="23" t="s">
        <v>16</v>
      </c>
      <c r="C26" s="24">
        <v>0</v>
      </c>
      <c r="D26" s="24">
        <v>1.9867999999999999</v>
      </c>
      <c r="E26" s="24">
        <v>1.9882</v>
      </c>
      <c r="F26" s="24">
        <v>1.9778583450842753</v>
      </c>
      <c r="G26" s="24">
        <v>1.982</v>
      </c>
      <c r="H26" s="24">
        <v>1.9958</v>
      </c>
      <c r="I26" s="24">
        <v>16.974829642454846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3"/>
      <c r="R26" s="4"/>
      <c r="S26" s="4"/>
      <c r="T26" s="4"/>
      <c r="U26" s="4"/>
      <c r="V26" s="3"/>
      <c r="W26" s="4"/>
      <c r="X26" s="4"/>
      <c r="Y26" s="3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1"/>
      <c r="GJ26" s="1"/>
      <c r="GK26" s="1"/>
    </row>
    <row r="27" spans="1:194" ht="30" x14ac:dyDescent="0.25">
      <c r="A27" s="22">
        <v>7.7</v>
      </c>
      <c r="B27" s="23" t="s">
        <v>17</v>
      </c>
      <c r="C27" s="24">
        <v>106871.91853262141</v>
      </c>
      <c r="D27" s="24">
        <v>125769.8788388672</v>
      </c>
      <c r="E27" s="24">
        <v>167783.84629439106</v>
      </c>
      <c r="F27" s="24">
        <v>202311.64353161969</v>
      </c>
      <c r="G27" s="24">
        <v>243030.17903566983</v>
      </c>
      <c r="H27" s="24">
        <v>258463.01502562538</v>
      </c>
      <c r="I27" s="24">
        <v>274133.87770215847</v>
      </c>
      <c r="J27" s="25">
        <v>264765.99970564514</v>
      </c>
      <c r="K27" s="25">
        <v>299325.3886124299</v>
      </c>
      <c r="L27" s="25">
        <v>345639.89013598097</v>
      </c>
      <c r="M27" s="25">
        <v>406993.49644257955</v>
      </c>
      <c r="N27" s="25">
        <v>468589.13231058873</v>
      </c>
      <c r="O27" s="25">
        <v>517783.54935416905</v>
      </c>
      <c r="P27" s="25">
        <v>568648.15371008834</v>
      </c>
      <c r="Q27" s="3"/>
      <c r="R27" s="4"/>
      <c r="S27" s="4"/>
      <c r="T27" s="4"/>
      <c r="U27" s="4"/>
      <c r="V27" s="3"/>
      <c r="W27" s="4"/>
      <c r="X27" s="4"/>
      <c r="Y27" s="3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1"/>
      <c r="GJ27" s="1"/>
      <c r="GK27" s="1"/>
    </row>
    <row r="28" spans="1:194" ht="15.75" x14ac:dyDescent="0.25">
      <c r="A28" s="26" t="s">
        <v>36</v>
      </c>
      <c r="B28" s="23" t="s">
        <v>18</v>
      </c>
      <c r="C28" s="24">
        <v>226052</v>
      </c>
      <c r="D28" s="24">
        <v>266655</v>
      </c>
      <c r="E28" s="24">
        <v>324212</v>
      </c>
      <c r="F28" s="24">
        <v>375410</v>
      </c>
      <c r="G28" s="24">
        <v>454285</v>
      </c>
      <c r="H28" s="24">
        <v>471783.24915124499</v>
      </c>
      <c r="I28" s="24">
        <v>407322.74173320201</v>
      </c>
      <c r="J28" s="25">
        <v>460402</v>
      </c>
      <c r="K28" s="25">
        <v>530737.37154573656</v>
      </c>
      <c r="L28" s="25">
        <v>582197.14609094639</v>
      </c>
      <c r="M28" s="25">
        <v>585752.06038012099</v>
      </c>
      <c r="N28" s="25">
        <v>697001.29</v>
      </c>
      <c r="O28" s="25">
        <v>749274.82</v>
      </c>
      <c r="P28" s="25">
        <v>829295.68710123026</v>
      </c>
      <c r="Q28" s="3"/>
      <c r="R28" s="4"/>
      <c r="S28" s="4"/>
      <c r="T28" s="4"/>
      <c r="U28" s="4"/>
      <c r="V28" s="3"/>
      <c r="W28" s="4"/>
      <c r="X28" s="4"/>
      <c r="Y28" s="3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1"/>
      <c r="GJ28" s="1"/>
      <c r="GK28" s="1"/>
    </row>
    <row r="29" spans="1:194" ht="45" x14ac:dyDescent="0.25">
      <c r="A29" s="26" t="s">
        <v>37</v>
      </c>
      <c r="B29" s="23" t="s">
        <v>19</v>
      </c>
      <c r="C29" s="24">
        <v>948347.78235482844</v>
      </c>
      <c r="D29" s="24">
        <v>1056412.9772002641</v>
      </c>
      <c r="E29" s="24">
        <v>1200457.6028185347</v>
      </c>
      <c r="F29" s="24">
        <v>1310501.0603803375</v>
      </c>
      <c r="G29" s="24">
        <v>1369550.1817377645</v>
      </c>
      <c r="H29" s="24">
        <v>1485990.3159271488</v>
      </c>
      <c r="I29" s="24">
        <v>1644332.3094887631</v>
      </c>
      <c r="J29" s="25">
        <v>1837038.4990746374</v>
      </c>
      <c r="K29" s="25">
        <v>1881704.4481166983</v>
      </c>
      <c r="L29" s="25">
        <v>1900827.3887035139</v>
      </c>
      <c r="M29" s="25">
        <v>2124746.2919687978</v>
      </c>
      <c r="N29" s="25">
        <v>2390630.4341724012</v>
      </c>
      <c r="O29" s="25">
        <v>2526905.0323652416</v>
      </c>
      <c r="P29" s="25">
        <v>2782117.3748741215</v>
      </c>
      <c r="Q29" s="3"/>
      <c r="R29" s="4"/>
      <c r="S29" s="4"/>
      <c r="T29" s="4"/>
      <c r="U29" s="4"/>
      <c r="V29" s="3"/>
      <c r="W29" s="4"/>
      <c r="X29" s="4"/>
      <c r="Y29" s="3"/>
      <c r="Z29" s="5"/>
      <c r="AA29" s="5"/>
      <c r="AB29" s="5"/>
      <c r="AC29" s="5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1"/>
      <c r="GJ29" s="1"/>
      <c r="GK29" s="1"/>
    </row>
    <row r="30" spans="1:194" ht="15.75" x14ac:dyDescent="0.25">
      <c r="A30" s="26" t="s">
        <v>38</v>
      </c>
      <c r="B30" s="23" t="s">
        <v>53</v>
      </c>
      <c r="C30" s="24">
        <v>1127470</v>
      </c>
      <c r="D30" s="24">
        <v>1219248</v>
      </c>
      <c r="E30" s="24">
        <v>1216969</v>
      </c>
      <c r="F30" s="24">
        <v>1275552</v>
      </c>
      <c r="G30" s="24">
        <v>1635194</v>
      </c>
      <c r="H30" s="24">
        <v>1687337</v>
      </c>
      <c r="I30" s="24">
        <v>1922166.1748520653</v>
      </c>
      <c r="J30" s="25">
        <v>2693660.2495264453</v>
      </c>
      <c r="K30" s="25">
        <v>2758438.5085869264</v>
      </c>
      <c r="L30" s="25">
        <v>3055404.074624578</v>
      </c>
      <c r="M30" s="25">
        <v>3414760.9465664113</v>
      </c>
      <c r="N30" s="25">
        <v>3534816.5310798134</v>
      </c>
      <c r="O30" s="25">
        <v>4008368</v>
      </c>
      <c r="P30" s="25">
        <v>4315332.9113166928</v>
      </c>
      <c r="Q30" s="3"/>
      <c r="R30" s="4"/>
      <c r="S30" s="4"/>
      <c r="T30" s="4"/>
      <c r="U30" s="4"/>
      <c r="V30" s="3"/>
      <c r="W30" s="4"/>
      <c r="X30" s="4"/>
      <c r="Y30" s="3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1"/>
      <c r="GJ30" s="1"/>
      <c r="GK30" s="1"/>
    </row>
    <row r="31" spans="1:194" ht="15.75" x14ac:dyDescent="0.25">
      <c r="A31" s="26" t="s">
        <v>39</v>
      </c>
      <c r="B31" s="23" t="s">
        <v>20</v>
      </c>
      <c r="C31" s="24">
        <v>629362.03773837606</v>
      </c>
      <c r="D31" s="24">
        <v>690691.69108201645</v>
      </c>
      <c r="E31" s="24">
        <v>849346.34213705745</v>
      </c>
      <c r="F31" s="24">
        <v>867943.42857386603</v>
      </c>
      <c r="G31" s="24">
        <v>962962.15117616032</v>
      </c>
      <c r="H31" s="24">
        <v>1058646.0217165165</v>
      </c>
      <c r="I31" s="24">
        <v>1201598.4508795738</v>
      </c>
      <c r="J31" s="25">
        <v>1439241.0277838844</v>
      </c>
      <c r="K31" s="25">
        <v>1544802.8607110907</v>
      </c>
      <c r="L31" s="25">
        <v>1482100.8817270477</v>
      </c>
      <c r="M31" s="25">
        <v>1680597.5380029452</v>
      </c>
      <c r="N31" s="25">
        <v>1906532.8462114816</v>
      </c>
      <c r="O31" s="25">
        <v>2224930.9573003422</v>
      </c>
      <c r="P31" s="25">
        <v>2434342.0710146585</v>
      </c>
      <c r="Q31" s="3"/>
      <c r="R31" s="4"/>
      <c r="S31" s="4"/>
      <c r="T31" s="4"/>
      <c r="U31" s="4"/>
      <c r="V31" s="3"/>
      <c r="W31" s="4"/>
      <c r="X31" s="4"/>
      <c r="Y31" s="3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1"/>
      <c r="GJ31" s="1"/>
      <c r="GK31" s="1"/>
    </row>
    <row r="32" spans="1:194" s="9" customFormat="1" ht="15.75" x14ac:dyDescent="0.25">
      <c r="A32" s="27"/>
      <c r="B32" s="28" t="s">
        <v>29</v>
      </c>
      <c r="C32" s="29">
        <f>C17+C20+C28+C29+C30+C31</f>
        <v>4070052.9861324988</v>
      </c>
      <c r="D32" s="29">
        <f t="shared" ref="D32:E32" si="17">D17+D20+D28+D29+D30+D31</f>
        <v>4591887.6084249681</v>
      </c>
      <c r="E32" s="29">
        <f t="shared" si="17"/>
        <v>5130257.5504939295</v>
      </c>
      <c r="F32" s="29">
        <f t="shared" ref="F32:H32" si="18">F17+F20+F28+F29+F30+F31</f>
        <v>5450902.0414437056</v>
      </c>
      <c r="G32" s="29">
        <f t="shared" si="18"/>
        <v>6293490.9810351431</v>
      </c>
      <c r="H32" s="29">
        <f t="shared" si="18"/>
        <v>6774663.4667678252</v>
      </c>
      <c r="I32" s="29">
        <f t="shared" ref="I32:K32" si="19">I17+I20+I28+I29+I30+I31</f>
        <v>7517131.1396962367</v>
      </c>
      <c r="J32" s="29">
        <f t="shared" si="19"/>
        <v>9084325.7893110421</v>
      </c>
      <c r="K32" s="29">
        <f t="shared" si="19"/>
        <v>9461295.9094605148</v>
      </c>
      <c r="L32" s="29">
        <f t="shared" ref="L32:M32" si="20">L17+L20+L28+L29+L30+L31</f>
        <v>9300228.5534815323</v>
      </c>
      <c r="M32" s="29">
        <f t="shared" si="20"/>
        <v>10835086.212051</v>
      </c>
      <c r="N32" s="29">
        <f t="shared" ref="N32" si="21">N17+N20+N28+N29+N30+N31</f>
        <v>12072953.069847316</v>
      </c>
      <c r="O32" s="29">
        <f t="shared" ref="O32:P32" si="22">O17+O20+O28+O29+O30+O31</f>
        <v>13369928.593945911</v>
      </c>
      <c r="P32" s="29">
        <f t="shared" si="22"/>
        <v>14676159.822759941</v>
      </c>
      <c r="Q32" s="3"/>
      <c r="R32" s="4"/>
      <c r="S32" s="4"/>
      <c r="T32" s="4"/>
      <c r="U32" s="4"/>
      <c r="V32" s="3"/>
      <c r="W32" s="4"/>
      <c r="X32" s="4"/>
      <c r="Y32" s="3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0"/>
      <c r="GJ32" s="10"/>
      <c r="GK32" s="10"/>
    </row>
    <row r="33" spans="1:194" s="10" customFormat="1" ht="15.75" x14ac:dyDescent="0.25">
      <c r="A33" s="19" t="s">
        <v>26</v>
      </c>
      <c r="B33" s="34" t="s">
        <v>40</v>
      </c>
      <c r="C33" s="21">
        <f>C6+C11+C13+C14+C15+C17+C20+C28+C29+C30+C31</f>
        <v>7476072.8082352234</v>
      </c>
      <c r="D33" s="21">
        <f>D6+D11+D13+D14+D15+D17+D20+D28+D29+D30+D31</f>
        <v>8308983.4069613582</v>
      </c>
      <c r="E33" s="21">
        <f>E6+E11+E13+E14+E15+E17+E20+E28+E29+E30+E31</f>
        <v>9062372.6081937943</v>
      </c>
      <c r="F33" s="21">
        <f>F6+F11+F13+F14+F15+F17+F20+F28+F29+F30+F31</f>
        <v>9311906.6966483369</v>
      </c>
      <c r="G33" s="21">
        <f t="shared" ref="G33:H33" si="23">G6+G11+G13+G14+G15+G17+G20+G28+G29+G30+G31</f>
        <v>11061385.243207287</v>
      </c>
      <c r="H33" s="21">
        <f t="shared" si="23"/>
        <v>11820041.621809948</v>
      </c>
      <c r="I33" s="21">
        <f t="shared" ref="I33:K33" si="24">I6+I11+I13+I14+I15+I17+I20+I28+I29+I30+I31</f>
        <v>12955569.000501892</v>
      </c>
      <c r="J33" s="21">
        <f t="shared" si="24"/>
        <v>14945499.841861311</v>
      </c>
      <c r="K33" s="21">
        <f t="shared" si="24"/>
        <v>15382732.674090197</v>
      </c>
      <c r="L33" s="21">
        <f t="shared" ref="L33:M33" si="25">L6+L11+L13+L14+L15+L17+L20+L28+L29+L30+L31</f>
        <v>15465260.970890295</v>
      </c>
      <c r="M33" s="21">
        <f t="shared" si="25"/>
        <v>17626985.148159228</v>
      </c>
      <c r="N33" s="21">
        <f t="shared" ref="N33" si="26">N6+N11+N13+N14+N15+N17+N20+N28+N29+N30+N31</f>
        <v>19643498.194094397</v>
      </c>
      <c r="O33" s="21">
        <f t="shared" ref="O33:P33" si="27">O6+O11+O13+O14+O15+O17+O20+O28+O29+O30+O31</f>
        <v>21682635.274787217</v>
      </c>
      <c r="P33" s="21">
        <f t="shared" si="27"/>
        <v>23880460.40089418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L33" s="9"/>
    </row>
    <row r="34" spans="1:194" ht="15.75" x14ac:dyDescent="0.25">
      <c r="A34" s="35" t="s">
        <v>42</v>
      </c>
      <c r="B34" s="36" t="s">
        <v>77</v>
      </c>
      <c r="C34" s="17">
        <v>551520</v>
      </c>
      <c r="D34" s="17">
        <v>658405</v>
      </c>
      <c r="E34" s="17">
        <v>748270</v>
      </c>
      <c r="F34" s="17">
        <v>758083</v>
      </c>
      <c r="G34" s="17">
        <v>885604</v>
      </c>
      <c r="H34" s="17">
        <v>958673</v>
      </c>
      <c r="I34" s="17">
        <v>1271191.9999999998</v>
      </c>
      <c r="J34" s="18">
        <v>1311154</v>
      </c>
      <c r="K34" s="18">
        <v>1239653.0014028219</v>
      </c>
      <c r="L34" s="18">
        <v>1712178.994967161</v>
      </c>
      <c r="M34" s="18">
        <v>1572344.6577534974</v>
      </c>
      <c r="N34" s="18">
        <v>1661817.9079256998</v>
      </c>
      <c r="O34" s="18">
        <v>2163602.14234776</v>
      </c>
      <c r="P34" s="18">
        <v>2605698.2998534665</v>
      </c>
      <c r="Q34" s="3"/>
      <c r="R34" s="4"/>
      <c r="S34" s="4"/>
      <c r="T34" s="4"/>
      <c r="U34" s="4"/>
      <c r="V34" s="3"/>
      <c r="W34" s="4"/>
      <c r="X34" s="4"/>
      <c r="Y34" s="3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</row>
    <row r="35" spans="1:194" ht="15.75" x14ac:dyDescent="0.25">
      <c r="A35" s="35" t="s">
        <v>43</v>
      </c>
      <c r="B35" s="36" t="s">
        <v>24</v>
      </c>
      <c r="C35" s="17">
        <v>202038</v>
      </c>
      <c r="D35" s="17">
        <v>253615</v>
      </c>
      <c r="E35" s="17">
        <v>248582</v>
      </c>
      <c r="F35" s="17">
        <v>233315</v>
      </c>
      <c r="G35" s="17">
        <v>230194</v>
      </c>
      <c r="H35" s="17">
        <v>293915</v>
      </c>
      <c r="I35" s="17">
        <v>255875</v>
      </c>
      <c r="J35" s="18">
        <v>270709</v>
      </c>
      <c r="K35" s="18">
        <v>212064</v>
      </c>
      <c r="L35" s="18">
        <v>398171</v>
      </c>
      <c r="M35" s="18">
        <v>343223</v>
      </c>
      <c r="N35" s="18">
        <v>323764</v>
      </c>
      <c r="O35" s="18">
        <v>240352</v>
      </c>
      <c r="P35" s="18">
        <v>240352</v>
      </c>
      <c r="Q35" s="3"/>
      <c r="R35" s="4"/>
      <c r="S35" s="4"/>
      <c r="T35" s="4"/>
      <c r="U35" s="4"/>
      <c r="V35" s="3"/>
      <c r="W35" s="4"/>
      <c r="X35" s="4"/>
      <c r="Y35" s="3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</row>
    <row r="36" spans="1:194" s="9" customFormat="1" ht="30" x14ac:dyDescent="0.25">
      <c r="A36" s="37" t="s">
        <v>44</v>
      </c>
      <c r="B36" s="38" t="s">
        <v>54</v>
      </c>
      <c r="C36" s="29">
        <f>C33+C34-C35</f>
        <v>7825554.8082352234</v>
      </c>
      <c r="D36" s="29">
        <f t="shared" ref="D36:E36" si="28">D33+D34-D35</f>
        <v>8713773.4069613591</v>
      </c>
      <c r="E36" s="29">
        <f t="shared" si="28"/>
        <v>9562060.6081937943</v>
      </c>
      <c r="F36" s="29">
        <f t="shared" ref="F36:N36" si="29">F33+F34-F35</f>
        <v>9836674.6966483369</v>
      </c>
      <c r="G36" s="29">
        <f t="shared" si="29"/>
        <v>11716795.243207287</v>
      </c>
      <c r="H36" s="29">
        <f t="shared" si="29"/>
        <v>12484799.621809948</v>
      </c>
      <c r="I36" s="29">
        <f t="shared" si="29"/>
        <v>13970886.000501892</v>
      </c>
      <c r="J36" s="29">
        <f t="shared" si="29"/>
        <v>15985944.841861311</v>
      </c>
      <c r="K36" s="29">
        <f t="shared" si="29"/>
        <v>16410321.675493019</v>
      </c>
      <c r="L36" s="29">
        <f t="shared" si="29"/>
        <v>16779268.965857457</v>
      </c>
      <c r="M36" s="29">
        <f t="shared" si="29"/>
        <v>18856106.805912726</v>
      </c>
      <c r="N36" s="29">
        <f t="shared" si="29"/>
        <v>20981552.102020096</v>
      </c>
      <c r="O36" s="29">
        <f t="shared" ref="O36:P36" si="30">O33+O34-O35</f>
        <v>23605885.417134978</v>
      </c>
      <c r="P36" s="29">
        <f t="shared" si="30"/>
        <v>26245806.700747646</v>
      </c>
      <c r="Q36" s="3"/>
      <c r="R36" s="4"/>
      <c r="S36" s="4"/>
      <c r="T36" s="4"/>
      <c r="U36" s="4"/>
      <c r="V36" s="3"/>
      <c r="W36" s="4"/>
      <c r="X36" s="4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</row>
    <row r="37" spans="1:194" ht="15.75" x14ac:dyDescent="0.25">
      <c r="A37" s="35" t="s">
        <v>45</v>
      </c>
      <c r="B37" s="36" t="s">
        <v>41</v>
      </c>
      <c r="C37" s="17">
        <v>126160</v>
      </c>
      <c r="D37" s="17">
        <v>127440</v>
      </c>
      <c r="E37" s="17">
        <v>128730</v>
      </c>
      <c r="F37" s="17">
        <v>130020</v>
      </c>
      <c r="G37" s="17">
        <v>131300</v>
      </c>
      <c r="H37" s="17">
        <v>132440</v>
      </c>
      <c r="I37" s="17">
        <v>133480</v>
      </c>
      <c r="J37" s="18">
        <v>134530</v>
      </c>
      <c r="K37" s="18">
        <v>132630</v>
      </c>
      <c r="L37" s="18">
        <v>133650</v>
      </c>
      <c r="M37" s="18">
        <v>134650</v>
      </c>
      <c r="N37" s="18">
        <v>135620</v>
      </c>
      <c r="O37" s="18">
        <v>136600</v>
      </c>
      <c r="P37" s="18">
        <v>137580</v>
      </c>
      <c r="Z37" s="1"/>
      <c r="AA37" s="1"/>
      <c r="AB37" s="1"/>
      <c r="AC37" s="1"/>
    </row>
    <row r="38" spans="1:194" s="9" customFormat="1" ht="15.75" x14ac:dyDescent="0.25">
      <c r="A38" s="37" t="s">
        <v>46</v>
      </c>
      <c r="B38" s="38" t="s">
        <v>57</v>
      </c>
      <c r="C38" s="29">
        <f>C36/C37*1000</f>
        <v>62028.811098884144</v>
      </c>
      <c r="D38" s="29">
        <f t="shared" ref="D38:E38" si="31">D36/D37*1000</f>
        <v>68375.497543639038</v>
      </c>
      <c r="E38" s="29">
        <f t="shared" si="31"/>
        <v>74279.970544502401</v>
      </c>
      <c r="F38" s="29">
        <f t="shared" ref="F38:N38" si="32">F36/F37*1000</f>
        <v>75655.089191265477</v>
      </c>
      <c r="G38" s="29">
        <f t="shared" si="32"/>
        <v>89236.825919324343</v>
      </c>
      <c r="H38" s="29">
        <f t="shared" si="32"/>
        <v>94267.590016686416</v>
      </c>
      <c r="I38" s="29">
        <f t="shared" si="32"/>
        <v>104666.51184073937</v>
      </c>
      <c r="J38" s="29">
        <f t="shared" si="32"/>
        <v>118828.10407984324</v>
      </c>
      <c r="K38" s="29">
        <f t="shared" si="32"/>
        <v>123730.08878453607</v>
      </c>
      <c r="L38" s="29">
        <f t="shared" si="32"/>
        <v>125546.34467532704</v>
      </c>
      <c r="M38" s="29">
        <f t="shared" si="32"/>
        <v>140037.92651996081</v>
      </c>
      <c r="N38" s="29">
        <f t="shared" si="32"/>
        <v>154708.39184500879</v>
      </c>
      <c r="O38" s="29">
        <f t="shared" ref="O38:P38" si="33">O36/O37*1000</f>
        <v>172810.28855882122</v>
      </c>
      <c r="P38" s="29">
        <f t="shared" si="33"/>
        <v>190767.60212783577</v>
      </c>
      <c r="Q38" s="3"/>
      <c r="R38" s="2"/>
      <c r="S38" s="2"/>
      <c r="T38" s="2"/>
      <c r="U38" s="2"/>
      <c r="V38" s="1"/>
      <c r="W38" s="2"/>
      <c r="X38" s="2"/>
      <c r="Y38" s="3"/>
      <c r="Z38" s="3"/>
      <c r="AA38" s="3"/>
      <c r="AB38" s="3"/>
      <c r="AC38" s="3"/>
      <c r="AD38" s="2"/>
      <c r="AE38" s="2"/>
      <c r="AF38" s="2"/>
      <c r="AG38" s="2"/>
      <c r="AH38" s="2"/>
      <c r="AI38" s="2"/>
      <c r="AJ38" s="2"/>
      <c r="CD38" s="12"/>
      <c r="CE38" s="12"/>
      <c r="CF38" s="12"/>
      <c r="CG38" s="12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</row>
    <row r="39" spans="1:194" x14ac:dyDescent="0.25">
      <c r="A39" s="2" t="s">
        <v>75</v>
      </c>
      <c r="F39" s="13"/>
      <c r="G39" s="13"/>
      <c r="H39" s="13"/>
      <c r="I39" s="13"/>
      <c r="J39" s="14"/>
      <c r="K39" s="14"/>
      <c r="L39" s="14"/>
      <c r="M39" s="14"/>
      <c r="N39" s="14"/>
      <c r="O39" s="14"/>
      <c r="P39" s="14"/>
    </row>
    <row r="40" spans="1:194" x14ac:dyDescent="0.25">
      <c r="A40" s="2" t="s">
        <v>76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S40"/>
  <sheetViews>
    <sheetView zoomScale="93" zoomScaleNormal="93" zoomScaleSheetLayoutView="100" workbookViewId="0">
      <pane xSplit="2" ySplit="5" topLeftCell="C21" activePane="bottomRight" state="frozen"/>
      <selection activeCell="Q33" sqref="Q33"/>
      <selection pane="topRight" activeCell="Q33" sqref="Q33"/>
      <selection pane="bottomLeft" activeCell="Q33" sqref="Q33"/>
      <selection pane="bottomRight" activeCell="Q33" sqref="Q33"/>
    </sheetView>
  </sheetViews>
  <sheetFormatPr defaultColWidth="8.85546875" defaultRowHeight="15" x14ac:dyDescent="0.25"/>
  <cols>
    <col min="1" max="1" width="11" style="2" customWidth="1"/>
    <col min="2" max="2" width="36.140625" style="2" customWidth="1"/>
    <col min="3" max="9" width="9.85546875" style="2" customWidth="1"/>
    <col min="10" max="16" width="9.85546875" style="1" customWidth="1"/>
    <col min="17" max="17" width="11.28515625" style="2" customWidth="1"/>
    <col min="18" max="18" width="11.7109375" style="1" customWidth="1"/>
    <col min="19" max="19" width="9.140625" style="2" customWidth="1"/>
    <col min="20" max="20" width="10.85546875" style="2" customWidth="1"/>
    <col min="21" max="21" width="10.85546875" style="1" customWidth="1"/>
    <col min="22" max="22" width="11" style="2" customWidth="1"/>
    <col min="23" max="25" width="11.42578125" style="2" customWidth="1"/>
    <col min="26" max="53" width="9.140625" style="2" customWidth="1"/>
    <col min="54" max="54" width="12.42578125" style="2" customWidth="1"/>
    <col min="55" max="76" width="9.140625" style="2" customWidth="1"/>
    <col min="77" max="77" width="12.140625" style="2" customWidth="1"/>
    <col min="78" max="81" width="9.140625" style="2" customWidth="1"/>
    <col min="82" max="86" width="9.140625" style="2" hidden="1" customWidth="1"/>
    <col min="87" max="87" width="9.140625" style="2" customWidth="1"/>
    <col min="88" max="92" width="9.140625" style="2" hidden="1" customWidth="1"/>
    <col min="93" max="93" width="9.140625" style="2" customWidth="1"/>
    <col min="94" max="98" width="9.140625" style="2" hidden="1" customWidth="1"/>
    <col min="99" max="99" width="9.140625" style="2" customWidth="1"/>
    <col min="100" max="104" width="9.140625" style="2" hidden="1" customWidth="1"/>
    <col min="105" max="105" width="9.140625" style="2" customWidth="1"/>
    <col min="106" max="110" width="9.140625" style="2" hidden="1" customWidth="1"/>
    <col min="111" max="111" width="9.140625" style="1" customWidth="1"/>
    <col min="112" max="116" width="9.140625" style="1" hidden="1" customWidth="1"/>
    <col min="117" max="117" width="9.140625" style="1" customWidth="1"/>
    <col min="118" max="122" width="9.140625" style="1" hidden="1" customWidth="1"/>
    <col min="123" max="123" width="9.140625" style="1" customWidth="1"/>
    <col min="124" max="128" width="9.140625" style="1" hidden="1" customWidth="1"/>
    <col min="129" max="129" width="9.140625" style="1" customWidth="1"/>
    <col min="130" max="159" width="9.140625" style="2" customWidth="1"/>
    <col min="160" max="160" width="9.140625" style="2" hidden="1" customWidth="1"/>
    <col min="161" max="168" width="9.140625" style="2" customWidth="1"/>
    <col min="169" max="169" width="9.140625" style="2" hidden="1" customWidth="1"/>
    <col min="170" max="174" width="9.140625" style="2" customWidth="1"/>
    <col min="175" max="175" width="9.140625" style="2" hidden="1" customWidth="1"/>
    <col min="176" max="185" width="9.140625" style="2" customWidth="1"/>
    <col min="186" max="186" width="9.140625" style="2"/>
    <col min="187" max="189" width="8.85546875" style="2"/>
    <col min="190" max="190" width="12.7109375" style="2" bestFit="1" customWidth="1"/>
    <col min="191" max="16384" width="8.85546875" style="2"/>
  </cols>
  <sheetData>
    <row r="1" spans="1:190" ht="18.75" x14ac:dyDescent="0.3">
      <c r="A1" s="2" t="s">
        <v>52</v>
      </c>
      <c r="B1" s="6" t="s">
        <v>65</v>
      </c>
      <c r="T1" s="3"/>
    </row>
    <row r="2" spans="1:190" ht="15.75" x14ac:dyDescent="0.25">
      <c r="A2" s="7" t="s">
        <v>48</v>
      </c>
      <c r="I2" s="2" t="str">
        <f>[1]GSVA_cur!$I$3</f>
        <v>01.08.2025</v>
      </c>
    </row>
    <row r="3" spans="1:190" ht="15.75" x14ac:dyDescent="0.25">
      <c r="A3" s="7"/>
    </row>
    <row r="4" spans="1:190" ht="15.75" x14ac:dyDescent="0.25">
      <c r="A4" s="7"/>
      <c r="E4" s="8"/>
      <c r="F4" s="8" t="s">
        <v>56</v>
      </c>
      <c r="G4" s="8"/>
      <c r="H4" s="8"/>
      <c r="I4" s="8"/>
    </row>
    <row r="5" spans="1:190" ht="15.75" x14ac:dyDescent="0.25">
      <c r="A5" s="15" t="s">
        <v>0</v>
      </c>
      <c r="B5" s="16" t="s">
        <v>1</v>
      </c>
      <c r="C5" s="17" t="s">
        <v>21</v>
      </c>
      <c r="D5" s="17" t="s">
        <v>22</v>
      </c>
      <c r="E5" s="17" t="s">
        <v>23</v>
      </c>
      <c r="F5" s="17" t="s">
        <v>55</v>
      </c>
      <c r="G5" s="17" t="s">
        <v>64</v>
      </c>
      <c r="H5" s="17" t="s">
        <v>66</v>
      </c>
      <c r="I5" s="17" t="s">
        <v>67</v>
      </c>
      <c r="J5" s="18" t="s">
        <v>68</v>
      </c>
      <c r="K5" s="18" t="s">
        <v>69</v>
      </c>
      <c r="L5" s="18" t="s">
        <v>70</v>
      </c>
      <c r="M5" s="18" t="s">
        <v>71</v>
      </c>
      <c r="N5" s="18" t="s">
        <v>72</v>
      </c>
      <c r="O5" s="18" t="s">
        <v>73</v>
      </c>
      <c r="P5" s="18" t="s">
        <v>74</v>
      </c>
    </row>
    <row r="6" spans="1:190" s="10" customFormat="1" ht="15.75" x14ac:dyDescent="0.25">
      <c r="A6" s="19" t="s">
        <v>25</v>
      </c>
      <c r="B6" s="20" t="s">
        <v>2</v>
      </c>
      <c r="C6" s="21">
        <f>SUM(C7:C10)</f>
        <v>1306347.2539721353</v>
      </c>
      <c r="D6" s="21">
        <f t="shared" ref="D6:O6" si="0">SUM(D7:D10)</f>
        <v>1249071.4500304828</v>
      </c>
      <c r="E6" s="21">
        <f t="shared" si="0"/>
        <v>1299210.448575624</v>
      </c>
      <c r="F6" s="21">
        <f t="shared" si="0"/>
        <v>1159250.4676835833</v>
      </c>
      <c r="G6" s="21">
        <f t="shared" si="0"/>
        <v>1454647.4528495595</v>
      </c>
      <c r="H6" s="21">
        <f t="shared" si="0"/>
        <v>1536769.9561199869</v>
      </c>
      <c r="I6" s="21">
        <f t="shared" si="0"/>
        <v>1551737.3805511002</v>
      </c>
      <c r="J6" s="21">
        <f t="shared" si="0"/>
        <v>1668175.4929251061</v>
      </c>
      <c r="K6" s="21">
        <f t="shared" si="0"/>
        <v>1627363.4073608855</v>
      </c>
      <c r="L6" s="21">
        <f t="shared" si="0"/>
        <v>1600540.0007123004</v>
      </c>
      <c r="M6" s="21">
        <f t="shared" si="0"/>
        <v>1644948.5577775384</v>
      </c>
      <c r="N6" s="21">
        <f t="shared" si="0"/>
        <v>1826931.6373830978</v>
      </c>
      <c r="O6" s="21">
        <f t="shared" si="0"/>
        <v>1942484.8061175502</v>
      </c>
      <c r="P6" s="21">
        <f t="shared" ref="P6" si="1">SUM(P7:P10)</f>
        <v>2037394.8143764075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H6" s="9"/>
    </row>
    <row r="7" spans="1:190" ht="15.75" x14ac:dyDescent="0.25">
      <c r="A7" s="22">
        <v>1.1000000000000001</v>
      </c>
      <c r="B7" s="23" t="s">
        <v>58</v>
      </c>
      <c r="C7" s="24">
        <v>795338.608600365</v>
      </c>
      <c r="D7" s="24">
        <v>733200.6928224063</v>
      </c>
      <c r="E7" s="24">
        <v>788857.93148395396</v>
      </c>
      <c r="F7" s="24">
        <v>579991.41918520257</v>
      </c>
      <c r="G7" s="24">
        <v>805942.71432213311</v>
      </c>
      <c r="H7" s="24">
        <v>800103.85723448836</v>
      </c>
      <c r="I7" s="24">
        <v>792609.35310666659</v>
      </c>
      <c r="J7" s="25">
        <v>873588.85389491229</v>
      </c>
      <c r="K7" s="25">
        <v>819024.36573582294</v>
      </c>
      <c r="L7" s="25">
        <v>800292.99092304613</v>
      </c>
      <c r="M7" s="25">
        <v>802844.08070914901</v>
      </c>
      <c r="N7" s="25">
        <v>942805.53987231501</v>
      </c>
      <c r="O7" s="25">
        <v>1035790.3776336132</v>
      </c>
      <c r="P7" s="25">
        <v>1085592.9673248841</v>
      </c>
      <c r="Q7" s="4"/>
      <c r="R7" s="3"/>
      <c r="S7" s="4"/>
      <c r="T7" s="4"/>
      <c r="U7" s="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1"/>
      <c r="GF7" s="1"/>
      <c r="GG7" s="1"/>
    </row>
    <row r="8" spans="1:190" ht="15.75" x14ac:dyDescent="0.25">
      <c r="A8" s="22">
        <v>1.2</v>
      </c>
      <c r="B8" s="23" t="s">
        <v>59</v>
      </c>
      <c r="C8" s="24">
        <v>344125.10016853822</v>
      </c>
      <c r="D8" s="24">
        <v>342586.17346518958</v>
      </c>
      <c r="E8" s="24">
        <v>331948.50566196779</v>
      </c>
      <c r="F8" s="24">
        <v>396223.58417273004</v>
      </c>
      <c r="G8" s="24">
        <v>460479.43600057944</v>
      </c>
      <c r="H8" s="24">
        <v>498440.97689967661</v>
      </c>
      <c r="I8" s="24">
        <v>515276.74596922274</v>
      </c>
      <c r="J8" s="25">
        <v>539166.15512755851</v>
      </c>
      <c r="K8" s="25">
        <v>532714.87511790369</v>
      </c>
      <c r="L8" s="25">
        <v>531769.23723190499</v>
      </c>
      <c r="M8" s="25">
        <v>568579.46460702724</v>
      </c>
      <c r="N8" s="25">
        <v>596759.71365696425</v>
      </c>
      <c r="O8" s="25">
        <v>608786.14061734744</v>
      </c>
      <c r="P8" s="25">
        <v>641397.09520530899</v>
      </c>
      <c r="Q8" s="4"/>
      <c r="R8" s="3"/>
      <c r="S8" s="4"/>
      <c r="T8" s="4"/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1"/>
      <c r="GF8" s="1"/>
      <c r="GG8" s="1"/>
    </row>
    <row r="9" spans="1:190" ht="15.75" x14ac:dyDescent="0.25">
      <c r="A9" s="22">
        <v>1.3</v>
      </c>
      <c r="B9" s="23" t="s">
        <v>60</v>
      </c>
      <c r="C9" s="24">
        <v>134535.62583128194</v>
      </c>
      <c r="D9" s="24">
        <v>140887.82400882049</v>
      </c>
      <c r="E9" s="24">
        <v>146093.2994627023</v>
      </c>
      <c r="F9" s="24">
        <v>150245.17047497127</v>
      </c>
      <c r="G9" s="24">
        <v>155771.81087717216</v>
      </c>
      <c r="H9" s="24">
        <v>205263.09952384816</v>
      </c>
      <c r="I9" s="24">
        <v>210370.85927135224</v>
      </c>
      <c r="J9" s="25">
        <v>221358.23237103544</v>
      </c>
      <c r="K9" s="25">
        <v>240447.770864146</v>
      </c>
      <c r="L9" s="25">
        <v>233245.35012006486</v>
      </c>
      <c r="M9" s="25">
        <v>231935.61547276255</v>
      </c>
      <c r="N9" s="25">
        <v>243128.21469489939</v>
      </c>
      <c r="O9" s="25">
        <v>252291.23008625355</v>
      </c>
      <c r="P9" s="25">
        <v>262677.90514353773</v>
      </c>
      <c r="Q9" s="4"/>
      <c r="R9" s="3"/>
      <c r="S9" s="4"/>
      <c r="T9" s="4"/>
      <c r="U9" s="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1"/>
      <c r="GF9" s="1"/>
      <c r="GG9" s="1"/>
    </row>
    <row r="10" spans="1:190" ht="15.75" x14ac:dyDescent="0.25">
      <c r="A10" s="22">
        <v>1.4</v>
      </c>
      <c r="B10" s="23" t="s">
        <v>61</v>
      </c>
      <c r="C10" s="24">
        <v>32347.91937195</v>
      </c>
      <c r="D10" s="24">
        <v>32396.759734066516</v>
      </c>
      <c r="E10" s="24">
        <v>32310.711966999879</v>
      </c>
      <c r="F10" s="24">
        <v>32790.293850679438</v>
      </c>
      <c r="G10" s="24">
        <v>32453.491649674659</v>
      </c>
      <c r="H10" s="24">
        <v>32962.022461973917</v>
      </c>
      <c r="I10" s="24">
        <v>33480.422203858892</v>
      </c>
      <c r="J10" s="25">
        <v>34062.25153159981</v>
      </c>
      <c r="K10" s="25">
        <v>35176.395643012926</v>
      </c>
      <c r="L10" s="25">
        <v>35232.422437284426</v>
      </c>
      <c r="M10" s="25">
        <v>41589.396988599525</v>
      </c>
      <c r="N10" s="25">
        <v>44238.169158919241</v>
      </c>
      <c r="O10" s="25">
        <v>45617.057780336138</v>
      </c>
      <c r="P10" s="25">
        <v>47726.846702676674</v>
      </c>
      <c r="Q10" s="4"/>
      <c r="R10" s="3"/>
      <c r="S10" s="4"/>
      <c r="T10" s="4"/>
      <c r="U10" s="3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1"/>
      <c r="GF10" s="1"/>
      <c r="GG10" s="1"/>
    </row>
    <row r="11" spans="1:190" ht="15.75" x14ac:dyDescent="0.25">
      <c r="A11" s="26" t="s">
        <v>30</v>
      </c>
      <c r="B11" s="23" t="s">
        <v>3</v>
      </c>
      <c r="C11" s="24">
        <v>32930.556799999998</v>
      </c>
      <c r="D11" s="24">
        <v>40570.992882450781</v>
      </c>
      <c r="E11" s="24">
        <v>35876.100986668098</v>
      </c>
      <c r="F11" s="24">
        <v>26955.087910212133</v>
      </c>
      <c r="G11" s="24">
        <v>93738.537533976385</v>
      </c>
      <c r="H11" s="24">
        <v>19880.902298671677</v>
      </c>
      <c r="I11" s="24">
        <v>16131.678453381499</v>
      </c>
      <c r="J11" s="25">
        <v>29808.178350403752</v>
      </c>
      <c r="K11" s="25">
        <v>15404.466057644056</v>
      </c>
      <c r="L11" s="25">
        <v>5427.3710349230314</v>
      </c>
      <c r="M11" s="25">
        <v>13867.532884357966</v>
      </c>
      <c r="N11" s="25">
        <v>20810.913361646006</v>
      </c>
      <c r="O11" s="25">
        <v>28423.841065000139</v>
      </c>
      <c r="P11" s="25">
        <v>30602.797693003267</v>
      </c>
      <c r="Q11" s="4"/>
      <c r="R11" s="3"/>
      <c r="S11" s="4"/>
      <c r="T11" s="4"/>
      <c r="U11" s="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1"/>
      <c r="GF11" s="1"/>
      <c r="GG11" s="1"/>
    </row>
    <row r="12" spans="1:190" s="9" customFormat="1" ht="15.75" x14ac:dyDescent="0.25">
      <c r="A12" s="27"/>
      <c r="B12" s="28" t="s">
        <v>27</v>
      </c>
      <c r="C12" s="29">
        <f>C6+C11</f>
        <v>1339277.8107721352</v>
      </c>
      <c r="D12" s="29">
        <f t="shared" ref="D12:N12" si="2">D6+D11</f>
        <v>1289642.4429129336</v>
      </c>
      <c r="E12" s="29">
        <f t="shared" si="2"/>
        <v>1335086.5495622922</v>
      </c>
      <c r="F12" s="29">
        <f t="shared" si="2"/>
        <v>1186205.5555937954</v>
      </c>
      <c r="G12" s="29">
        <f t="shared" si="2"/>
        <v>1548385.9903835359</v>
      </c>
      <c r="H12" s="29">
        <f t="shared" si="2"/>
        <v>1556650.8584186586</v>
      </c>
      <c r="I12" s="29">
        <f t="shared" si="2"/>
        <v>1567869.0590044816</v>
      </c>
      <c r="J12" s="29">
        <f t="shared" si="2"/>
        <v>1697983.6712755098</v>
      </c>
      <c r="K12" s="29">
        <f t="shared" si="2"/>
        <v>1642767.8734185295</v>
      </c>
      <c r="L12" s="29">
        <f t="shared" si="2"/>
        <v>1605967.3717472234</v>
      </c>
      <c r="M12" s="29">
        <f t="shared" si="2"/>
        <v>1658816.0906618964</v>
      </c>
      <c r="N12" s="29">
        <f t="shared" si="2"/>
        <v>1847742.5507447438</v>
      </c>
      <c r="O12" s="29">
        <f t="shared" ref="O12:P12" si="3">O6+O11</f>
        <v>1970908.6471825503</v>
      </c>
      <c r="P12" s="29">
        <f t="shared" si="3"/>
        <v>2067997.6120694107</v>
      </c>
      <c r="Q12" s="4"/>
      <c r="R12" s="3"/>
      <c r="S12" s="4"/>
      <c r="T12" s="4"/>
      <c r="U12" s="3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0"/>
      <c r="GF12" s="10"/>
      <c r="GG12" s="10"/>
    </row>
    <row r="13" spans="1:190" s="1" customFormat="1" ht="15.75" x14ac:dyDescent="0.25">
      <c r="A13" s="30" t="s">
        <v>31</v>
      </c>
      <c r="B13" s="31" t="s">
        <v>4</v>
      </c>
      <c r="C13" s="25">
        <v>797559.93779999996</v>
      </c>
      <c r="D13" s="25">
        <v>743850.69752752234</v>
      </c>
      <c r="E13" s="25">
        <v>760704.7038719689</v>
      </c>
      <c r="F13" s="25">
        <v>784303.64286740473</v>
      </c>
      <c r="G13" s="25">
        <v>907470.87136263063</v>
      </c>
      <c r="H13" s="25">
        <v>914135.63294827554</v>
      </c>
      <c r="I13" s="25">
        <v>942864.80090026674</v>
      </c>
      <c r="J13" s="25">
        <v>925638.5270043849</v>
      </c>
      <c r="K13" s="25">
        <v>865861.43374841497</v>
      </c>
      <c r="L13" s="25">
        <v>1118434.6969882946</v>
      </c>
      <c r="M13" s="25">
        <v>852365.10614074394</v>
      </c>
      <c r="N13" s="25">
        <v>861212.13733093254</v>
      </c>
      <c r="O13" s="25">
        <v>975989.13408801693</v>
      </c>
      <c r="P13" s="25">
        <v>1025654.9708568983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H13" s="2"/>
    </row>
    <row r="14" spans="1:190" ht="30" x14ac:dyDescent="0.25">
      <c r="A14" s="26" t="s">
        <v>32</v>
      </c>
      <c r="B14" s="23" t="s">
        <v>5</v>
      </c>
      <c r="C14" s="24">
        <v>616233.40800000005</v>
      </c>
      <c r="D14" s="24">
        <v>731523.25955399533</v>
      </c>
      <c r="E14" s="24">
        <v>755984.91575272405</v>
      </c>
      <c r="F14" s="24">
        <v>518607.42775677383</v>
      </c>
      <c r="G14" s="24">
        <v>884274.42522521783</v>
      </c>
      <c r="H14" s="24">
        <v>941766.85108937242</v>
      </c>
      <c r="I14" s="24">
        <v>1013809.2807181827</v>
      </c>
      <c r="J14" s="25">
        <v>1093489.0330832908</v>
      </c>
      <c r="K14" s="25">
        <v>1078841.5574262706</v>
      </c>
      <c r="L14" s="25">
        <v>1050039.5978538664</v>
      </c>
      <c r="M14" s="25">
        <v>1172930.3239486665</v>
      </c>
      <c r="N14" s="25">
        <v>1271711.5695842593</v>
      </c>
      <c r="O14" s="25">
        <v>1393842.8005620986</v>
      </c>
      <c r="P14" s="25">
        <v>1523973.5325219587</v>
      </c>
      <c r="Q14" s="4"/>
      <c r="R14" s="3"/>
      <c r="S14" s="4"/>
      <c r="T14" s="4"/>
      <c r="U14" s="3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3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3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3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1"/>
      <c r="GF14" s="1"/>
      <c r="GG14" s="1"/>
    </row>
    <row r="15" spans="1:190" ht="15.75" x14ac:dyDescent="0.25">
      <c r="A15" s="26" t="s">
        <v>33</v>
      </c>
      <c r="B15" s="23" t="s">
        <v>6</v>
      </c>
      <c r="C15" s="24">
        <v>652948.66553058894</v>
      </c>
      <c r="D15" s="24">
        <v>639992.68862808438</v>
      </c>
      <c r="E15" s="24">
        <v>707159.79546240775</v>
      </c>
      <c r="F15" s="24">
        <v>673345.95854495885</v>
      </c>
      <c r="G15" s="24">
        <v>689327.99907828099</v>
      </c>
      <c r="H15" s="24">
        <v>783726.00413505267</v>
      </c>
      <c r="I15" s="24">
        <v>819394.21658389061</v>
      </c>
      <c r="J15" s="25">
        <v>818381.8686046988</v>
      </c>
      <c r="K15" s="25">
        <v>860212.95304286585</v>
      </c>
      <c r="L15" s="25">
        <v>729695.44855842774</v>
      </c>
      <c r="M15" s="25">
        <v>811330.03758239793</v>
      </c>
      <c r="N15" s="25">
        <v>876580.88289393473</v>
      </c>
      <c r="O15" s="25">
        <v>897671.56130914437</v>
      </c>
      <c r="P15" s="25">
        <v>1012262.675625443</v>
      </c>
      <c r="Q15" s="4"/>
      <c r="R15" s="3"/>
      <c r="S15" s="4"/>
      <c r="T15" s="4"/>
      <c r="U15" s="3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3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3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3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1"/>
      <c r="GF15" s="1"/>
      <c r="GG15" s="1"/>
    </row>
    <row r="16" spans="1:190" s="9" customFormat="1" ht="15.75" x14ac:dyDescent="0.25">
      <c r="A16" s="27"/>
      <c r="B16" s="28" t="s">
        <v>28</v>
      </c>
      <c r="C16" s="29">
        <f>+C13+C14+C15</f>
        <v>2066742.011330589</v>
      </c>
      <c r="D16" s="29">
        <f t="shared" ref="D16:L16" si="4">+D13+D14+D15</f>
        <v>2115366.6457096022</v>
      </c>
      <c r="E16" s="29">
        <f t="shared" si="4"/>
        <v>2223849.4150871006</v>
      </c>
      <c r="F16" s="29">
        <f t="shared" si="4"/>
        <v>1976257.0291691374</v>
      </c>
      <c r="G16" s="29">
        <f t="shared" si="4"/>
        <v>2481073.2956661293</v>
      </c>
      <c r="H16" s="29">
        <f t="shared" si="4"/>
        <v>2639628.4881727006</v>
      </c>
      <c r="I16" s="29">
        <f t="shared" si="4"/>
        <v>2776068.29820234</v>
      </c>
      <c r="J16" s="29">
        <f t="shared" si="4"/>
        <v>2837509.4286923744</v>
      </c>
      <c r="K16" s="29">
        <f t="shared" si="4"/>
        <v>2804915.9442175515</v>
      </c>
      <c r="L16" s="29">
        <f t="shared" si="4"/>
        <v>2898169.7434005891</v>
      </c>
      <c r="M16" s="29">
        <f t="shared" ref="M16:N16" si="5">+M13+M14+M15</f>
        <v>2836625.4676718083</v>
      </c>
      <c r="N16" s="29">
        <f t="shared" si="5"/>
        <v>3009504.5898091267</v>
      </c>
      <c r="O16" s="29">
        <f t="shared" ref="O16:P16" si="6">+O13+O14+O15</f>
        <v>3267503.49595926</v>
      </c>
      <c r="P16" s="29">
        <f t="shared" si="6"/>
        <v>3561891.1790042999</v>
      </c>
      <c r="Q16" s="4"/>
      <c r="R16" s="3"/>
      <c r="S16" s="4"/>
      <c r="T16" s="4"/>
      <c r="U16" s="3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1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1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1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0"/>
      <c r="GF16" s="10"/>
      <c r="GG16" s="10"/>
    </row>
    <row r="17" spans="1:190" s="10" customFormat="1" ht="15.75" x14ac:dyDescent="0.25">
      <c r="A17" s="19" t="s">
        <v>34</v>
      </c>
      <c r="B17" s="20" t="s">
        <v>7</v>
      </c>
      <c r="C17" s="21">
        <f>C18+C19</f>
        <v>667074.20150667301</v>
      </c>
      <c r="D17" s="21">
        <f t="shared" ref="D17:L17" si="7">D18+D19</f>
        <v>751709.40132935822</v>
      </c>
      <c r="E17" s="21">
        <f t="shared" si="7"/>
        <v>787767.01529095357</v>
      </c>
      <c r="F17" s="21">
        <f t="shared" si="7"/>
        <v>765735.15664710593</v>
      </c>
      <c r="G17" s="21">
        <f t="shared" si="7"/>
        <v>857054.2028445428</v>
      </c>
      <c r="H17" s="21">
        <f t="shared" si="7"/>
        <v>911073.10200459196</v>
      </c>
      <c r="I17" s="21">
        <f t="shared" si="7"/>
        <v>1012473.4145453667</v>
      </c>
      <c r="J17" s="21">
        <f t="shared" si="7"/>
        <v>1103135.499531883</v>
      </c>
      <c r="K17" s="21">
        <f t="shared" si="7"/>
        <v>1102206.8966411876</v>
      </c>
      <c r="L17" s="21">
        <f t="shared" si="7"/>
        <v>781600.31019631226</v>
      </c>
      <c r="M17" s="21">
        <f t="shared" ref="M17:N17" si="8">M18+M19</f>
        <v>941257.81405905983</v>
      </c>
      <c r="N17" s="21">
        <f t="shared" si="8"/>
        <v>1106154.1721227937</v>
      </c>
      <c r="O17" s="21">
        <f t="shared" ref="O17:P17" si="9">O18+O19</f>
        <v>1114971.5157860918</v>
      </c>
      <c r="P17" s="21">
        <f t="shared" si="9"/>
        <v>1194096.4883010585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H17" s="9"/>
    </row>
    <row r="18" spans="1:190" ht="15.75" x14ac:dyDescent="0.25">
      <c r="A18" s="22">
        <v>6.1</v>
      </c>
      <c r="B18" s="23" t="s">
        <v>8</v>
      </c>
      <c r="C18" s="24">
        <v>590434.27439999999</v>
      </c>
      <c r="D18" s="24">
        <v>678745.71284471627</v>
      </c>
      <c r="E18" s="24">
        <v>718379.2870451546</v>
      </c>
      <c r="F18" s="24">
        <v>699083.60651933902</v>
      </c>
      <c r="G18" s="24">
        <v>789776.44411603187</v>
      </c>
      <c r="H18" s="24">
        <v>842464.63279005128</v>
      </c>
      <c r="I18" s="24">
        <v>933874.15140860993</v>
      </c>
      <c r="J18" s="25">
        <v>1014028.8164198161</v>
      </c>
      <c r="K18" s="25">
        <v>1017468.7966824764</v>
      </c>
      <c r="L18" s="25">
        <v>748783.16915367055</v>
      </c>
      <c r="M18" s="25">
        <v>872851.42685509787</v>
      </c>
      <c r="N18" s="25">
        <v>1003167.321928211</v>
      </c>
      <c r="O18" s="25">
        <v>1008612.4841831682</v>
      </c>
      <c r="P18" s="25">
        <v>1080740.5459822572</v>
      </c>
      <c r="Q18" s="4"/>
      <c r="R18" s="3"/>
      <c r="S18" s="4"/>
      <c r="T18" s="4"/>
      <c r="U18" s="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1"/>
      <c r="GF18" s="1"/>
      <c r="GG18" s="1"/>
    </row>
    <row r="19" spans="1:190" ht="15.75" x14ac:dyDescent="0.25">
      <c r="A19" s="22">
        <v>6.2</v>
      </c>
      <c r="B19" s="23" t="s">
        <v>9</v>
      </c>
      <c r="C19" s="24">
        <v>76639.927106673029</v>
      </c>
      <c r="D19" s="24">
        <v>72963.688484641942</v>
      </c>
      <c r="E19" s="24">
        <v>69387.728245798993</v>
      </c>
      <c r="F19" s="24">
        <v>66651.550127766954</v>
      </c>
      <c r="G19" s="24">
        <v>67277.758728510933</v>
      </c>
      <c r="H19" s="24">
        <v>68608.469214540659</v>
      </c>
      <c r="I19" s="24">
        <v>78599.263136756679</v>
      </c>
      <c r="J19" s="25">
        <v>89106.683112067025</v>
      </c>
      <c r="K19" s="25">
        <v>84738.099958711173</v>
      </c>
      <c r="L19" s="25">
        <v>32817.141042641764</v>
      </c>
      <c r="M19" s="25">
        <v>68406.387203962018</v>
      </c>
      <c r="N19" s="25">
        <v>102986.85019458261</v>
      </c>
      <c r="O19" s="25">
        <v>106359.03160292373</v>
      </c>
      <c r="P19" s="25">
        <v>113355.94231880132</v>
      </c>
      <c r="Q19" s="4"/>
      <c r="R19" s="3"/>
      <c r="S19" s="4"/>
      <c r="T19" s="4"/>
      <c r="U19" s="3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1"/>
      <c r="GF19" s="1"/>
      <c r="GG19" s="1"/>
    </row>
    <row r="20" spans="1:190" s="10" customFormat="1" ht="30" x14ac:dyDescent="0.25">
      <c r="A20" s="32" t="s">
        <v>35</v>
      </c>
      <c r="B20" s="33" t="s">
        <v>10</v>
      </c>
      <c r="C20" s="21">
        <f>SUM(C21:C27)</f>
        <v>471746.96453262144</v>
      </c>
      <c r="D20" s="21">
        <f t="shared" ref="D20:N20" si="10">SUM(D21:D27)</f>
        <v>518920.58436384867</v>
      </c>
      <c r="E20" s="21">
        <f t="shared" si="10"/>
        <v>579017.14192268765</v>
      </c>
      <c r="F20" s="21">
        <f t="shared" si="10"/>
        <v>644352.71152541623</v>
      </c>
      <c r="G20" s="21">
        <f t="shared" si="10"/>
        <v>717638.22655646328</v>
      </c>
      <c r="H20" s="21">
        <f t="shared" si="10"/>
        <v>744628.12862383947</v>
      </c>
      <c r="I20" s="21">
        <f t="shared" si="10"/>
        <v>776862.64622550877</v>
      </c>
      <c r="J20" s="21">
        <f t="shared" si="10"/>
        <v>780286.98604528559</v>
      </c>
      <c r="K20" s="21">
        <f t="shared" si="10"/>
        <v>734311.97695141006</v>
      </c>
      <c r="L20" s="21">
        <f t="shared" si="10"/>
        <v>588041.00265943236</v>
      </c>
      <c r="M20" s="21">
        <f t="shared" si="10"/>
        <v>750248.42353782663</v>
      </c>
      <c r="N20" s="21">
        <f t="shared" si="10"/>
        <v>792933.72209206736</v>
      </c>
      <c r="O20" s="21">
        <f t="shared" ref="O20:P20" si="11">SUM(O21:O27)</f>
        <v>842165.05066434946</v>
      </c>
      <c r="P20" s="21">
        <f t="shared" si="11"/>
        <v>909964.45420170622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H20" s="9"/>
    </row>
    <row r="21" spans="1:190" ht="15.75" x14ac:dyDescent="0.25">
      <c r="A21" s="22">
        <v>7.1</v>
      </c>
      <c r="B21" s="23" t="s">
        <v>11</v>
      </c>
      <c r="C21" s="24">
        <v>12315</v>
      </c>
      <c r="D21" s="24">
        <v>13631</v>
      </c>
      <c r="E21" s="24">
        <v>14701</v>
      </c>
      <c r="F21" s="24">
        <v>15500</v>
      </c>
      <c r="G21" s="24">
        <v>16209</v>
      </c>
      <c r="H21" s="24">
        <v>14460</v>
      </c>
      <c r="I21" s="24">
        <v>16231.7463668579</v>
      </c>
      <c r="J21" s="25">
        <v>18983.679390277099</v>
      </c>
      <c r="K21" s="25">
        <v>20532.968039884421</v>
      </c>
      <c r="L21" s="25">
        <v>5184.3679434470623</v>
      </c>
      <c r="M21" s="25">
        <v>6171.8811307629703</v>
      </c>
      <c r="N21" s="25">
        <v>8927.9924349631419</v>
      </c>
      <c r="O21" s="25">
        <v>9319.8962221533238</v>
      </c>
      <c r="P21" s="25">
        <v>9935.0093728154443</v>
      </c>
      <c r="Q21" s="4"/>
      <c r="R21" s="3"/>
      <c r="S21" s="4"/>
      <c r="T21" s="4"/>
      <c r="U21" s="3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1"/>
      <c r="GF21" s="1"/>
      <c r="GG21" s="1"/>
    </row>
    <row r="22" spans="1:190" ht="15.75" x14ac:dyDescent="0.25">
      <c r="A22" s="22">
        <v>7.2</v>
      </c>
      <c r="B22" s="23" t="s">
        <v>12</v>
      </c>
      <c r="C22" s="24">
        <v>344034.2451</v>
      </c>
      <c r="D22" s="24">
        <v>377592.29580778751</v>
      </c>
      <c r="E22" s="24">
        <v>406862.41111715982</v>
      </c>
      <c r="F22" s="24">
        <v>437526.0814467087</v>
      </c>
      <c r="G22" s="24">
        <v>468433.02320261695</v>
      </c>
      <c r="H22" s="24">
        <v>487372.37968655315</v>
      </c>
      <c r="I22" s="24">
        <v>513692.52526273683</v>
      </c>
      <c r="J22" s="25">
        <v>543465.88792924944</v>
      </c>
      <c r="K22" s="25">
        <v>469144.11272230436</v>
      </c>
      <c r="L22" s="25">
        <v>337869.33116925962</v>
      </c>
      <c r="M22" s="25">
        <v>481297.07598012494</v>
      </c>
      <c r="N22" s="25">
        <v>488412.1705582398</v>
      </c>
      <c r="O22" s="25">
        <v>521408.12279094022</v>
      </c>
      <c r="P22" s="25">
        <v>567873.63631799421</v>
      </c>
      <c r="Q22" s="4"/>
      <c r="R22" s="3"/>
      <c r="S22" s="4"/>
      <c r="T22" s="4"/>
      <c r="U22" s="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1"/>
      <c r="GF22" s="1"/>
      <c r="GG22" s="1"/>
    </row>
    <row r="23" spans="1:190" ht="15.75" x14ac:dyDescent="0.25">
      <c r="A23" s="22">
        <v>7.3</v>
      </c>
      <c r="B23" s="23" t="s">
        <v>13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4"/>
      <c r="R23" s="3"/>
      <c r="S23" s="4"/>
      <c r="T23" s="4"/>
      <c r="U23" s="3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1"/>
      <c r="GF23" s="1"/>
      <c r="GG23" s="1"/>
    </row>
    <row r="24" spans="1:190" ht="15.75" x14ac:dyDescent="0.25">
      <c r="A24" s="22">
        <v>7.4</v>
      </c>
      <c r="B24" s="23" t="s">
        <v>14</v>
      </c>
      <c r="C24" s="24">
        <v>7900.1354000000001</v>
      </c>
      <c r="D24" s="24">
        <v>8573.3006585667717</v>
      </c>
      <c r="E24" s="24">
        <v>9305.9695779178801</v>
      </c>
      <c r="F24" s="24">
        <v>17433.504884156202</v>
      </c>
      <c r="G24" s="24">
        <v>29049.320950113655</v>
      </c>
      <c r="H24" s="24">
        <v>25465.027316920619</v>
      </c>
      <c r="I24" s="24">
        <v>25616.316258500308</v>
      </c>
      <c r="J24" s="25">
        <v>13217.436300566445</v>
      </c>
      <c r="K24" s="25">
        <v>20166.581898967772</v>
      </c>
      <c r="L24" s="25">
        <v>17745.4631885905</v>
      </c>
      <c r="M24" s="25">
        <v>22501.074778627</v>
      </c>
      <c r="N24" s="25">
        <v>27092.749933604657</v>
      </c>
      <c r="O24" s="25">
        <v>25347.069447133075</v>
      </c>
      <c r="P24" s="25">
        <v>27453.323871709043</v>
      </c>
      <c r="Q24" s="4"/>
      <c r="R24" s="3"/>
      <c r="S24" s="4"/>
      <c r="T24" s="4"/>
      <c r="U24" s="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1"/>
      <c r="GF24" s="1"/>
      <c r="GG24" s="1"/>
    </row>
    <row r="25" spans="1:190" ht="15.75" x14ac:dyDescent="0.25">
      <c r="A25" s="22">
        <v>7.5</v>
      </c>
      <c r="B25" s="23" t="s">
        <v>15</v>
      </c>
      <c r="C25" s="24">
        <v>625.66549999999995</v>
      </c>
      <c r="D25" s="24">
        <v>687.12170882522241</v>
      </c>
      <c r="E25" s="24">
        <v>740.24486463943913</v>
      </c>
      <c r="F25" s="24">
        <v>795.68567303933196</v>
      </c>
      <c r="G25" s="24">
        <v>850.65218777990503</v>
      </c>
      <c r="H25" s="24">
        <v>11009.530506413648</v>
      </c>
      <c r="I25" s="24">
        <v>10366.651997052397</v>
      </c>
      <c r="J25" s="25">
        <v>10114.609975710266</v>
      </c>
      <c r="K25" s="25">
        <v>9671.4448630022616</v>
      </c>
      <c r="L25" s="25">
        <v>4957.8248910575276</v>
      </c>
      <c r="M25" s="25">
        <v>3363.9999828131981</v>
      </c>
      <c r="N25" s="25">
        <v>5608.8229473617703</v>
      </c>
      <c r="O25" s="25">
        <v>6994.023555064724</v>
      </c>
      <c r="P25" s="25">
        <v>7598.5894465613437</v>
      </c>
      <c r="Q25" s="4"/>
      <c r="R25" s="3"/>
      <c r="S25" s="4"/>
      <c r="T25" s="4"/>
      <c r="U25" s="3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1"/>
      <c r="GF25" s="1"/>
      <c r="GG25" s="1"/>
    </row>
    <row r="26" spans="1:190" ht="15.75" x14ac:dyDescent="0.25">
      <c r="A26" s="22">
        <v>7.6</v>
      </c>
      <c r="B26" s="23" t="s">
        <v>16</v>
      </c>
      <c r="C26" s="24">
        <v>0</v>
      </c>
      <c r="D26" s="24">
        <v>1.8608309995465413</v>
      </c>
      <c r="E26" s="24">
        <v>1.7373064866412746</v>
      </c>
      <c r="F26" s="24">
        <v>1.6897600540723217</v>
      </c>
      <c r="G26" s="24">
        <v>1.5926092642233398</v>
      </c>
      <c r="H26" s="24">
        <v>1.6057038900698486</v>
      </c>
      <c r="I26" s="24">
        <v>13.003487412887372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4"/>
      <c r="R26" s="3"/>
      <c r="S26" s="4"/>
      <c r="T26" s="4"/>
      <c r="U26" s="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1"/>
      <c r="GF26" s="1"/>
      <c r="GG26" s="1"/>
    </row>
    <row r="27" spans="1:190" ht="30" x14ac:dyDescent="0.25">
      <c r="A27" s="22">
        <v>7.7</v>
      </c>
      <c r="B27" s="23" t="s">
        <v>17</v>
      </c>
      <c r="C27" s="24">
        <v>106871.91853262141</v>
      </c>
      <c r="D27" s="24">
        <v>118435.00535766962</v>
      </c>
      <c r="E27" s="24">
        <v>147405.77905648382</v>
      </c>
      <c r="F27" s="24">
        <v>173095.74976145788</v>
      </c>
      <c r="G27" s="24">
        <v>203094.63760668851</v>
      </c>
      <c r="H27" s="24">
        <v>206319.58541006196</v>
      </c>
      <c r="I27" s="24">
        <v>210942.40285294835</v>
      </c>
      <c r="J27" s="25">
        <v>194505.37244948227</v>
      </c>
      <c r="K27" s="25">
        <v>214796.86942725122</v>
      </c>
      <c r="L27" s="25">
        <v>222284.0154670777</v>
      </c>
      <c r="M27" s="25">
        <v>236914.39166549855</v>
      </c>
      <c r="N27" s="25">
        <v>262891.98621789803</v>
      </c>
      <c r="O27" s="25">
        <v>279095.93864905811</v>
      </c>
      <c r="P27" s="25">
        <v>297103.89519262622</v>
      </c>
      <c r="Q27" s="4"/>
      <c r="R27" s="3"/>
      <c r="S27" s="4"/>
      <c r="T27" s="4"/>
      <c r="U27" s="3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1"/>
      <c r="GF27" s="1"/>
      <c r="GG27" s="1"/>
    </row>
    <row r="28" spans="1:190" ht="15.75" x14ac:dyDescent="0.25">
      <c r="A28" s="26" t="s">
        <v>36</v>
      </c>
      <c r="B28" s="23" t="s">
        <v>18</v>
      </c>
      <c r="C28" s="24">
        <v>226052</v>
      </c>
      <c r="D28" s="24">
        <v>258493</v>
      </c>
      <c r="E28" s="24">
        <v>313041</v>
      </c>
      <c r="F28" s="24">
        <v>356023</v>
      </c>
      <c r="G28" s="24">
        <v>420822</v>
      </c>
      <c r="H28" s="24">
        <v>438378</v>
      </c>
      <c r="I28" s="24">
        <v>350751.31322311901</v>
      </c>
      <c r="J28" s="25">
        <v>370642.52033970901</v>
      </c>
      <c r="K28" s="25">
        <v>405184.7593166781</v>
      </c>
      <c r="L28" s="25">
        <v>441747.52235130552</v>
      </c>
      <c r="M28" s="25">
        <v>415037.85505067499</v>
      </c>
      <c r="N28" s="25">
        <v>433439.73695814109</v>
      </c>
      <c r="O28" s="25">
        <v>456111.2138856065</v>
      </c>
      <c r="P28" s="25">
        <v>480700.57853949035</v>
      </c>
      <c r="Q28" s="4"/>
      <c r="R28" s="3"/>
      <c r="S28" s="4"/>
      <c r="T28" s="4"/>
      <c r="U28" s="3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1"/>
      <c r="GF28" s="1"/>
      <c r="GG28" s="1"/>
    </row>
    <row r="29" spans="1:190" ht="30" x14ac:dyDescent="0.25">
      <c r="A29" s="26" t="s">
        <v>37</v>
      </c>
      <c r="B29" s="23" t="s">
        <v>19</v>
      </c>
      <c r="C29" s="24">
        <v>948347.78235482844</v>
      </c>
      <c r="D29" s="24">
        <v>985841.31501653988</v>
      </c>
      <c r="E29" s="24">
        <v>1037646.0616408807</v>
      </c>
      <c r="F29" s="24">
        <v>1069698.7824773982</v>
      </c>
      <c r="G29" s="24">
        <v>1064816.421021071</v>
      </c>
      <c r="H29" s="24">
        <v>1124020.7017275994</v>
      </c>
      <c r="I29" s="24">
        <v>1160469.6273174938</v>
      </c>
      <c r="J29" s="25">
        <v>1147496.612160485</v>
      </c>
      <c r="K29" s="25">
        <v>1169603.1052407401</v>
      </c>
      <c r="L29" s="25">
        <v>1132358.7945696588</v>
      </c>
      <c r="M29" s="25">
        <v>1189454.8653219854</v>
      </c>
      <c r="N29" s="25">
        <v>1263524.4962073276</v>
      </c>
      <c r="O29" s="25">
        <v>1282964.4897127717</v>
      </c>
      <c r="P29" s="25">
        <v>1351752.9891707273</v>
      </c>
      <c r="Q29" s="4"/>
      <c r="R29" s="3"/>
      <c r="S29" s="4"/>
      <c r="T29" s="4"/>
      <c r="U29" s="3"/>
      <c r="V29" s="5"/>
      <c r="W29" s="5"/>
      <c r="X29" s="5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1"/>
      <c r="GF29" s="1"/>
      <c r="GG29" s="1"/>
    </row>
    <row r="30" spans="1:190" ht="15.75" x14ac:dyDescent="0.25">
      <c r="A30" s="26" t="s">
        <v>38</v>
      </c>
      <c r="B30" s="23" t="s">
        <v>53</v>
      </c>
      <c r="C30" s="24">
        <v>1127470</v>
      </c>
      <c r="D30" s="24">
        <v>1135766.2195121953</v>
      </c>
      <c r="E30" s="24">
        <v>1060599.4319096124</v>
      </c>
      <c r="F30" s="24">
        <v>1054918.7161670842</v>
      </c>
      <c r="G30" s="24">
        <v>1293913.417810308</v>
      </c>
      <c r="H30" s="24">
        <v>1280156.5928338761</v>
      </c>
      <c r="I30" s="24">
        <v>1373686.6334177766</v>
      </c>
      <c r="J30" s="25">
        <v>1833496.2962776772</v>
      </c>
      <c r="K30" s="25">
        <v>1809250.7840957113</v>
      </c>
      <c r="L30" s="25">
        <v>1904898.6835183315</v>
      </c>
      <c r="M30" s="25">
        <v>1988485.6999948719</v>
      </c>
      <c r="N30" s="25">
        <v>1935139.4022012958</v>
      </c>
      <c r="O30" s="25">
        <v>2110890.8658170551</v>
      </c>
      <c r="P30" s="25">
        <v>2174588.5814684327</v>
      </c>
      <c r="Q30" s="4"/>
      <c r="R30" s="3"/>
      <c r="S30" s="4"/>
      <c r="T30" s="4"/>
      <c r="U30" s="3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1"/>
      <c r="GF30" s="1"/>
      <c r="GG30" s="1"/>
    </row>
    <row r="31" spans="1:190" ht="15.75" x14ac:dyDescent="0.25">
      <c r="A31" s="26" t="s">
        <v>39</v>
      </c>
      <c r="B31" s="23" t="s">
        <v>20</v>
      </c>
      <c r="C31" s="24">
        <v>629362.03773837606</v>
      </c>
      <c r="D31" s="24">
        <v>643986.66208986309</v>
      </c>
      <c r="E31" s="24">
        <v>735172.75980028359</v>
      </c>
      <c r="F31" s="24">
        <v>726986.33562943933</v>
      </c>
      <c r="G31" s="24">
        <v>755313.47360730637</v>
      </c>
      <c r="H31" s="24">
        <v>772645.03929734044</v>
      </c>
      <c r="I31" s="24">
        <v>826962.12682021817</v>
      </c>
      <c r="J31" s="25">
        <v>915828.38116468186</v>
      </c>
      <c r="K31" s="25">
        <v>929641.91600524774</v>
      </c>
      <c r="L31" s="25">
        <v>856107.07454374293</v>
      </c>
      <c r="M31" s="25">
        <v>922203.55397957424</v>
      </c>
      <c r="N31" s="25">
        <v>981227.02563711209</v>
      </c>
      <c r="O31" s="25">
        <v>1070277.7551967087</v>
      </c>
      <c r="P31" s="25">
        <v>1114288.2217601959</v>
      </c>
      <c r="Q31" s="4"/>
      <c r="R31" s="3"/>
      <c r="S31" s="4"/>
      <c r="T31" s="4"/>
      <c r="U31" s="3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1"/>
      <c r="GF31" s="1"/>
      <c r="GG31" s="1"/>
    </row>
    <row r="32" spans="1:190" s="9" customFormat="1" ht="15.75" x14ac:dyDescent="0.25">
      <c r="A32" s="27"/>
      <c r="B32" s="28" t="s">
        <v>29</v>
      </c>
      <c r="C32" s="29">
        <f>C17+C20+C28+C29+C30+C31</f>
        <v>4070052.9861324988</v>
      </c>
      <c r="D32" s="29">
        <f t="shared" ref="D32:F32" si="12">D17+D20+D28+D29+D30+D31</f>
        <v>4294717.182311805</v>
      </c>
      <c r="E32" s="29">
        <f t="shared" si="12"/>
        <v>4513243.410564418</v>
      </c>
      <c r="F32" s="29">
        <f t="shared" si="12"/>
        <v>4617714.702446443</v>
      </c>
      <c r="G32" s="29">
        <f t="shared" ref="G32:H32" si="13">G17+G20+G28+G29+G30+G31</f>
        <v>5109557.7418396911</v>
      </c>
      <c r="H32" s="29">
        <f t="shared" si="13"/>
        <v>5270901.5644872468</v>
      </c>
      <c r="I32" s="29">
        <f t="shared" ref="I32:K32" si="14">I17+I20+I28+I29+I30+I31</f>
        <v>5501205.7615494821</v>
      </c>
      <c r="J32" s="29">
        <f t="shared" si="14"/>
        <v>6150886.2955197217</v>
      </c>
      <c r="K32" s="29">
        <f t="shared" si="14"/>
        <v>6150199.4382509738</v>
      </c>
      <c r="L32" s="29">
        <f t="shared" ref="L32:M32" si="15">L17+L20+L28+L29+L30+L31</f>
        <v>5704753.3878387827</v>
      </c>
      <c r="M32" s="29">
        <f t="shared" si="15"/>
        <v>6206688.2119439933</v>
      </c>
      <c r="N32" s="29">
        <f t="shared" ref="N32" si="16">N17+N20+N28+N29+N30+N31</f>
        <v>6512418.5552187376</v>
      </c>
      <c r="O32" s="29">
        <f t="shared" ref="O32" si="17">O17+O20+O28+O29+O30+O31</f>
        <v>6877380.8910625838</v>
      </c>
      <c r="P32" s="29">
        <f t="shared" ref="P32" si="18">P17+P20+P28+P29+P30+P31</f>
        <v>7225391.3134416109</v>
      </c>
      <c r="Q32" s="4"/>
      <c r="R32" s="3"/>
      <c r="S32" s="4"/>
      <c r="T32" s="4"/>
      <c r="U32" s="3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0"/>
      <c r="GF32" s="10"/>
      <c r="GG32" s="10"/>
    </row>
    <row r="33" spans="1:190" s="10" customFormat="1" ht="15.75" x14ac:dyDescent="0.25">
      <c r="A33" s="19" t="s">
        <v>26</v>
      </c>
      <c r="B33" s="34" t="s">
        <v>40</v>
      </c>
      <c r="C33" s="21">
        <f>C6+C11+C13+C14+C15+C17+C20+C28+C29+C30+C31</f>
        <v>7476072.8082352234</v>
      </c>
      <c r="D33" s="21">
        <f>D6+D11+D13+D14+D15+D17+D20+D28+D29+D30+D31</f>
        <v>7699726.2709343405</v>
      </c>
      <c r="E33" s="21">
        <f>E6+E11+E13+E14+E15+E17+E20+E28+E29+E30+E31</f>
        <v>8072179.3752138102</v>
      </c>
      <c r="F33" s="21">
        <f>F6+F11+F13+F14+F15+F17+F20+F28+F29+F30+F31</f>
        <v>7780177.2872093758</v>
      </c>
      <c r="G33" s="21">
        <f t="shared" ref="G33:H33" si="19">G6+G11+G13+G14+G15+G17+G20+G28+G29+G30+G31</f>
        <v>9139017.027889356</v>
      </c>
      <c r="H33" s="21">
        <f t="shared" si="19"/>
        <v>9467180.9110786077</v>
      </c>
      <c r="I33" s="21">
        <f t="shared" ref="I33:K33" si="20">I6+I11+I13+I14+I15+I17+I20+I28+I29+I30+I31</f>
        <v>9845143.1187563036</v>
      </c>
      <c r="J33" s="21">
        <f t="shared" si="20"/>
        <v>10686379.395487607</v>
      </c>
      <c r="K33" s="21">
        <f t="shared" si="20"/>
        <v>10597883.255887056</v>
      </c>
      <c r="L33" s="21">
        <f t="shared" ref="L33:M33" si="21">L6+L11+L13+L14+L15+L17+L20+L28+L29+L30+L31</f>
        <v>10208890.502986597</v>
      </c>
      <c r="M33" s="21">
        <f t="shared" si="21"/>
        <v>10702129.770277696</v>
      </c>
      <c r="N33" s="21">
        <f t="shared" ref="N33" si="22">N6+N11+N13+N14+N15+N17+N20+N28+N29+N30+N31</f>
        <v>11369665.695772611</v>
      </c>
      <c r="O33" s="21">
        <f t="shared" ref="O33" si="23">O6+O11+O13+O14+O15+O17+O20+O28+O29+O30+O31</f>
        <v>12115793.034204394</v>
      </c>
      <c r="P33" s="21">
        <f t="shared" ref="P33" si="24">P6+P11+P13+P14+P15+P17+P20+P28+P29+P30+P31</f>
        <v>12855280.104515323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H33" s="9"/>
    </row>
    <row r="34" spans="1:190" ht="15.75" x14ac:dyDescent="0.25">
      <c r="A34" s="35" t="s">
        <v>42</v>
      </c>
      <c r="B34" s="36" t="s">
        <v>77</v>
      </c>
      <c r="C34" s="17">
        <v>551520</v>
      </c>
      <c r="D34" s="17">
        <v>613091</v>
      </c>
      <c r="E34" s="17">
        <v>655893</v>
      </c>
      <c r="F34" s="17">
        <v>655784</v>
      </c>
      <c r="G34" s="17">
        <v>758194</v>
      </c>
      <c r="H34" s="17">
        <v>797655</v>
      </c>
      <c r="I34" s="17">
        <v>1023235</v>
      </c>
      <c r="J34" s="18">
        <v>1033122.0000000001</v>
      </c>
      <c r="K34" s="18">
        <v>957888.00000000012</v>
      </c>
      <c r="L34" s="18">
        <v>1343577</v>
      </c>
      <c r="M34" s="18">
        <v>1072145</v>
      </c>
      <c r="N34" s="18">
        <v>1110705.0712502082</v>
      </c>
      <c r="O34" s="18">
        <v>1379556.8502828751</v>
      </c>
      <c r="P34" s="18">
        <v>1663003.4440732547</v>
      </c>
      <c r="Q34" s="4"/>
      <c r="R34" s="3"/>
      <c r="S34" s="4"/>
      <c r="T34" s="4"/>
      <c r="U34" s="3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</row>
    <row r="35" spans="1:190" ht="15.75" x14ac:dyDescent="0.25">
      <c r="A35" s="35" t="s">
        <v>43</v>
      </c>
      <c r="B35" s="36" t="s">
        <v>24</v>
      </c>
      <c r="C35" s="17">
        <v>202038</v>
      </c>
      <c r="D35" s="17">
        <v>236160</v>
      </c>
      <c r="E35" s="17">
        <v>217893</v>
      </c>
      <c r="F35" s="17">
        <v>198750</v>
      </c>
      <c r="G35" s="17">
        <v>197077</v>
      </c>
      <c r="H35" s="17">
        <v>244549</v>
      </c>
      <c r="I35" s="17">
        <v>205964</v>
      </c>
      <c r="J35" s="18">
        <v>213305</v>
      </c>
      <c r="K35" s="18">
        <v>163863</v>
      </c>
      <c r="L35" s="18">
        <v>312452</v>
      </c>
      <c r="M35" s="18">
        <v>234036</v>
      </c>
      <c r="N35" s="18">
        <v>216393</v>
      </c>
      <c r="O35" s="18">
        <v>153253</v>
      </c>
      <c r="P35" s="18">
        <v>153397</v>
      </c>
      <c r="Q35" s="4"/>
      <c r="R35" s="3"/>
      <c r="S35" s="4"/>
      <c r="T35" s="4"/>
      <c r="U35" s="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</row>
    <row r="36" spans="1:190" s="9" customFormat="1" ht="15.75" x14ac:dyDescent="0.25">
      <c r="A36" s="37" t="s">
        <v>44</v>
      </c>
      <c r="B36" s="38" t="s">
        <v>54</v>
      </c>
      <c r="C36" s="29">
        <f>C33+C34-C35</f>
        <v>7825554.8082352234</v>
      </c>
      <c r="D36" s="29">
        <f t="shared" ref="D36:N36" si="25">D33+D34-D35</f>
        <v>8076657.2709343405</v>
      </c>
      <c r="E36" s="29">
        <f t="shared" si="25"/>
        <v>8510179.3752138093</v>
      </c>
      <c r="F36" s="29">
        <f t="shared" si="25"/>
        <v>8237211.2872093767</v>
      </c>
      <c r="G36" s="29">
        <f t="shared" si="25"/>
        <v>9700134.027889356</v>
      </c>
      <c r="H36" s="29">
        <f t="shared" si="25"/>
        <v>10020286.911078608</v>
      </c>
      <c r="I36" s="29">
        <f t="shared" si="25"/>
        <v>10662414.118756304</v>
      </c>
      <c r="J36" s="29">
        <f t="shared" si="25"/>
        <v>11506196.395487607</v>
      </c>
      <c r="K36" s="29">
        <f t="shared" si="25"/>
        <v>11391908.255887056</v>
      </c>
      <c r="L36" s="29">
        <f t="shared" si="25"/>
        <v>11240015.502986597</v>
      </c>
      <c r="M36" s="29">
        <f t="shared" si="25"/>
        <v>11540238.770277696</v>
      </c>
      <c r="N36" s="29">
        <f t="shared" si="25"/>
        <v>12263977.767022818</v>
      </c>
      <c r="O36" s="29">
        <f t="shared" ref="O36" si="26">O33+O34-O35</f>
        <v>13342096.884487269</v>
      </c>
      <c r="P36" s="29">
        <f t="shared" ref="P36" si="27">P33+P34-P35</f>
        <v>14364886.548588578</v>
      </c>
      <c r="Q36" s="4"/>
      <c r="R36" s="3"/>
      <c r="S36" s="4"/>
      <c r="T36" s="4"/>
      <c r="U36" s="3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</row>
    <row r="37" spans="1:190" s="9" customFormat="1" ht="15.75" x14ac:dyDescent="0.25">
      <c r="A37" s="37" t="s">
        <v>45</v>
      </c>
      <c r="B37" s="38" t="s">
        <v>41</v>
      </c>
      <c r="C37" s="39">
        <f>GSVA_cur!C37</f>
        <v>126160</v>
      </c>
      <c r="D37" s="39">
        <f>GSVA_cur!D37</f>
        <v>127440</v>
      </c>
      <c r="E37" s="39">
        <f>GSVA_cur!E37</f>
        <v>128730</v>
      </c>
      <c r="F37" s="39">
        <f>GSVA_cur!F37</f>
        <v>130020</v>
      </c>
      <c r="G37" s="39">
        <f>GSVA_cur!G37</f>
        <v>131300</v>
      </c>
      <c r="H37" s="39">
        <f>GSVA_cur!H37</f>
        <v>132440</v>
      </c>
      <c r="I37" s="39">
        <f>GSVA_cur!I37</f>
        <v>133480</v>
      </c>
      <c r="J37" s="39">
        <f>GSVA_cur!J37</f>
        <v>134530</v>
      </c>
      <c r="K37" s="39">
        <f>GSVA_cur!K37</f>
        <v>132630</v>
      </c>
      <c r="L37" s="39">
        <f>GSVA_cur!L37</f>
        <v>133650</v>
      </c>
      <c r="M37" s="39">
        <f>GSVA_cur!M37</f>
        <v>134650</v>
      </c>
      <c r="N37" s="39">
        <f>GSVA_cur!N37</f>
        <v>135620</v>
      </c>
      <c r="O37" s="39">
        <f>GSVA_cur!O37</f>
        <v>136600</v>
      </c>
      <c r="P37" s="39">
        <f>GSVA_cur!P37</f>
        <v>137580</v>
      </c>
      <c r="Q37" s="2"/>
      <c r="R37" s="1"/>
      <c r="S37" s="2"/>
      <c r="T37" s="2"/>
      <c r="U37" s="1"/>
      <c r="V37" s="1"/>
      <c r="W37" s="1"/>
      <c r="X37" s="1"/>
      <c r="Y37" s="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</row>
    <row r="38" spans="1:190" s="9" customFormat="1" ht="15.75" x14ac:dyDescent="0.25">
      <c r="A38" s="37" t="s">
        <v>46</v>
      </c>
      <c r="B38" s="38" t="s">
        <v>57</v>
      </c>
      <c r="C38" s="29">
        <f>C36/C37*1000</f>
        <v>62028.811098884144</v>
      </c>
      <c r="D38" s="29">
        <f t="shared" ref="D38:N38" si="28">D36/D37*1000</f>
        <v>63376.155609968147</v>
      </c>
      <c r="E38" s="29">
        <f t="shared" si="28"/>
        <v>66108.749904558455</v>
      </c>
      <c r="F38" s="29">
        <f t="shared" si="28"/>
        <v>63353.41706821548</v>
      </c>
      <c r="G38" s="29">
        <f t="shared" si="28"/>
        <v>73877.6392070781</v>
      </c>
      <c r="H38" s="29">
        <f t="shared" si="28"/>
        <v>75659.067585915196</v>
      </c>
      <c r="I38" s="29">
        <f t="shared" si="28"/>
        <v>79880.237629280076</v>
      </c>
      <c r="J38" s="29">
        <f t="shared" si="28"/>
        <v>85528.851523731559</v>
      </c>
      <c r="K38" s="29">
        <f t="shared" si="28"/>
        <v>85892.394299080566</v>
      </c>
      <c r="L38" s="29">
        <f t="shared" si="28"/>
        <v>84100.377874946469</v>
      </c>
      <c r="M38" s="29">
        <f t="shared" si="28"/>
        <v>85705.449463629382</v>
      </c>
      <c r="N38" s="29">
        <f t="shared" si="28"/>
        <v>90428.976308972269</v>
      </c>
      <c r="O38" s="29">
        <f t="shared" ref="O38" si="29">O36/O37*1000</f>
        <v>97672.744395953661</v>
      </c>
      <c r="P38" s="29">
        <f t="shared" ref="P38" si="30">P36/P37*1000</f>
        <v>104411.15386385069</v>
      </c>
      <c r="Q38" s="2"/>
      <c r="R38" s="1"/>
      <c r="S38" s="2"/>
      <c r="T38" s="2"/>
      <c r="U38" s="3"/>
      <c r="V38" s="3"/>
      <c r="W38" s="3"/>
      <c r="X38" s="3"/>
      <c r="Y38" s="3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BZ38" s="12"/>
      <c r="CA38" s="12"/>
      <c r="CB38" s="12"/>
      <c r="CC38" s="12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</row>
    <row r="39" spans="1:190" x14ac:dyDescent="0.25">
      <c r="A39" s="2" t="s">
        <v>75</v>
      </c>
    </row>
    <row r="40" spans="1:190" x14ac:dyDescent="0.25">
      <c r="A40" s="2" t="s">
        <v>76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5" max="1048575" man="1"/>
    <brk id="37" max="1048575" man="1"/>
    <brk id="53" max="1048575" man="1"/>
    <brk id="117" max="95" man="1"/>
    <brk id="153" max="1048575" man="1"/>
    <brk id="177" max="1048575" man="1"/>
    <brk id="185" max="9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W40"/>
  <sheetViews>
    <sheetView zoomScale="93" zoomScaleNormal="93" zoomScaleSheetLayoutView="100" workbookViewId="0">
      <pane xSplit="2" ySplit="5" topLeftCell="C6" activePane="bottomRight" state="frozen"/>
      <selection activeCell="Q33" sqref="Q33"/>
      <selection pane="topRight" activeCell="Q33" sqref="Q33"/>
      <selection pane="bottomLeft" activeCell="Q33" sqref="Q33"/>
      <selection pane="bottomRight" activeCell="Q33" sqref="Q33"/>
    </sheetView>
  </sheetViews>
  <sheetFormatPr defaultColWidth="8.85546875" defaultRowHeight="15" x14ac:dyDescent="0.25"/>
  <cols>
    <col min="1" max="1" width="11" style="2" customWidth="1"/>
    <col min="2" max="2" width="30.7109375" style="2" customWidth="1"/>
    <col min="3" max="9" width="10.28515625" style="2" customWidth="1"/>
    <col min="10" max="16" width="10.28515625" style="1" customWidth="1"/>
    <col min="17" max="17" width="11.5703125" style="1" customWidth="1"/>
    <col min="18" max="19" width="9.140625" style="2" customWidth="1"/>
    <col min="20" max="20" width="11.85546875" style="2" customWidth="1"/>
    <col min="21" max="21" width="11.28515625" style="2" customWidth="1"/>
    <col min="22" max="22" width="11.7109375" style="1" customWidth="1"/>
    <col min="23" max="23" width="9.140625" style="2" customWidth="1"/>
    <col min="24" max="24" width="10.85546875" style="2" customWidth="1"/>
    <col min="25" max="25" width="10.85546875" style="1" customWidth="1"/>
    <col min="26" max="26" width="11" style="2" customWidth="1"/>
    <col min="27" max="29" width="11.42578125" style="2" customWidth="1"/>
    <col min="30" max="57" width="9.140625" style="2" customWidth="1"/>
    <col min="58" max="58" width="12.42578125" style="2" customWidth="1"/>
    <col min="59" max="80" width="9.140625" style="2" customWidth="1"/>
    <col min="81" max="81" width="12.140625" style="2" customWidth="1"/>
    <col min="82" max="85" width="9.140625" style="2" customWidth="1"/>
    <col min="86" max="90" width="9.140625" style="2" hidden="1" customWidth="1"/>
    <col min="91" max="91" width="9.140625" style="2" customWidth="1"/>
    <col min="92" max="96" width="9.140625" style="2" hidden="1" customWidth="1"/>
    <col min="97" max="97" width="9.140625" style="2" customWidth="1"/>
    <col min="98" max="102" width="9.140625" style="2" hidden="1" customWidth="1"/>
    <col min="103" max="103" width="9.140625" style="2" customWidth="1"/>
    <col min="104" max="108" width="9.140625" style="2" hidden="1" customWidth="1"/>
    <col min="109" max="109" width="9.140625" style="2" customWidth="1"/>
    <col min="110" max="114" width="9.140625" style="2" hidden="1" customWidth="1"/>
    <col min="115" max="115" width="9.140625" style="1" customWidth="1"/>
    <col min="116" max="120" width="9.140625" style="1" hidden="1" customWidth="1"/>
    <col min="121" max="121" width="9.140625" style="1" customWidth="1"/>
    <col min="122" max="126" width="9.140625" style="1" hidden="1" customWidth="1"/>
    <col min="127" max="127" width="9.140625" style="1" customWidth="1"/>
    <col min="128" max="132" width="9.140625" style="1" hidden="1" customWidth="1"/>
    <col min="133" max="133" width="9.140625" style="1" customWidth="1"/>
    <col min="134" max="163" width="9.140625" style="2" customWidth="1"/>
    <col min="164" max="164" width="9.140625" style="2" hidden="1" customWidth="1"/>
    <col min="165" max="172" width="9.140625" style="2" customWidth="1"/>
    <col min="173" max="173" width="9.140625" style="2" hidden="1" customWidth="1"/>
    <col min="174" max="178" width="9.140625" style="2" customWidth="1"/>
    <col min="179" max="179" width="9.140625" style="2" hidden="1" customWidth="1"/>
    <col min="180" max="189" width="9.140625" style="2" customWidth="1"/>
    <col min="190" max="193" width="8.85546875" style="2"/>
    <col min="194" max="194" width="12.7109375" style="2" bestFit="1" customWidth="1"/>
    <col min="195" max="16384" width="8.85546875" style="2"/>
  </cols>
  <sheetData>
    <row r="1" spans="1:194" ht="18.75" x14ac:dyDescent="0.3">
      <c r="A1" s="2" t="s">
        <v>52</v>
      </c>
      <c r="B1" s="6" t="s">
        <v>65</v>
      </c>
      <c r="X1" s="3"/>
    </row>
    <row r="2" spans="1:194" ht="15.75" x14ac:dyDescent="0.25">
      <c r="A2" s="7" t="s">
        <v>49</v>
      </c>
      <c r="I2" s="2" t="str">
        <f>[1]GSVA_cur!$I$3</f>
        <v>01.08.2025</v>
      </c>
    </row>
    <row r="3" spans="1:194" ht="15.75" x14ac:dyDescent="0.25">
      <c r="A3" s="7"/>
    </row>
    <row r="4" spans="1:194" ht="15.75" x14ac:dyDescent="0.25">
      <c r="A4" s="7"/>
      <c r="E4" s="8"/>
      <c r="F4" s="8" t="s">
        <v>56</v>
      </c>
      <c r="G4" s="8"/>
      <c r="H4" s="8"/>
      <c r="I4" s="8"/>
    </row>
    <row r="5" spans="1:194" ht="15.75" x14ac:dyDescent="0.25">
      <c r="A5" s="15" t="s">
        <v>0</v>
      </c>
      <c r="B5" s="16" t="s">
        <v>1</v>
      </c>
      <c r="C5" s="17" t="s">
        <v>21</v>
      </c>
      <c r="D5" s="17" t="s">
        <v>22</v>
      </c>
      <c r="E5" s="17" t="s">
        <v>23</v>
      </c>
      <c r="F5" s="17" t="s">
        <v>55</v>
      </c>
      <c r="G5" s="17" t="s">
        <v>64</v>
      </c>
      <c r="H5" s="17" t="s">
        <v>66</v>
      </c>
      <c r="I5" s="17" t="s">
        <v>67</v>
      </c>
      <c r="J5" s="18" t="s">
        <v>68</v>
      </c>
      <c r="K5" s="18" t="s">
        <v>69</v>
      </c>
      <c r="L5" s="18" t="s">
        <v>70</v>
      </c>
      <c r="M5" s="18" t="s">
        <v>71</v>
      </c>
      <c r="N5" s="18" t="s">
        <v>72</v>
      </c>
      <c r="O5" s="18" t="s">
        <v>73</v>
      </c>
      <c r="P5" s="18" t="s">
        <v>74</v>
      </c>
    </row>
    <row r="6" spans="1:194" s="10" customFormat="1" ht="15.75" x14ac:dyDescent="0.25">
      <c r="A6" s="19" t="s">
        <v>25</v>
      </c>
      <c r="B6" s="20" t="s">
        <v>2</v>
      </c>
      <c r="C6" s="21">
        <f>SUM(C7:C10)</f>
        <v>1122697.2539721353</v>
      </c>
      <c r="D6" s="21">
        <f t="shared" ref="D6:O6" si="0">SUM(D7:D10)</f>
        <v>1357123.6538917683</v>
      </c>
      <c r="E6" s="21">
        <f t="shared" si="0"/>
        <v>1456513.4451634572</v>
      </c>
      <c r="F6" s="21">
        <f t="shared" si="0"/>
        <v>1229021.7915145112</v>
      </c>
      <c r="G6" s="21">
        <f t="shared" si="0"/>
        <v>1818814.7434536542</v>
      </c>
      <c r="H6" s="21">
        <f t="shared" si="0"/>
        <v>2034783.9151423739</v>
      </c>
      <c r="I6" s="21">
        <f t="shared" si="0"/>
        <v>2133439.4064225513</v>
      </c>
      <c r="J6" s="21">
        <f t="shared" si="0"/>
        <v>2289648.9411791558</v>
      </c>
      <c r="K6" s="21">
        <f t="shared" si="0"/>
        <v>2395148.7335626408</v>
      </c>
      <c r="L6" s="21">
        <f t="shared" si="0"/>
        <v>2356498.2458364479</v>
      </c>
      <c r="M6" s="21">
        <f t="shared" si="0"/>
        <v>2842381.3679507733</v>
      </c>
      <c r="N6" s="21">
        <f t="shared" si="0"/>
        <v>3201045.3831271189</v>
      </c>
      <c r="O6" s="21">
        <f t="shared" si="0"/>
        <v>3596405.5254028901</v>
      </c>
      <c r="P6" s="21">
        <f t="shared" ref="P6" si="1">SUM(P7:P10)</f>
        <v>3996544.4914932372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L6" s="9"/>
    </row>
    <row r="7" spans="1:194" ht="15.75" x14ac:dyDescent="0.25">
      <c r="A7" s="22">
        <v>1.1000000000000001</v>
      </c>
      <c r="B7" s="23" t="s">
        <v>58</v>
      </c>
      <c r="C7" s="24">
        <v>623141.608600365</v>
      </c>
      <c r="D7" s="24">
        <v>834921.64280526515</v>
      </c>
      <c r="E7" s="24">
        <v>944477.04837952135</v>
      </c>
      <c r="F7" s="24">
        <v>618538.44784542953</v>
      </c>
      <c r="G7" s="24">
        <v>1050869.5659851311</v>
      </c>
      <c r="H7" s="24">
        <v>1136183.3549383008</v>
      </c>
      <c r="I7" s="24">
        <v>1155862.5872362168</v>
      </c>
      <c r="J7" s="25">
        <v>1224000.5354670146</v>
      </c>
      <c r="K7" s="25">
        <v>1273014.4324977098</v>
      </c>
      <c r="L7" s="25">
        <v>1203712.252733974</v>
      </c>
      <c r="M7" s="25">
        <v>1532473.8916401416</v>
      </c>
      <c r="N7" s="25">
        <v>1519782.1058918748</v>
      </c>
      <c r="O7" s="25">
        <v>1806060.641902477</v>
      </c>
      <c r="P7" s="25">
        <v>2077552.2598353631</v>
      </c>
      <c r="Q7" s="3"/>
      <c r="R7" s="4"/>
      <c r="S7" s="4"/>
      <c r="T7" s="4"/>
      <c r="U7" s="4"/>
      <c r="V7" s="3"/>
      <c r="W7" s="4"/>
      <c r="X7" s="4"/>
      <c r="Y7" s="3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1"/>
      <c r="GJ7" s="1"/>
      <c r="GK7" s="1"/>
    </row>
    <row r="8" spans="1:194" ht="15.75" x14ac:dyDescent="0.25">
      <c r="A8" s="22">
        <v>1.2</v>
      </c>
      <c r="B8" s="23" t="s">
        <v>59</v>
      </c>
      <c r="C8" s="24">
        <v>337949.10016853822</v>
      </c>
      <c r="D8" s="24">
        <v>339243.60643596342</v>
      </c>
      <c r="E8" s="24">
        <v>338305.94586524129</v>
      </c>
      <c r="F8" s="24">
        <v>423296.38124629174</v>
      </c>
      <c r="G8" s="24">
        <v>571301.58733165183</v>
      </c>
      <c r="H8" s="24">
        <v>650876.91343977011</v>
      </c>
      <c r="I8" s="24">
        <v>724597.36677342001</v>
      </c>
      <c r="J8" s="25">
        <v>797466.43659377482</v>
      </c>
      <c r="K8" s="25">
        <v>831004.19503356912</v>
      </c>
      <c r="L8" s="25">
        <v>868725.51334334887</v>
      </c>
      <c r="M8" s="25">
        <v>949458.72745838459</v>
      </c>
      <c r="N8" s="25">
        <v>1110882.3930634563</v>
      </c>
      <c r="O8" s="25">
        <v>1197471.9976914905</v>
      </c>
      <c r="P8" s="25">
        <v>1289509.8892366583</v>
      </c>
      <c r="Q8" s="3"/>
      <c r="R8" s="4"/>
      <c r="S8" s="4"/>
      <c r="T8" s="4"/>
      <c r="U8" s="4"/>
      <c r="V8" s="3"/>
      <c r="W8" s="4"/>
      <c r="X8" s="4"/>
      <c r="Y8" s="3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1"/>
      <c r="GJ8" s="1"/>
      <c r="GK8" s="1"/>
    </row>
    <row r="9" spans="1:194" ht="15.75" x14ac:dyDescent="0.25">
      <c r="A9" s="22">
        <v>1.3</v>
      </c>
      <c r="B9" s="23" t="s">
        <v>60</v>
      </c>
      <c r="C9" s="24">
        <v>133060.62583128194</v>
      </c>
      <c r="D9" s="24">
        <v>152457.34266393329</v>
      </c>
      <c r="E9" s="24">
        <v>142968.44559138073</v>
      </c>
      <c r="F9" s="24">
        <v>154527.03369477225</v>
      </c>
      <c r="G9" s="24">
        <v>160805.58227218894</v>
      </c>
      <c r="H9" s="24">
        <v>211001.85545607633</v>
      </c>
      <c r="I9" s="24">
        <v>215335.11613480316</v>
      </c>
      <c r="J9" s="25">
        <v>228779.04142827369</v>
      </c>
      <c r="K9" s="25">
        <v>249163.85062661133</v>
      </c>
      <c r="L9" s="25">
        <v>241384.38856844348</v>
      </c>
      <c r="M9" s="25">
        <v>297275.03304659034</v>
      </c>
      <c r="N9" s="25">
        <v>501961.44711887697</v>
      </c>
      <c r="O9" s="25">
        <v>520636.4741145036</v>
      </c>
      <c r="P9" s="25">
        <v>553600.83529583691</v>
      </c>
      <c r="Q9" s="3"/>
      <c r="R9" s="4"/>
      <c r="S9" s="4"/>
      <c r="T9" s="4"/>
      <c r="U9" s="4"/>
      <c r="V9" s="3"/>
      <c r="W9" s="4"/>
      <c r="X9" s="4"/>
      <c r="Y9" s="3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1"/>
      <c r="GJ9" s="1"/>
      <c r="GK9" s="1"/>
    </row>
    <row r="10" spans="1:194" ht="15.75" x14ac:dyDescent="0.25">
      <c r="A10" s="22">
        <v>1.4</v>
      </c>
      <c r="B10" s="23" t="s">
        <v>61</v>
      </c>
      <c r="C10" s="24">
        <v>28545.91937195</v>
      </c>
      <c r="D10" s="24">
        <v>30501.061986606248</v>
      </c>
      <c r="E10" s="24">
        <v>30762.005327313724</v>
      </c>
      <c r="F10" s="24">
        <v>32659.928728017789</v>
      </c>
      <c r="G10" s="24">
        <v>35838.007864682499</v>
      </c>
      <c r="H10" s="24">
        <v>36721.791308226449</v>
      </c>
      <c r="I10" s="24">
        <v>37644.336278111157</v>
      </c>
      <c r="J10" s="25">
        <v>39402.927690092925</v>
      </c>
      <c r="K10" s="25">
        <v>41966.255404750751</v>
      </c>
      <c r="L10" s="25">
        <v>42676.091190681793</v>
      </c>
      <c r="M10" s="25">
        <v>63173.715805656524</v>
      </c>
      <c r="N10" s="25">
        <v>68419.437052910944</v>
      </c>
      <c r="O10" s="25">
        <v>72236.411694419119</v>
      </c>
      <c r="P10" s="25">
        <v>75881.507125379023</v>
      </c>
      <c r="Q10" s="3"/>
      <c r="R10" s="4"/>
      <c r="S10" s="4"/>
      <c r="T10" s="4"/>
      <c r="U10" s="4"/>
      <c r="V10" s="3"/>
      <c r="W10" s="4"/>
      <c r="X10" s="4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1"/>
      <c r="GJ10" s="1"/>
      <c r="GK10" s="1"/>
    </row>
    <row r="11" spans="1:194" ht="15.75" x14ac:dyDescent="0.25">
      <c r="A11" s="26" t="s">
        <v>30</v>
      </c>
      <c r="B11" s="23" t="s">
        <v>3</v>
      </c>
      <c r="C11" s="24">
        <v>28796.556799999998</v>
      </c>
      <c r="D11" s="24">
        <v>66414.853199999998</v>
      </c>
      <c r="E11" s="24">
        <v>50244.364596158266</v>
      </c>
      <c r="F11" s="24">
        <v>34971.176297233527</v>
      </c>
      <c r="G11" s="24">
        <v>84365.107082103932</v>
      </c>
      <c r="H11" s="24">
        <v>24994.462070824644</v>
      </c>
      <c r="I11" s="24">
        <v>22360.585045611853</v>
      </c>
      <c r="J11" s="25">
        <v>32013.300463951309</v>
      </c>
      <c r="K11" s="25">
        <v>20311.850801800996</v>
      </c>
      <c r="L11" s="25">
        <v>13691.504729126511</v>
      </c>
      <c r="M11" s="25">
        <v>38865.737100904749</v>
      </c>
      <c r="N11" s="25">
        <v>59554.038160129057</v>
      </c>
      <c r="O11" s="25">
        <v>76397.603881025556</v>
      </c>
      <c r="P11" s="25">
        <v>84506.826532204766</v>
      </c>
      <c r="Q11" s="3"/>
      <c r="R11" s="4"/>
      <c r="S11" s="4"/>
      <c r="T11" s="4"/>
      <c r="U11" s="4"/>
      <c r="V11" s="3"/>
      <c r="W11" s="4"/>
      <c r="X11" s="4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1"/>
      <c r="GJ11" s="1"/>
      <c r="GK11" s="1"/>
    </row>
    <row r="12" spans="1:194" s="9" customFormat="1" ht="15.75" x14ac:dyDescent="0.25">
      <c r="A12" s="27"/>
      <c r="B12" s="28" t="s">
        <v>27</v>
      </c>
      <c r="C12" s="29">
        <f>C6+C11</f>
        <v>1151493.8107721352</v>
      </c>
      <c r="D12" s="29">
        <f t="shared" ref="D12:N12" si="2">D6+D11</f>
        <v>1423538.5070917683</v>
      </c>
      <c r="E12" s="29">
        <f t="shared" si="2"/>
        <v>1506757.8097596155</v>
      </c>
      <c r="F12" s="29">
        <f t="shared" si="2"/>
        <v>1263992.9678117447</v>
      </c>
      <c r="G12" s="29">
        <f t="shared" si="2"/>
        <v>1903179.8505357581</v>
      </c>
      <c r="H12" s="29">
        <f t="shared" si="2"/>
        <v>2059778.3772131985</v>
      </c>
      <c r="I12" s="29">
        <f t="shared" si="2"/>
        <v>2155799.9914681632</v>
      </c>
      <c r="J12" s="29">
        <f t="shared" si="2"/>
        <v>2321662.241643107</v>
      </c>
      <c r="K12" s="29">
        <f t="shared" si="2"/>
        <v>2415460.5843644417</v>
      </c>
      <c r="L12" s="29">
        <f t="shared" si="2"/>
        <v>2370189.7505655745</v>
      </c>
      <c r="M12" s="29">
        <f t="shared" si="2"/>
        <v>2881247.1050516781</v>
      </c>
      <c r="N12" s="29">
        <f t="shared" si="2"/>
        <v>3260599.4212872479</v>
      </c>
      <c r="O12" s="29">
        <f t="shared" ref="O12:P12" si="3">O6+O11</f>
        <v>3672803.1292839157</v>
      </c>
      <c r="P12" s="29">
        <f t="shared" si="3"/>
        <v>4081051.3180254418</v>
      </c>
      <c r="Q12" s="3"/>
      <c r="R12" s="4"/>
      <c r="S12" s="4"/>
      <c r="T12" s="4"/>
      <c r="U12" s="4"/>
      <c r="V12" s="3"/>
      <c r="W12" s="4"/>
      <c r="X12" s="4"/>
      <c r="Y12" s="3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0"/>
      <c r="GJ12" s="10"/>
      <c r="GK12" s="10"/>
    </row>
    <row r="13" spans="1:194" s="1" customFormat="1" ht="15.75" x14ac:dyDescent="0.25">
      <c r="A13" s="30" t="s">
        <v>31</v>
      </c>
      <c r="B13" s="31" t="s">
        <v>4</v>
      </c>
      <c r="C13" s="25">
        <v>624271.93779999996</v>
      </c>
      <c r="D13" s="25">
        <v>613841.47479999997</v>
      </c>
      <c r="E13" s="25">
        <v>656383.87975684158</v>
      </c>
      <c r="F13" s="25">
        <v>680053.55127527856</v>
      </c>
      <c r="G13" s="25">
        <v>854723.41026448691</v>
      </c>
      <c r="H13" s="25">
        <v>850124.74729039066</v>
      </c>
      <c r="I13" s="25">
        <v>895094.17795001552</v>
      </c>
      <c r="J13" s="25">
        <v>891310.94669732277</v>
      </c>
      <c r="K13" s="25">
        <v>813770.42805836699</v>
      </c>
      <c r="L13" s="25">
        <v>1099531.9937777133</v>
      </c>
      <c r="M13" s="25">
        <v>860264.83127360849</v>
      </c>
      <c r="N13" s="25">
        <v>885363.75497966597</v>
      </c>
      <c r="O13" s="25">
        <v>1004294.127008443</v>
      </c>
      <c r="P13" s="25">
        <v>1083935.285565766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L13" s="2"/>
    </row>
    <row r="14" spans="1:194" ht="30" x14ac:dyDescent="0.25">
      <c r="A14" s="26" t="s">
        <v>32</v>
      </c>
      <c r="B14" s="23" t="s">
        <v>5</v>
      </c>
      <c r="C14" s="24">
        <v>430202.40800000005</v>
      </c>
      <c r="D14" s="24">
        <v>417526.06717608671</v>
      </c>
      <c r="E14" s="24">
        <v>362548.99840108328</v>
      </c>
      <c r="F14" s="24">
        <v>381119.67921675218</v>
      </c>
      <c r="G14" s="24">
        <v>447508.27227475203</v>
      </c>
      <c r="H14" s="24">
        <v>419929.9149058545</v>
      </c>
      <c r="I14" s="24">
        <v>529614.40408020723</v>
      </c>
      <c r="J14" s="25">
        <v>604052.92772875994</v>
      </c>
      <c r="K14" s="25">
        <v>568471.23885732109</v>
      </c>
      <c r="L14" s="25">
        <v>592859.53090684302</v>
      </c>
      <c r="M14" s="25">
        <v>621782.35717779724</v>
      </c>
      <c r="N14" s="25">
        <v>654563.75063389714</v>
      </c>
      <c r="O14" s="25">
        <v>755053.81996859133</v>
      </c>
      <c r="P14" s="25">
        <v>801815.38995064993</v>
      </c>
      <c r="Q14" s="3"/>
      <c r="R14" s="4"/>
      <c r="S14" s="4"/>
      <c r="T14" s="4"/>
      <c r="U14" s="4"/>
      <c r="V14" s="3"/>
      <c r="W14" s="4"/>
      <c r="X14" s="4"/>
      <c r="Y14" s="3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3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3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3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1"/>
      <c r="GJ14" s="1"/>
      <c r="GK14" s="1"/>
    </row>
    <row r="15" spans="1:194" ht="15.75" x14ac:dyDescent="0.25">
      <c r="A15" s="26" t="s">
        <v>33</v>
      </c>
      <c r="B15" s="23" t="s">
        <v>6</v>
      </c>
      <c r="C15" s="24">
        <v>623413.66553058894</v>
      </c>
      <c r="D15" s="24">
        <v>660050.74946853402</v>
      </c>
      <c r="E15" s="24">
        <v>742379.36978232511</v>
      </c>
      <c r="F15" s="24">
        <v>799343.45690085681</v>
      </c>
      <c r="G15" s="24">
        <v>804196.72909714654</v>
      </c>
      <c r="H15" s="24">
        <v>919932.40407285222</v>
      </c>
      <c r="I15" s="24">
        <v>1026952.5017242515</v>
      </c>
      <c r="J15" s="25">
        <v>1076297.7515513883</v>
      </c>
      <c r="K15" s="25">
        <v>1132260.3892289761</v>
      </c>
      <c r="L15" s="25">
        <v>1012255.5628618922</v>
      </c>
      <c r="M15" s="25">
        <v>1224138.7130624996</v>
      </c>
      <c r="N15" s="25">
        <v>1394541.2201936273</v>
      </c>
      <c r="O15" s="25">
        <v>1493536.8852121041</v>
      </c>
      <c r="P15" s="25">
        <v>1695631.116175846</v>
      </c>
      <c r="Q15" s="3"/>
      <c r="R15" s="4"/>
      <c r="S15" s="4"/>
      <c r="T15" s="4"/>
      <c r="U15" s="4"/>
      <c r="V15" s="3"/>
      <c r="W15" s="4"/>
      <c r="X15" s="4"/>
      <c r="Y15" s="3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3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3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3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1"/>
      <c r="GJ15" s="1"/>
      <c r="GK15" s="1"/>
    </row>
    <row r="16" spans="1:194" s="9" customFormat="1" ht="15.75" x14ac:dyDescent="0.25">
      <c r="A16" s="27"/>
      <c r="B16" s="28" t="s">
        <v>28</v>
      </c>
      <c r="C16" s="29">
        <f>+C13+C14+C15</f>
        <v>1677888.011330589</v>
      </c>
      <c r="D16" s="29">
        <f t="shared" ref="D16:L16" si="4">+D13+D14+D15</f>
        <v>1691418.2914446206</v>
      </c>
      <c r="E16" s="29">
        <f t="shared" si="4"/>
        <v>1761312.24794025</v>
      </c>
      <c r="F16" s="29">
        <f t="shared" si="4"/>
        <v>1860516.6873928877</v>
      </c>
      <c r="G16" s="29">
        <f t="shared" si="4"/>
        <v>2106428.4116363856</v>
      </c>
      <c r="H16" s="29">
        <f t="shared" si="4"/>
        <v>2189987.0662690974</v>
      </c>
      <c r="I16" s="29">
        <f t="shared" si="4"/>
        <v>2451661.0837544743</v>
      </c>
      <c r="J16" s="29">
        <f t="shared" si="4"/>
        <v>2571661.625977471</v>
      </c>
      <c r="K16" s="29">
        <f t="shared" si="4"/>
        <v>2514502.0561446641</v>
      </c>
      <c r="L16" s="29">
        <f t="shared" si="4"/>
        <v>2704647.0875464482</v>
      </c>
      <c r="M16" s="29">
        <f t="shared" ref="M16:N16" si="5">+M13+M14+M15</f>
        <v>2706185.9015139053</v>
      </c>
      <c r="N16" s="29">
        <f t="shared" si="5"/>
        <v>2934468.7258071904</v>
      </c>
      <c r="O16" s="29">
        <f t="shared" ref="O16:P16" si="6">+O13+O14+O15</f>
        <v>3252884.832189138</v>
      </c>
      <c r="P16" s="29">
        <f t="shared" si="6"/>
        <v>3581381.7916922616</v>
      </c>
      <c r="Q16" s="3"/>
      <c r="R16" s="4"/>
      <c r="S16" s="4"/>
      <c r="T16" s="4"/>
      <c r="U16" s="4"/>
      <c r="V16" s="3"/>
      <c r="W16" s="4"/>
      <c r="X16" s="4"/>
      <c r="Y16" s="3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1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1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1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0"/>
      <c r="GJ16" s="10"/>
      <c r="GK16" s="10"/>
    </row>
    <row r="17" spans="1:194" s="10" customFormat="1" ht="30" x14ac:dyDescent="0.25">
      <c r="A17" s="19" t="s">
        <v>34</v>
      </c>
      <c r="B17" s="20" t="s">
        <v>7</v>
      </c>
      <c r="C17" s="21">
        <f>C18+C19</f>
        <v>584477.20150667301</v>
      </c>
      <c r="D17" s="21">
        <f t="shared" ref="D17:L17" si="7">D18+D19</f>
        <v>704960.34410750214</v>
      </c>
      <c r="E17" s="21">
        <f t="shared" si="7"/>
        <v>788747.56977079413</v>
      </c>
      <c r="F17" s="21">
        <f t="shared" si="7"/>
        <v>781370.17985359416</v>
      </c>
      <c r="G17" s="21">
        <f t="shared" si="7"/>
        <v>918115.57708534796</v>
      </c>
      <c r="H17" s="21">
        <f t="shared" si="7"/>
        <v>1033468.5059233954</v>
      </c>
      <c r="I17" s="21">
        <f t="shared" si="7"/>
        <v>1214587.3721794009</v>
      </c>
      <c r="J17" s="21">
        <f t="shared" si="7"/>
        <v>1398197.6360538693</v>
      </c>
      <c r="K17" s="21">
        <f t="shared" si="7"/>
        <v>1440348.7448518518</v>
      </c>
      <c r="L17" s="21">
        <f t="shared" si="7"/>
        <v>1045317.6989698801</v>
      </c>
      <c r="M17" s="21">
        <f t="shared" ref="M17:N17" si="8">M18+M19</f>
        <v>1347492.8089693207</v>
      </c>
      <c r="N17" s="21">
        <f t="shared" si="8"/>
        <v>1665514.9706991855</v>
      </c>
      <c r="O17" s="21">
        <f t="shared" ref="O17:P17" si="9">O18+O19</f>
        <v>1793041.8777118975</v>
      </c>
      <c r="P17" s="21">
        <f t="shared" si="9"/>
        <v>2007117.3352388078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L17" s="9"/>
    </row>
    <row r="18" spans="1:194" ht="15.75" x14ac:dyDescent="0.25">
      <c r="A18" s="22">
        <v>6.1</v>
      </c>
      <c r="B18" s="23" t="s">
        <v>8</v>
      </c>
      <c r="C18" s="24">
        <v>517326.81551091722</v>
      </c>
      <c r="D18" s="24">
        <v>636534.291632273</v>
      </c>
      <c r="E18" s="24">
        <v>726279.82838113839</v>
      </c>
      <c r="F18" s="24">
        <v>719481.55075058527</v>
      </c>
      <c r="G18" s="24">
        <v>852657.91410532012</v>
      </c>
      <c r="H18" s="24">
        <v>963173.61653274926</v>
      </c>
      <c r="I18" s="24">
        <v>1130076.3283615869</v>
      </c>
      <c r="J18" s="25">
        <v>1294134.0843628494</v>
      </c>
      <c r="K18" s="25">
        <v>1341426.645415531</v>
      </c>
      <c r="L18" s="25">
        <v>1026214.01936785</v>
      </c>
      <c r="M18" s="25">
        <v>1274718.1377610578</v>
      </c>
      <c r="N18" s="25">
        <v>1542844.6066305181</v>
      </c>
      <c r="O18" s="25">
        <v>1663781.7757239309</v>
      </c>
      <c r="P18" s="25">
        <v>1863142.3691924349</v>
      </c>
      <c r="Q18" s="3"/>
      <c r="R18" s="4"/>
      <c r="S18" s="4"/>
      <c r="T18" s="4"/>
      <c r="U18" s="4"/>
      <c r="V18" s="3"/>
      <c r="W18" s="4"/>
      <c r="X18" s="4"/>
      <c r="Y18" s="3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1"/>
      <c r="GJ18" s="1"/>
      <c r="GK18" s="1"/>
    </row>
    <row r="19" spans="1:194" ht="15.75" x14ac:dyDescent="0.25">
      <c r="A19" s="22">
        <v>6.2</v>
      </c>
      <c r="B19" s="23" t="s">
        <v>9</v>
      </c>
      <c r="C19" s="24">
        <v>67150.385995755772</v>
      </c>
      <c r="D19" s="24">
        <v>68426.052475229182</v>
      </c>
      <c r="E19" s="24">
        <v>62467.741389655799</v>
      </c>
      <c r="F19" s="24">
        <v>61888.629103008949</v>
      </c>
      <c r="G19" s="24">
        <v>65457.662980027861</v>
      </c>
      <c r="H19" s="24">
        <v>70294.889390646102</v>
      </c>
      <c r="I19" s="24">
        <v>84511.043817813945</v>
      </c>
      <c r="J19" s="25">
        <v>104063.55169101999</v>
      </c>
      <c r="K19" s="25">
        <v>98922.099436320714</v>
      </c>
      <c r="L19" s="25">
        <v>19103.679602030119</v>
      </c>
      <c r="M19" s="25">
        <v>72774.671208262982</v>
      </c>
      <c r="N19" s="25">
        <v>122670.3640686673</v>
      </c>
      <c r="O19" s="25">
        <v>129260.10198796654</v>
      </c>
      <c r="P19" s="25">
        <v>143974.96604637284</v>
      </c>
      <c r="Q19" s="3"/>
      <c r="R19" s="4"/>
      <c r="S19" s="4"/>
      <c r="T19" s="4"/>
      <c r="U19" s="4"/>
      <c r="V19" s="3"/>
      <c r="W19" s="4"/>
      <c r="X19" s="4"/>
      <c r="Y19" s="3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1"/>
      <c r="GJ19" s="1"/>
      <c r="GK19" s="1"/>
    </row>
    <row r="20" spans="1:194" s="10" customFormat="1" ht="45" x14ac:dyDescent="0.25">
      <c r="A20" s="32" t="s">
        <v>35</v>
      </c>
      <c r="B20" s="33" t="s">
        <v>10</v>
      </c>
      <c r="C20" s="21">
        <f>SUM(C21:C27)</f>
        <v>328522.94906111585</v>
      </c>
      <c r="D20" s="21">
        <f t="shared" ref="D20:N20" si="10">SUM(D21:D27)</f>
        <v>392170.11188717128</v>
      </c>
      <c r="E20" s="21">
        <f t="shared" si="10"/>
        <v>423236.55127837381</v>
      </c>
      <c r="F20" s="21">
        <f t="shared" si="10"/>
        <v>486752.89066681633</v>
      </c>
      <c r="G20" s="21">
        <f t="shared" si="10"/>
        <v>569395.07103587058</v>
      </c>
      <c r="H20" s="21">
        <f t="shared" si="10"/>
        <v>586229.84669135488</v>
      </c>
      <c r="I20" s="21">
        <f t="shared" si="10"/>
        <v>542950.71703580278</v>
      </c>
      <c r="J20" s="21">
        <f t="shared" si="10"/>
        <v>599338.30987822544</v>
      </c>
      <c r="K20" s="21">
        <f t="shared" si="10"/>
        <v>563615.51224968547</v>
      </c>
      <c r="L20" s="21">
        <f t="shared" si="10"/>
        <v>448841.34469984914</v>
      </c>
      <c r="M20" s="21">
        <f t="shared" si="10"/>
        <v>779856.11776446796</v>
      </c>
      <c r="N20" s="21">
        <f t="shared" si="10"/>
        <v>788194.344805083</v>
      </c>
      <c r="O20" s="21">
        <f t="shared" ref="O20:P20" si="11">SUM(O21:O27)</f>
        <v>887204.67452718387</v>
      </c>
      <c r="P20" s="21">
        <f t="shared" si="11"/>
        <v>988396.65449372167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L20" s="9"/>
    </row>
    <row r="21" spans="1:194" ht="15.75" x14ac:dyDescent="0.25">
      <c r="A21" s="22">
        <v>7.1</v>
      </c>
      <c r="B21" s="23" t="s">
        <v>11</v>
      </c>
      <c r="C21" s="24">
        <v>7807</v>
      </c>
      <c r="D21" s="24">
        <v>9245</v>
      </c>
      <c r="E21" s="24">
        <v>9274</v>
      </c>
      <c r="F21" s="24">
        <v>9783</v>
      </c>
      <c r="G21" s="24">
        <v>10937</v>
      </c>
      <c r="H21" s="24">
        <v>8895.0047718973819</v>
      </c>
      <c r="I21" s="24">
        <v>9770.6845521118994</v>
      </c>
      <c r="J21" s="25">
        <v>10044.348405983641</v>
      </c>
      <c r="K21" s="25">
        <v>11774.451901810997</v>
      </c>
      <c r="L21" s="25">
        <v>5245.1518176555919</v>
      </c>
      <c r="M21" s="25">
        <v>6390.3843085389326</v>
      </c>
      <c r="N21" s="25">
        <v>7375.9067342892649</v>
      </c>
      <c r="O21" s="25">
        <v>7386.7408789397668</v>
      </c>
      <c r="P21" s="25">
        <v>8171.9514343710634</v>
      </c>
      <c r="Q21" s="3"/>
      <c r="R21" s="4"/>
      <c r="S21" s="4"/>
      <c r="T21" s="4"/>
      <c r="U21" s="4"/>
      <c r="V21" s="3"/>
      <c r="W21" s="4"/>
      <c r="X21" s="4"/>
      <c r="Y21" s="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1"/>
      <c r="GJ21" s="1"/>
      <c r="GK21" s="1"/>
    </row>
    <row r="22" spans="1:194" ht="15.75" x14ac:dyDescent="0.25">
      <c r="A22" s="22">
        <v>7.2</v>
      </c>
      <c r="B22" s="23" t="s">
        <v>12</v>
      </c>
      <c r="C22" s="24">
        <v>228322.77258549779</v>
      </c>
      <c r="D22" s="24">
        <v>268435.4520435161</v>
      </c>
      <c r="E22" s="24">
        <v>280516.75279667112</v>
      </c>
      <c r="F22" s="24">
        <v>308103.53763860883</v>
      </c>
      <c r="G22" s="24">
        <v>340619.72778781719</v>
      </c>
      <c r="H22" s="24">
        <v>344273.71903199051</v>
      </c>
      <c r="I22" s="24">
        <v>333841.91102519538</v>
      </c>
      <c r="J22" s="25">
        <v>393398.56118081161</v>
      </c>
      <c r="K22" s="25">
        <v>328687.04376551771</v>
      </c>
      <c r="L22" s="25">
        <v>209467.11500245827</v>
      </c>
      <c r="M22" s="25">
        <v>489155.4928014687</v>
      </c>
      <c r="N22" s="25">
        <v>442034.8429316039</v>
      </c>
      <c r="O22" s="25">
        <v>488921.56821515883</v>
      </c>
      <c r="P22" s="25">
        <v>549272.06283369311</v>
      </c>
      <c r="Q22" s="3"/>
      <c r="R22" s="4"/>
      <c r="S22" s="4"/>
      <c r="T22" s="4"/>
      <c r="U22" s="4"/>
      <c r="V22" s="3"/>
      <c r="W22" s="4"/>
      <c r="X22" s="4"/>
      <c r="Y22" s="3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1"/>
      <c r="GJ22" s="1"/>
      <c r="GK22" s="1"/>
    </row>
    <row r="23" spans="1:194" ht="15.75" x14ac:dyDescent="0.25">
      <c r="A23" s="22">
        <v>7.3</v>
      </c>
      <c r="B23" s="23" t="s">
        <v>13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3"/>
      <c r="R23" s="4"/>
      <c r="S23" s="4"/>
      <c r="T23" s="4"/>
      <c r="U23" s="4"/>
      <c r="V23" s="3"/>
      <c r="W23" s="4"/>
      <c r="X23" s="4"/>
      <c r="Y23" s="3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1"/>
      <c r="GJ23" s="1"/>
      <c r="GK23" s="1"/>
    </row>
    <row r="24" spans="1:194" ht="15.75" x14ac:dyDescent="0.25">
      <c r="A24" s="22">
        <v>7.4</v>
      </c>
      <c r="B24" s="23" t="s">
        <v>14</v>
      </c>
      <c r="C24" s="24">
        <v>5243.0269486822108</v>
      </c>
      <c r="D24" s="24">
        <v>10771.396699999999</v>
      </c>
      <c r="E24" s="24">
        <v>6174.7295790463468</v>
      </c>
      <c r="F24" s="24">
        <v>13594.563435920245</v>
      </c>
      <c r="G24" s="24">
        <v>28727.859600000003</v>
      </c>
      <c r="H24" s="24">
        <v>27045.678399658653</v>
      </c>
      <c r="I24" s="24">
        <v>28145.099734570562</v>
      </c>
      <c r="J24" s="25">
        <v>12769.714252494714</v>
      </c>
      <c r="K24" s="25">
        <v>17200.652977122227</v>
      </c>
      <c r="L24" s="25">
        <v>3235.8434860765483</v>
      </c>
      <c r="M24" s="25">
        <v>8042.592193908029</v>
      </c>
      <c r="N24" s="25">
        <v>12823.425542482772</v>
      </c>
      <c r="O24" s="25">
        <v>30412.024210627245</v>
      </c>
      <c r="P24" s="25">
        <v>34774.182086449458</v>
      </c>
      <c r="Q24" s="3"/>
      <c r="R24" s="4"/>
      <c r="S24" s="4"/>
      <c r="T24" s="4"/>
      <c r="U24" s="4"/>
      <c r="V24" s="3"/>
      <c r="W24" s="4"/>
      <c r="X24" s="4"/>
      <c r="Y24" s="3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1"/>
      <c r="GJ24" s="1"/>
      <c r="GK24" s="1"/>
    </row>
    <row r="25" spans="1:194" ht="15.75" x14ac:dyDescent="0.25">
      <c r="A25" s="22">
        <v>7.5</v>
      </c>
      <c r="B25" s="23" t="s">
        <v>15</v>
      </c>
      <c r="C25" s="24">
        <v>415.23099431444291</v>
      </c>
      <c r="D25" s="24">
        <v>488.88165280245482</v>
      </c>
      <c r="E25" s="24">
        <v>695.71889743486076</v>
      </c>
      <c r="F25" s="24">
        <v>762.65017141379008</v>
      </c>
      <c r="G25" s="24">
        <v>823.3226123835575</v>
      </c>
      <c r="H25" s="24">
        <v>11966.116445797921</v>
      </c>
      <c r="I25" s="24">
        <v>11565.040143291722</v>
      </c>
      <c r="J25" s="25">
        <v>11521.259025794803</v>
      </c>
      <c r="K25" s="25">
        <v>11243.56890719649</v>
      </c>
      <c r="L25" s="25">
        <v>5767.5319650076126</v>
      </c>
      <c r="M25" s="25">
        <v>4736.0150789310155</v>
      </c>
      <c r="N25" s="25">
        <v>8279.7135181854919</v>
      </c>
      <c r="O25" s="25">
        <v>10768.989494649495</v>
      </c>
      <c r="P25" s="25">
        <v>12108.726043360877</v>
      </c>
      <c r="Q25" s="3"/>
      <c r="R25" s="4"/>
      <c r="S25" s="4"/>
      <c r="T25" s="4"/>
      <c r="U25" s="4"/>
      <c r="V25" s="3"/>
      <c r="W25" s="4"/>
      <c r="X25" s="4"/>
      <c r="Y25" s="3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1"/>
      <c r="GJ25" s="1"/>
      <c r="GK25" s="1"/>
    </row>
    <row r="26" spans="1:194" ht="15.75" x14ac:dyDescent="0.25">
      <c r="A26" s="22">
        <v>7.6</v>
      </c>
      <c r="B26" s="23" t="s">
        <v>16</v>
      </c>
      <c r="C26" s="24">
        <v>0</v>
      </c>
      <c r="D26" s="24">
        <v>1.5026519855595668</v>
      </c>
      <c r="E26" s="24">
        <v>1.5037108303249096</v>
      </c>
      <c r="F26" s="24">
        <v>1.4958892537731252</v>
      </c>
      <c r="G26" s="24">
        <v>1.982</v>
      </c>
      <c r="H26" s="24">
        <v>1.6765751679991312</v>
      </c>
      <c r="I26" s="24">
        <v>14.277923453533086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3"/>
      <c r="R26" s="4"/>
      <c r="S26" s="4"/>
      <c r="T26" s="4"/>
      <c r="U26" s="4"/>
      <c r="V26" s="3"/>
      <c r="W26" s="4"/>
      <c r="X26" s="4"/>
      <c r="Y26" s="3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1"/>
      <c r="GJ26" s="1"/>
      <c r="GK26" s="1"/>
    </row>
    <row r="27" spans="1:194" ht="30" x14ac:dyDescent="0.25">
      <c r="A27" s="22">
        <v>7.7</v>
      </c>
      <c r="B27" s="23" t="s">
        <v>17</v>
      </c>
      <c r="C27" s="24">
        <v>86734.918532621406</v>
      </c>
      <c r="D27" s="24">
        <v>103227.8788388672</v>
      </c>
      <c r="E27" s="24">
        <v>126573.84629439106</v>
      </c>
      <c r="F27" s="24">
        <v>154507.64353161969</v>
      </c>
      <c r="G27" s="24">
        <v>188285.17903566983</v>
      </c>
      <c r="H27" s="24">
        <v>194047.65146684239</v>
      </c>
      <c r="I27" s="24">
        <v>159613.70365717972</v>
      </c>
      <c r="J27" s="25">
        <v>171604.4270131407</v>
      </c>
      <c r="K27" s="25">
        <v>194709.79469803802</v>
      </c>
      <c r="L27" s="25">
        <v>225125.70242865113</v>
      </c>
      <c r="M27" s="25">
        <v>271531.63338162133</v>
      </c>
      <c r="N27" s="25">
        <v>317680.45607852156</v>
      </c>
      <c r="O27" s="25">
        <v>349715.35172780859</v>
      </c>
      <c r="P27" s="25">
        <v>384069.73209584708</v>
      </c>
      <c r="Q27" s="3"/>
      <c r="R27" s="4"/>
      <c r="S27" s="4"/>
      <c r="T27" s="4"/>
      <c r="U27" s="4"/>
      <c r="V27" s="3"/>
      <c r="W27" s="4"/>
      <c r="X27" s="4"/>
      <c r="Y27" s="3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1"/>
      <c r="GJ27" s="1"/>
      <c r="GK27" s="1"/>
    </row>
    <row r="28" spans="1:194" ht="15.75" x14ac:dyDescent="0.25">
      <c r="A28" s="26" t="s">
        <v>36</v>
      </c>
      <c r="B28" s="23" t="s">
        <v>18</v>
      </c>
      <c r="C28" s="24">
        <v>222483</v>
      </c>
      <c r="D28" s="24">
        <v>262015</v>
      </c>
      <c r="E28" s="24">
        <v>318831</v>
      </c>
      <c r="F28" s="24">
        <v>368511</v>
      </c>
      <c r="G28" s="24">
        <v>444951</v>
      </c>
      <c r="H28" s="24">
        <v>461373.70645782899</v>
      </c>
      <c r="I28" s="24">
        <v>398140.93024071178</v>
      </c>
      <c r="J28" s="25">
        <v>449681.17189673107</v>
      </c>
      <c r="K28" s="25">
        <v>518625.32225121284</v>
      </c>
      <c r="L28" s="25">
        <v>567463.7294214078</v>
      </c>
      <c r="M28" s="25">
        <v>570328.43304815772</v>
      </c>
      <c r="N28" s="25">
        <v>680663.2653987126</v>
      </c>
      <c r="O28" s="25">
        <v>731891.86303976201</v>
      </c>
      <c r="P28" s="25">
        <v>810056.26939840172</v>
      </c>
      <c r="Q28" s="3"/>
      <c r="R28" s="4"/>
      <c r="S28" s="4"/>
      <c r="T28" s="4"/>
      <c r="U28" s="4"/>
      <c r="V28" s="3"/>
      <c r="W28" s="4"/>
      <c r="X28" s="4"/>
      <c r="Y28" s="3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1"/>
      <c r="GJ28" s="1"/>
      <c r="GK28" s="1"/>
    </row>
    <row r="29" spans="1:194" ht="30" x14ac:dyDescent="0.25">
      <c r="A29" s="26" t="s">
        <v>37</v>
      </c>
      <c r="B29" s="23" t="s">
        <v>19</v>
      </c>
      <c r="C29" s="24">
        <v>752851.78235482844</v>
      </c>
      <c r="D29" s="24">
        <v>819737.97720026411</v>
      </c>
      <c r="E29" s="24">
        <v>914832.60281853471</v>
      </c>
      <c r="F29" s="24">
        <v>988951.06038033753</v>
      </c>
      <c r="G29" s="24">
        <v>1032824.1817377645</v>
      </c>
      <c r="H29" s="24">
        <v>1106915.1193483486</v>
      </c>
      <c r="I29" s="24">
        <v>1212321.8229039072</v>
      </c>
      <c r="J29" s="25">
        <v>1313762.1801125654</v>
      </c>
      <c r="K29" s="25">
        <v>1296571.778382001</v>
      </c>
      <c r="L29" s="25">
        <v>1236586.3579424096</v>
      </c>
      <c r="M29" s="25">
        <v>1329048.9894911577</v>
      </c>
      <c r="N29" s="25">
        <v>1439494.4275223312</v>
      </c>
      <c r="O29" s="25">
        <v>1491089.2890505029</v>
      </c>
      <c r="P29" s="25">
        <v>1641686.31801454</v>
      </c>
      <c r="Q29" s="3"/>
      <c r="R29" s="4"/>
      <c r="S29" s="4"/>
      <c r="T29" s="4"/>
      <c r="U29" s="4"/>
      <c r="V29" s="3"/>
      <c r="W29" s="4"/>
      <c r="X29" s="4"/>
      <c r="Y29" s="3"/>
      <c r="Z29" s="5"/>
      <c r="AA29" s="5"/>
      <c r="AB29" s="5"/>
      <c r="AC29" s="5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1"/>
      <c r="GJ29" s="1"/>
      <c r="GK29" s="1"/>
    </row>
    <row r="30" spans="1:194" ht="15.75" x14ac:dyDescent="0.25">
      <c r="A30" s="26" t="s">
        <v>38</v>
      </c>
      <c r="B30" s="23" t="s">
        <v>53</v>
      </c>
      <c r="C30" s="24">
        <v>870047</v>
      </c>
      <c r="D30" s="24">
        <v>948044</v>
      </c>
      <c r="E30" s="24">
        <v>952268</v>
      </c>
      <c r="F30" s="24">
        <v>1008268</v>
      </c>
      <c r="G30" s="24">
        <v>1310164</v>
      </c>
      <c r="H30" s="24">
        <v>1365263</v>
      </c>
      <c r="I30" s="24">
        <v>1581388.7687263023</v>
      </c>
      <c r="J30" s="25">
        <v>2224069.1451504151</v>
      </c>
      <c r="K30" s="25">
        <v>2293909.9875871586</v>
      </c>
      <c r="L30" s="25">
        <v>2532865.4568882491</v>
      </c>
      <c r="M30" s="25">
        <v>2818080.51</v>
      </c>
      <c r="N30" s="25">
        <v>2912491.5310798134</v>
      </c>
      <c r="O30" s="25">
        <v>3333681</v>
      </c>
      <c r="P30" s="25">
        <v>3588449.8787074592</v>
      </c>
      <c r="Q30" s="3"/>
      <c r="R30" s="4"/>
      <c r="S30" s="4"/>
      <c r="T30" s="4"/>
      <c r="U30" s="4"/>
      <c r="V30" s="3"/>
      <c r="W30" s="4"/>
      <c r="X30" s="4"/>
      <c r="Y30" s="3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1"/>
      <c r="GJ30" s="1"/>
      <c r="GK30" s="1"/>
    </row>
    <row r="31" spans="1:194" ht="15.75" x14ac:dyDescent="0.25">
      <c r="A31" s="26" t="s">
        <v>39</v>
      </c>
      <c r="B31" s="23" t="s">
        <v>20</v>
      </c>
      <c r="C31" s="24">
        <v>594667.03773837606</v>
      </c>
      <c r="D31" s="24">
        <v>652933.69108201645</v>
      </c>
      <c r="E31" s="24">
        <v>803666.34213705745</v>
      </c>
      <c r="F31" s="24">
        <v>820563.42857386603</v>
      </c>
      <c r="G31" s="24">
        <v>900417.15117616032</v>
      </c>
      <c r="H31" s="24">
        <v>989696.81622932898</v>
      </c>
      <c r="I31" s="24">
        <v>1135353.6673089885</v>
      </c>
      <c r="J31" s="25">
        <v>1364358.0214749675</v>
      </c>
      <c r="K31" s="25">
        <v>1440069.8042581507</v>
      </c>
      <c r="L31" s="25">
        <v>1364949.472961715</v>
      </c>
      <c r="M31" s="25">
        <v>1540393.3179367192</v>
      </c>
      <c r="N31" s="25">
        <v>1745001.7296287077</v>
      </c>
      <c r="O31" s="25">
        <v>2045069.9124953593</v>
      </c>
      <c r="P31" s="25">
        <v>2237522.5389397442</v>
      </c>
      <c r="Q31" s="3"/>
      <c r="R31" s="4"/>
      <c r="S31" s="4"/>
      <c r="T31" s="4"/>
      <c r="U31" s="4"/>
      <c r="V31" s="3"/>
      <c r="W31" s="4"/>
      <c r="X31" s="4"/>
      <c r="Y31" s="3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1"/>
      <c r="GJ31" s="1"/>
      <c r="GK31" s="1"/>
    </row>
    <row r="32" spans="1:194" s="9" customFormat="1" ht="15.75" x14ac:dyDescent="0.25">
      <c r="A32" s="27"/>
      <c r="B32" s="28" t="s">
        <v>29</v>
      </c>
      <c r="C32" s="29">
        <f>C17+C20+C28+C29+C30+C31</f>
        <v>3353048.9706609938</v>
      </c>
      <c r="D32" s="29">
        <f t="shared" ref="D32:L32" si="12">D17+D20+D28+D29+D30+D31</f>
        <v>3779861.1242769542</v>
      </c>
      <c r="E32" s="29">
        <f t="shared" si="12"/>
        <v>4201582.0660047606</v>
      </c>
      <c r="F32" s="29">
        <f t="shared" si="12"/>
        <v>4454416.5594746144</v>
      </c>
      <c r="G32" s="29">
        <f t="shared" si="12"/>
        <v>5175866.9810351431</v>
      </c>
      <c r="H32" s="29">
        <f t="shared" si="12"/>
        <v>5542946.9946502559</v>
      </c>
      <c r="I32" s="29">
        <f t="shared" si="12"/>
        <v>6084743.2783951126</v>
      </c>
      <c r="J32" s="29">
        <f t="shared" si="12"/>
        <v>7349406.4645667737</v>
      </c>
      <c r="K32" s="29">
        <f t="shared" si="12"/>
        <v>7553141.1495800605</v>
      </c>
      <c r="L32" s="29">
        <f t="shared" si="12"/>
        <v>7196024.0608835109</v>
      </c>
      <c r="M32" s="29">
        <f t="shared" ref="M32:N32" si="13">M17+M20+M28+M29+M30+M31</f>
        <v>8385200.1772098234</v>
      </c>
      <c r="N32" s="29">
        <f t="shared" si="13"/>
        <v>9231360.2691338342</v>
      </c>
      <c r="O32" s="29">
        <f t="shared" ref="O32" si="14">O17+O20+O28+O29+O30+O31</f>
        <v>10281978.616824705</v>
      </c>
      <c r="P32" s="29">
        <f t="shared" ref="P32" si="15">P17+P20+P28+P29+P30+P31</f>
        <v>11273228.994792674</v>
      </c>
      <c r="Q32" s="3"/>
      <c r="R32" s="4"/>
      <c r="S32" s="4"/>
      <c r="T32" s="4"/>
      <c r="U32" s="4"/>
      <c r="V32" s="3"/>
      <c r="W32" s="4"/>
      <c r="X32" s="4"/>
      <c r="Y32" s="3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0"/>
      <c r="GJ32" s="10"/>
      <c r="GK32" s="10"/>
    </row>
    <row r="33" spans="1:194" s="10" customFormat="1" ht="15.75" x14ac:dyDescent="0.25">
      <c r="A33" s="19" t="s">
        <v>26</v>
      </c>
      <c r="B33" s="34" t="s">
        <v>50</v>
      </c>
      <c r="C33" s="21">
        <f>C6+C11+C13+C14+C15+C17+C20+C28+C29+C30+C31</f>
        <v>6182430.7927637175</v>
      </c>
      <c r="D33" s="21">
        <f t="shared" ref="D33:L33" si="16">D6+D11+D13+D14+D15+D17+D20+D28+D29+D30+D31</f>
        <v>6894817.9228133429</v>
      </c>
      <c r="E33" s="21">
        <f t="shared" si="16"/>
        <v>7469652.1237046253</v>
      </c>
      <c r="F33" s="21">
        <f t="shared" si="16"/>
        <v>7578926.2146792468</v>
      </c>
      <c r="G33" s="21">
        <f t="shared" si="16"/>
        <v>9185475.243207287</v>
      </c>
      <c r="H33" s="21">
        <f t="shared" si="16"/>
        <v>9792712.4381325524</v>
      </c>
      <c r="I33" s="21">
        <f t="shared" si="16"/>
        <v>10692204.353617752</v>
      </c>
      <c r="J33" s="21">
        <f t="shared" si="16"/>
        <v>12242730.332187353</v>
      </c>
      <c r="K33" s="21">
        <f t="shared" si="16"/>
        <v>12483103.790089166</v>
      </c>
      <c r="L33" s="21">
        <f t="shared" si="16"/>
        <v>12270860.898995534</v>
      </c>
      <c r="M33" s="21">
        <f t="shared" ref="M33:N33" si="17">M6+M11+M13+M14+M15+M17+M20+M28+M29+M30+M31</f>
        <v>13972633.183775406</v>
      </c>
      <c r="N33" s="21">
        <f t="shared" si="17"/>
        <v>15426428.416228272</v>
      </c>
      <c r="O33" s="21">
        <f t="shared" ref="O33" si="18">O6+O11+O13+O14+O15+O17+O20+O28+O29+O30+O31</f>
        <v>17207666.578297757</v>
      </c>
      <c r="P33" s="21">
        <f t="shared" ref="P33" si="19">P6+P11+P13+P14+P15+P17+P20+P28+P29+P30+P31</f>
        <v>18935662.104510378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L33" s="9"/>
    </row>
    <row r="34" spans="1:194" s="9" customFormat="1" ht="15.75" x14ac:dyDescent="0.25">
      <c r="A34" s="37" t="s">
        <v>42</v>
      </c>
      <c r="B34" s="38" t="s">
        <v>77</v>
      </c>
      <c r="C34" s="39">
        <f>GSVA_cur!C34</f>
        <v>551520</v>
      </c>
      <c r="D34" s="39">
        <f>GSVA_cur!D34</f>
        <v>658405</v>
      </c>
      <c r="E34" s="39">
        <f>GSVA_cur!E34</f>
        <v>748270</v>
      </c>
      <c r="F34" s="39">
        <f>GSVA_cur!F34</f>
        <v>758083</v>
      </c>
      <c r="G34" s="39">
        <f>GSVA_cur!G34</f>
        <v>885604</v>
      </c>
      <c r="H34" s="39">
        <f>GSVA_cur!H34</f>
        <v>958673</v>
      </c>
      <c r="I34" s="39">
        <f>GSVA_cur!I34</f>
        <v>1271191.9999999998</v>
      </c>
      <c r="J34" s="39">
        <f>GSVA_cur!J34</f>
        <v>1311154</v>
      </c>
      <c r="K34" s="39">
        <f>GSVA_cur!K34</f>
        <v>1239653.0014028219</v>
      </c>
      <c r="L34" s="39">
        <f>GSVA_cur!L34</f>
        <v>1712178.994967161</v>
      </c>
      <c r="M34" s="39">
        <f>GSVA_cur!M34</f>
        <v>1572344.6577534974</v>
      </c>
      <c r="N34" s="39">
        <f>GSVA_cur!N34</f>
        <v>1661817.9079256998</v>
      </c>
      <c r="O34" s="39">
        <f>GSVA_cur!O34</f>
        <v>2163602.14234776</v>
      </c>
      <c r="P34" s="39">
        <f>GSVA_cur!P34</f>
        <v>2605698.2998534665</v>
      </c>
      <c r="Q34" s="3"/>
      <c r="R34" s="4"/>
      <c r="S34" s="4"/>
      <c r="T34" s="4"/>
      <c r="U34" s="4"/>
      <c r="V34" s="3"/>
      <c r="W34" s="4"/>
      <c r="X34" s="4"/>
      <c r="Y34" s="3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</row>
    <row r="35" spans="1:194" s="9" customFormat="1" ht="15.75" x14ac:dyDescent="0.25">
      <c r="A35" s="37" t="s">
        <v>43</v>
      </c>
      <c r="B35" s="38" t="s">
        <v>24</v>
      </c>
      <c r="C35" s="39">
        <f>GSVA_cur!C35</f>
        <v>202038</v>
      </c>
      <c r="D35" s="39">
        <f>GSVA_cur!D35</f>
        <v>253615</v>
      </c>
      <c r="E35" s="39">
        <f>GSVA_cur!E35</f>
        <v>248582</v>
      </c>
      <c r="F35" s="39">
        <f>GSVA_cur!F35</f>
        <v>233315</v>
      </c>
      <c r="G35" s="39">
        <f>GSVA_cur!G35</f>
        <v>230194</v>
      </c>
      <c r="H35" s="39">
        <f>GSVA_cur!H35</f>
        <v>293915</v>
      </c>
      <c r="I35" s="39">
        <f>GSVA_cur!I35</f>
        <v>255875</v>
      </c>
      <c r="J35" s="39">
        <f>GSVA_cur!J35</f>
        <v>270709</v>
      </c>
      <c r="K35" s="39">
        <f>GSVA_cur!K35</f>
        <v>212064</v>
      </c>
      <c r="L35" s="39">
        <f>GSVA_cur!L35</f>
        <v>398171</v>
      </c>
      <c r="M35" s="39">
        <f>GSVA_cur!M35</f>
        <v>343223</v>
      </c>
      <c r="N35" s="39">
        <f>GSVA_cur!N35</f>
        <v>323764</v>
      </c>
      <c r="O35" s="39">
        <f>GSVA_cur!O35</f>
        <v>240352</v>
      </c>
      <c r="P35" s="39">
        <f>GSVA_cur!P35</f>
        <v>240352</v>
      </c>
      <c r="Q35" s="3"/>
      <c r="R35" s="4"/>
      <c r="S35" s="4"/>
      <c r="T35" s="4"/>
      <c r="U35" s="4"/>
      <c r="V35" s="3"/>
      <c r="W35" s="4"/>
      <c r="X35" s="4"/>
      <c r="Y35" s="3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</row>
    <row r="36" spans="1:194" s="9" customFormat="1" ht="15.75" x14ac:dyDescent="0.25">
      <c r="A36" s="37" t="s">
        <v>44</v>
      </c>
      <c r="B36" s="38" t="s">
        <v>62</v>
      </c>
      <c r="C36" s="29">
        <f>C33+C34-C35</f>
        <v>6531912.7927637175</v>
      </c>
      <c r="D36" s="29">
        <f t="shared" ref="D36:M36" si="20">D33+D34-D35</f>
        <v>7299607.9228133429</v>
      </c>
      <c r="E36" s="29">
        <f t="shared" si="20"/>
        <v>7969340.1237046253</v>
      </c>
      <c r="F36" s="29">
        <f t="shared" si="20"/>
        <v>8103694.2146792468</v>
      </c>
      <c r="G36" s="29">
        <f t="shared" si="20"/>
        <v>9840885.243207287</v>
      </c>
      <c r="H36" s="29">
        <f t="shared" si="20"/>
        <v>10457470.438132552</v>
      </c>
      <c r="I36" s="29">
        <f t="shared" si="20"/>
        <v>11707521.353617752</v>
      </c>
      <c r="J36" s="29">
        <f t="shared" si="20"/>
        <v>13283175.332187353</v>
      </c>
      <c r="K36" s="29">
        <f t="shared" si="20"/>
        <v>13510692.791491987</v>
      </c>
      <c r="L36" s="29">
        <f t="shared" si="20"/>
        <v>13584868.893962694</v>
      </c>
      <c r="M36" s="29">
        <f t="shared" si="20"/>
        <v>15201754.841528904</v>
      </c>
      <c r="N36" s="29">
        <f t="shared" ref="N36" si="21">N33+N34-N35</f>
        <v>16764482.324153971</v>
      </c>
      <c r="O36" s="29">
        <f t="shared" ref="O36" si="22">O33+O34-O35</f>
        <v>19130916.720645517</v>
      </c>
      <c r="P36" s="29">
        <f t="shared" ref="P36" si="23">P33+P34-P35</f>
        <v>21301008.404363845</v>
      </c>
      <c r="Q36" s="3"/>
      <c r="R36" s="4"/>
      <c r="S36" s="4"/>
      <c r="T36" s="4"/>
      <c r="U36" s="4"/>
      <c r="V36" s="3"/>
      <c r="W36" s="4"/>
      <c r="X36" s="4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</row>
    <row r="37" spans="1:194" s="9" customFormat="1" ht="15.75" x14ac:dyDescent="0.25">
      <c r="A37" s="37" t="s">
        <v>45</v>
      </c>
      <c r="B37" s="38" t="s">
        <v>41</v>
      </c>
      <c r="C37" s="39">
        <f>GSVA_cur!C37</f>
        <v>126160</v>
      </c>
      <c r="D37" s="39">
        <f>GSVA_cur!D37</f>
        <v>127440</v>
      </c>
      <c r="E37" s="39">
        <f>GSVA_cur!E37</f>
        <v>128730</v>
      </c>
      <c r="F37" s="39">
        <f>GSVA_cur!F37</f>
        <v>130020</v>
      </c>
      <c r="G37" s="39">
        <f>GSVA_cur!G37</f>
        <v>131300</v>
      </c>
      <c r="H37" s="39">
        <f>GSVA_cur!H37</f>
        <v>132440</v>
      </c>
      <c r="I37" s="39">
        <f>GSVA_cur!I37</f>
        <v>133480</v>
      </c>
      <c r="J37" s="39">
        <f>GSVA_cur!J37</f>
        <v>134530</v>
      </c>
      <c r="K37" s="39">
        <f>GSVA_cur!K37</f>
        <v>132630</v>
      </c>
      <c r="L37" s="39">
        <f>GSVA_cur!L37</f>
        <v>133650</v>
      </c>
      <c r="M37" s="39">
        <f>GSVA_cur!M37</f>
        <v>134650</v>
      </c>
      <c r="N37" s="39">
        <f>GSVA_cur!N37</f>
        <v>135620</v>
      </c>
      <c r="O37" s="39">
        <f>GSVA_cur!O37</f>
        <v>136600</v>
      </c>
      <c r="P37" s="39">
        <f>GSVA_cur!P37</f>
        <v>137580</v>
      </c>
      <c r="Q37" s="1"/>
      <c r="R37" s="2"/>
      <c r="S37" s="2"/>
      <c r="T37" s="2"/>
      <c r="U37" s="2"/>
      <c r="V37" s="1"/>
      <c r="W37" s="2"/>
      <c r="X37" s="2"/>
      <c r="Y37" s="1"/>
      <c r="Z37" s="1"/>
      <c r="AA37" s="1"/>
      <c r="AB37" s="1"/>
      <c r="AC37" s="1"/>
      <c r="AD37" s="2"/>
      <c r="AE37" s="2"/>
      <c r="AF37" s="2"/>
      <c r="AG37" s="2"/>
      <c r="AH37" s="2"/>
      <c r="AI37" s="2"/>
      <c r="AJ37" s="2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</row>
    <row r="38" spans="1:194" s="9" customFormat="1" ht="15.75" x14ac:dyDescent="0.25">
      <c r="A38" s="37" t="s">
        <v>46</v>
      </c>
      <c r="B38" s="38" t="s">
        <v>63</v>
      </c>
      <c r="C38" s="29">
        <f t="shared" ref="C38" si="24">C36/C37*1000</f>
        <v>51774.831902058635</v>
      </c>
      <c r="D38" s="29">
        <f t="shared" ref="D38:M38" si="25">D36/D37*1000</f>
        <v>57278.781566331942</v>
      </c>
      <c r="E38" s="29">
        <f t="shared" si="25"/>
        <v>61907.404052704311</v>
      </c>
      <c r="F38" s="29">
        <f t="shared" si="25"/>
        <v>62326.520648202175</v>
      </c>
      <c r="G38" s="29">
        <f t="shared" si="25"/>
        <v>74949.621044990767</v>
      </c>
      <c r="H38" s="29">
        <f t="shared" si="25"/>
        <v>78960.060692634797</v>
      </c>
      <c r="I38" s="29">
        <f t="shared" si="25"/>
        <v>87709.92922998016</v>
      </c>
      <c r="J38" s="29">
        <f t="shared" si="25"/>
        <v>98737.644630843322</v>
      </c>
      <c r="K38" s="29">
        <f t="shared" si="25"/>
        <v>101867.5472479227</v>
      </c>
      <c r="L38" s="29">
        <f t="shared" si="25"/>
        <v>101645.10956949266</v>
      </c>
      <c r="M38" s="29">
        <f t="shared" si="25"/>
        <v>112898.29069089419</v>
      </c>
      <c r="N38" s="29">
        <f t="shared" ref="N38" si="26">N36/N37*1000</f>
        <v>123613.64344605494</v>
      </c>
      <c r="O38" s="29">
        <f t="shared" ref="O38" si="27">O36/O37*1000</f>
        <v>140050.63485099209</v>
      </c>
      <c r="P38" s="29">
        <f t="shared" ref="P38" si="28">P36/P37*1000</f>
        <v>154826.34397705947</v>
      </c>
      <c r="Q38" s="3"/>
      <c r="R38" s="2"/>
      <c r="S38" s="2"/>
      <c r="T38" s="2"/>
      <c r="U38" s="2"/>
      <c r="V38" s="1"/>
      <c r="W38" s="2"/>
      <c r="X38" s="2"/>
      <c r="Y38" s="3"/>
      <c r="Z38" s="3"/>
      <c r="AA38" s="3"/>
      <c r="AB38" s="3"/>
      <c r="AC38" s="3"/>
      <c r="AD38" s="2"/>
      <c r="AE38" s="2"/>
      <c r="AF38" s="2"/>
      <c r="AG38" s="2"/>
      <c r="AH38" s="2"/>
      <c r="AI38" s="2"/>
      <c r="AJ38" s="2"/>
      <c r="CD38" s="12"/>
      <c r="CE38" s="12"/>
      <c r="CF38" s="12"/>
      <c r="CG38" s="12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</row>
    <row r="39" spans="1:194" x14ac:dyDescent="0.25">
      <c r="A39" s="2" t="s">
        <v>75</v>
      </c>
    </row>
    <row r="40" spans="1:194" x14ac:dyDescent="0.25">
      <c r="A40" s="2" t="s">
        <v>76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9" max="1048575" man="1"/>
    <brk id="41" max="1048575" man="1"/>
    <brk id="57" max="1048575" man="1"/>
    <brk id="121" max="95" man="1"/>
    <brk id="157" max="1048575" man="1"/>
    <brk id="181" max="1048575" man="1"/>
    <brk id="189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S40"/>
  <sheetViews>
    <sheetView tabSelected="1" zoomScale="93" zoomScaleNormal="93" zoomScaleSheetLayoutView="100" workbookViewId="0">
      <pane xSplit="2" ySplit="5" topLeftCell="C6" activePane="bottomRight" state="frozen"/>
      <selection activeCell="Q33" sqref="Q33"/>
      <selection pane="topRight" activeCell="Q33" sqref="Q33"/>
      <selection pane="bottomLeft" activeCell="Q33" sqref="Q33"/>
      <selection pane="bottomRight" activeCell="Q33" sqref="Q33"/>
    </sheetView>
  </sheetViews>
  <sheetFormatPr defaultColWidth="8.85546875" defaultRowHeight="15" x14ac:dyDescent="0.25"/>
  <cols>
    <col min="1" max="1" width="11" style="2" customWidth="1"/>
    <col min="2" max="2" width="21.28515625" style="2" customWidth="1"/>
    <col min="3" max="9" width="9.85546875" style="2" customWidth="1"/>
    <col min="10" max="14" width="9.85546875" style="1" customWidth="1"/>
    <col min="15" max="15" width="10.42578125" style="1" customWidth="1"/>
    <col min="16" max="16" width="9.85546875" style="1" customWidth="1"/>
    <col min="17" max="17" width="11.28515625" style="2" customWidth="1"/>
    <col min="18" max="18" width="11.7109375" style="1" customWidth="1"/>
    <col min="19" max="19" width="9.140625" style="2" customWidth="1"/>
    <col min="20" max="20" width="10.85546875" style="2" customWidth="1"/>
    <col min="21" max="21" width="10.85546875" style="1" customWidth="1"/>
    <col min="22" max="22" width="11" style="2" customWidth="1"/>
    <col min="23" max="25" width="11.42578125" style="2" customWidth="1"/>
    <col min="26" max="53" width="9.140625" style="2" customWidth="1"/>
    <col min="54" max="54" width="12.42578125" style="2" customWidth="1"/>
    <col min="55" max="76" width="9.140625" style="2" customWidth="1"/>
    <col min="77" max="77" width="12.140625" style="2" customWidth="1"/>
    <col min="78" max="81" width="9.140625" style="2" customWidth="1"/>
    <col min="82" max="86" width="9.140625" style="2" hidden="1" customWidth="1"/>
    <col min="87" max="87" width="9.140625" style="2" customWidth="1"/>
    <col min="88" max="92" width="9.140625" style="2" hidden="1" customWidth="1"/>
    <col min="93" max="93" width="9.140625" style="2" customWidth="1"/>
    <col min="94" max="98" width="9.140625" style="2" hidden="1" customWidth="1"/>
    <col min="99" max="99" width="9.140625" style="2" customWidth="1"/>
    <col min="100" max="104" width="9.140625" style="2" hidden="1" customWidth="1"/>
    <col min="105" max="105" width="9.140625" style="2" customWidth="1"/>
    <col min="106" max="110" width="9.140625" style="2" hidden="1" customWidth="1"/>
    <col min="111" max="111" width="9.140625" style="1" customWidth="1"/>
    <col min="112" max="116" width="9.140625" style="1" hidden="1" customWidth="1"/>
    <col min="117" max="117" width="9.140625" style="1" customWidth="1"/>
    <col min="118" max="122" width="9.140625" style="1" hidden="1" customWidth="1"/>
    <col min="123" max="123" width="9.140625" style="1" customWidth="1"/>
    <col min="124" max="128" width="9.140625" style="1" hidden="1" customWidth="1"/>
    <col min="129" max="129" width="9.140625" style="1" customWidth="1"/>
    <col min="130" max="159" width="9.140625" style="2" customWidth="1"/>
    <col min="160" max="160" width="9.140625" style="2" hidden="1" customWidth="1"/>
    <col min="161" max="168" width="9.140625" style="2" customWidth="1"/>
    <col min="169" max="169" width="9.140625" style="2" hidden="1" customWidth="1"/>
    <col min="170" max="174" width="9.140625" style="2" customWidth="1"/>
    <col min="175" max="175" width="9.140625" style="2" hidden="1" customWidth="1"/>
    <col min="176" max="185" width="9.140625" style="2" customWidth="1"/>
    <col min="186" max="189" width="8.85546875" style="2"/>
    <col min="190" max="190" width="12.7109375" style="2" bestFit="1" customWidth="1"/>
    <col min="191" max="16384" width="8.85546875" style="2"/>
  </cols>
  <sheetData>
    <row r="1" spans="1:190" ht="18.75" x14ac:dyDescent="0.3">
      <c r="A1" s="2" t="s">
        <v>52</v>
      </c>
      <c r="B1" s="6" t="s">
        <v>65</v>
      </c>
      <c r="T1" s="3"/>
    </row>
    <row r="2" spans="1:190" ht="15.75" x14ac:dyDescent="0.25">
      <c r="A2" s="7" t="s">
        <v>51</v>
      </c>
      <c r="I2" s="2" t="str">
        <f>[1]GSVA_cur!$I$3</f>
        <v>01.08.2025</v>
      </c>
    </row>
    <row r="3" spans="1:190" ht="15.75" x14ac:dyDescent="0.25">
      <c r="A3" s="7"/>
    </row>
    <row r="4" spans="1:190" ht="15.75" x14ac:dyDescent="0.25">
      <c r="A4" s="7"/>
      <c r="E4" s="8"/>
      <c r="F4" s="8" t="s">
        <v>56</v>
      </c>
      <c r="G4" s="8"/>
      <c r="H4" s="8"/>
      <c r="I4" s="8"/>
    </row>
    <row r="5" spans="1:190" ht="15.75" x14ac:dyDescent="0.25">
      <c r="A5" s="15" t="s">
        <v>0</v>
      </c>
      <c r="B5" s="16" t="s">
        <v>1</v>
      </c>
      <c r="C5" s="17" t="s">
        <v>21</v>
      </c>
      <c r="D5" s="17" t="s">
        <v>22</v>
      </c>
      <c r="E5" s="17" t="s">
        <v>23</v>
      </c>
      <c r="F5" s="17" t="s">
        <v>55</v>
      </c>
      <c r="G5" s="17" t="s">
        <v>64</v>
      </c>
      <c r="H5" s="17" t="s">
        <v>66</v>
      </c>
      <c r="I5" s="17" t="s">
        <v>67</v>
      </c>
      <c r="J5" s="18" t="s">
        <v>68</v>
      </c>
      <c r="K5" s="18" t="s">
        <v>69</v>
      </c>
      <c r="L5" s="18" t="s">
        <v>70</v>
      </c>
      <c r="M5" s="18" t="s">
        <v>71</v>
      </c>
      <c r="N5" s="18" t="s">
        <v>72</v>
      </c>
      <c r="O5" s="18" t="s">
        <v>73</v>
      </c>
      <c r="P5" s="18" t="s">
        <v>74</v>
      </c>
    </row>
    <row r="6" spans="1:190" s="10" customFormat="1" ht="30" x14ac:dyDescent="0.25">
      <c r="A6" s="19" t="s">
        <v>25</v>
      </c>
      <c r="B6" s="20" t="s">
        <v>2</v>
      </c>
      <c r="C6" s="21">
        <f>SUM(C7:C10)</f>
        <v>1122697.2539721353</v>
      </c>
      <c r="D6" s="21">
        <f t="shared" ref="D6:O6" si="0">SUM(D7:D10)</f>
        <v>1053468.4500304828</v>
      </c>
      <c r="E6" s="21">
        <f t="shared" si="0"/>
        <v>1085323.4485756238</v>
      </c>
      <c r="F6" s="21">
        <f t="shared" si="0"/>
        <v>929877.46768358338</v>
      </c>
      <c r="G6" s="21">
        <f t="shared" si="0"/>
        <v>1216345.4528495595</v>
      </c>
      <c r="H6" s="21">
        <f t="shared" si="0"/>
        <v>1286303.3580425123</v>
      </c>
      <c r="I6" s="21">
        <f t="shared" si="0"/>
        <v>1289426.4546149606</v>
      </c>
      <c r="J6" s="21">
        <f t="shared" si="0"/>
        <v>1392858.3845898521</v>
      </c>
      <c r="K6" s="21">
        <f t="shared" si="0"/>
        <v>1338694.303202339</v>
      </c>
      <c r="L6" s="21">
        <f t="shared" si="0"/>
        <v>1294037.1034877929</v>
      </c>
      <c r="M6" s="21">
        <f t="shared" si="0"/>
        <v>1315111.5238258424</v>
      </c>
      <c r="N6" s="21">
        <f t="shared" si="0"/>
        <v>1470620.9670676843</v>
      </c>
      <c r="O6" s="21">
        <f t="shared" si="0"/>
        <v>1557840.7862528816</v>
      </c>
      <c r="P6" s="21">
        <f t="shared" ref="P6" si="1">SUM(P7:P10)</f>
        <v>1634234.438919974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H6" s="9"/>
    </row>
    <row r="7" spans="1:190" ht="15.75" x14ac:dyDescent="0.25">
      <c r="A7" s="22">
        <v>1.1000000000000001</v>
      </c>
      <c r="B7" s="23" t="s">
        <v>58</v>
      </c>
      <c r="C7" s="24">
        <v>623141.608600365</v>
      </c>
      <c r="D7" s="24">
        <v>548996.6928224063</v>
      </c>
      <c r="E7" s="24">
        <v>585887.93148395396</v>
      </c>
      <c r="F7" s="24">
        <v>361664.41918520257</v>
      </c>
      <c r="G7" s="24">
        <v>579599.71432213311</v>
      </c>
      <c r="H7" s="24">
        <v>562080.97727159248</v>
      </c>
      <c r="I7" s="24">
        <v>542308.45369672158</v>
      </c>
      <c r="J7" s="25">
        <v>610596.93485804927</v>
      </c>
      <c r="K7" s="25">
        <v>542614.4077425506</v>
      </c>
      <c r="L7" s="25">
        <v>506203.93882938504</v>
      </c>
      <c r="M7" s="25">
        <v>488079.44307351252</v>
      </c>
      <c r="N7" s="25">
        <v>602981.76183170488</v>
      </c>
      <c r="O7" s="25">
        <v>668598.86042730184</v>
      </c>
      <c r="P7" s="25">
        <v>700746.24800005124</v>
      </c>
      <c r="Q7" s="4"/>
      <c r="R7" s="3"/>
      <c r="S7" s="4"/>
      <c r="T7" s="4"/>
      <c r="U7" s="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1"/>
      <c r="GF7" s="1"/>
      <c r="GG7" s="1"/>
    </row>
    <row r="8" spans="1:190" ht="15.75" x14ac:dyDescent="0.25">
      <c r="A8" s="22">
        <v>1.2</v>
      </c>
      <c r="B8" s="23" t="s">
        <v>59</v>
      </c>
      <c r="C8" s="24">
        <v>337949.10016853822</v>
      </c>
      <c r="D8" s="24">
        <v>336493.17346518958</v>
      </c>
      <c r="E8" s="24">
        <v>325618.50566196779</v>
      </c>
      <c r="F8" s="24">
        <v>389499.58417273004</v>
      </c>
      <c r="G8" s="24">
        <v>452942.43600057944</v>
      </c>
      <c r="H8" s="24">
        <v>490699.66694499709</v>
      </c>
      <c r="I8" s="24">
        <v>507598.04021754296</v>
      </c>
      <c r="J8" s="25">
        <v>531261.90600059088</v>
      </c>
      <c r="K8" s="25">
        <v>524913.97162003582</v>
      </c>
      <c r="L8" s="25">
        <v>523941.32997757924</v>
      </c>
      <c r="M8" s="25">
        <v>560309.81788224145</v>
      </c>
      <c r="N8" s="25">
        <v>587541.12036464014</v>
      </c>
      <c r="O8" s="25">
        <v>599019.80768875685</v>
      </c>
      <c r="P8" s="25">
        <v>631107.60739789321</v>
      </c>
      <c r="Q8" s="4"/>
      <c r="R8" s="3"/>
      <c r="S8" s="4"/>
      <c r="T8" s="4"/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1"/>
      <c r="GF8" s="1"/>
      <c r="GG8" s="1"/>
    </row>
    <row r="9" spans="1:190" ht="15.75" x14ac:dyDescent="0.25">
      <c r="A9" s="22">
        <v>1.3</v>
      </c>
      <c r="B9" s="23" t="s">
        <v>60</v>
      </c>
      <c r="C9" s="24">
        <v>133060.62583128194</v>
      </c>
      <c r="D9" s="24">
        <v>139321.82400882049</v>
      </c>
      <c r="E9" s="24">
        <v>144685.2994627023</v>
      </c>
      <c r="F9" s="24">
        <v>148923.17047497127</v>
      </c>
      <c r="G9" s="24">
        <v>154430.81087717216</v>
      </c>
      <c r="H9" s="24">
        <v>203462.16301581127</v>
      </c>
      <c r="I9" s="24">
        <v>208683.40388334342</v>
      </c>
      <c r="J9" s="25">
        <v>219552.98717529303</v>
      </c>
      <c r="K9" s="25">
        <v>238703.53570593754</v>
      </c>
      <c r="L9" s="25">
        <v>231554.21089829635</v>
      </c>
      <c r="M9" s="25">
        <v>229146.05951527471</v>
      </c>
      <c r="N9" s="25">
        <v>239839.52144296214</v>
      </c>
      <c r="O9" s="25">
        <v>248849.37131161976</v>
      </c>
      <c r="P9" s="25">
        <v>259094.34715616098</v>
      </c>
      <c r="Q9" s="4"/>
      <c r="R9" s="3"/>
      <c r="S9" s="4"/>
      <c r="T9" s="4"/>
      <c r="U9" s="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1"/>
      <c r="GF9" s="1"/>
      <c r="GG9" s="1"/>
    </row>
    <row r="10" spans="1:190" ht="30" x14ac:dyDescent="0.25">
      <c r="A10" s="22">
        <v>1.4</v>
      </c>
      <c r="B10" s="23" t="s">
        <v>61</v>
      </c>
      <c r="C10" s="24">
        <v>28545.91937195</v>
      </c>
      <c r="D10" s="24">
        <v>28656.759734066516</v>
      </c>
      <c r="E10" s="24">
        <v>29131.711966999879</v>
      </c>
      <c r="F10" s="24">
        <v>29790.293850679438</v>
      </c>
      <c r="G10" s="24">
        <v>29372.491649674659</v>
      </c>
      <c r="H10" s="24">
        <v>30060.550810111556</v>
      </c>
      <c r="I10" s="24">
        <v>30836.556817352754</v>
      </c>
      <c r="J10" s="25">
        <v>31446.556555918884</v>
      </c>
      <c r="K10" s="25">
        <v>32462.388133814988</v>
      </c>
      <c r="L10" s="25">
        <v>32337.623782532246</v>
      </c>
      <c r="M10" s="25">
        <v>37576.203354813646</v>
      </c>
      <c r="N10" s="25">
        <v>40258.563428377311</v>
      </c>
      <c r="O10" s="25">
        <v>41372.746825203081</v>
      </c>
      <c r="P10" s="25">
        <v>43286.23636586871</v>
      </c>
      <c r="Q10" s="4"/>
      <c r="R10" s="3"/>
      <c r="S10" s="4"/>
      <c r="T10" s="4"/>
      <c r="U10" s="3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1"/>
      <c r="GF10" s="1"/>
      <c r="GG10" s="1"/>
    </row>
    <row r="11" spans="1:190" ht="15.75" x14ac:dyDescent="0.25">
      <c r="A11" s="26" t="s">
        <v>30</v>
      </c>
      <c r="B11" s="23" t="s">
        <v>3</v>
      </c>
      <c r="C11" s="24">
        <v>28796.556799999998</v>
      </c>
      <c r="D11" s="24">
        <v>30411.992882450781</v>
      </c>
      <c r="E11" s="24">
        <v>31317.100986668098</v>
      </c>
      <c r="F11" s="24">
        <v>21595.087910212133</v>
      </c>
      <c r="G11" s="24">
        <v>79953.537533976385</v>
      </c>
      <c r="H11" s="24">
        <v>15952.422697089562</v>
      </c>
      <c r="I11" s="24">
        <v>12851.439122440348</v>
      </c>
      <c r="J11" s="25">
        <v>25189.411742437602</v>
      </c>
      <c r="K11" s="25">
        <v>12111.325130309395</v>
      </c>
      <c r="L11" s="25">
        <v>2712.6988293116115</v>
      </c>
      <c r="M11" s="25">
        <v>8546.670440459653</v>
      </c>
      <c r="N11" s="25">
        <v>13649.119009778984</v>
      </c>
      <c r="O11" s="25">
        <v>19045.978059006058</v>
      </c>
      <c r="P11" s="25">
        <v>20506.032667162981</v>
      </c>
      <c r="Q11" s="4"/>
      <c r="R11" s="3"/>
      <c r="S11" s="4"/>
      <c r="T11" s="4"/>
      <c r="U11" s="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1"/>
      <c r="GF11" s="1"/>
      <c r="GG11" s="1"/>
    </row>
    <row r="12" spans="1:190" s="9" customFormat="1" ht="15.75" x14ac:dyDescent="0.25">
      <c r="A12" s="27"/>
      <c r="B12" s="28" t="s">
        <v>27</v>
      </c>
      <c r="C12" s="29">
        <f>C6+C11</f>
        <v>1151493.8107721352</v>
      </c>
      <c r="D12" s="29">
        <f t="shared" ref="D12:N12" si="2">D6+D11</f>
        <v>1083880.4429129336</v>
      </c>
      <c r="E12" s="29">
        <f t="shared" si="2"/>
        <v>1116640.5495622919</v>
      </c>
      <c r="F12" s="29">
        <f t="shared" si="2"/>
        <v>951472.55559379549</v>
      </c>
      <c r="G12" s="29">
        <f t="shared" si="2"/>
        <v>1296298.9903835359</v>
      </c>
      <c r="H12" s="29">
        <f t="shared" si="2"/>
        <v>1302255.7807396019</v>
      </c>
      <c r="I12" s="29">
        <f t="shared" si="2"/>
        <v>1302277.8937374009</v>
      </c>
      <c r="J12" s="29">
        <f t="shared" si="2"/>
        <v>1418047.7963322897</v>
      </c>
      <c r="K12" s="29">
        <f t="shared" si="2"/>
        <v>1350805.6283326484</v>
      </c>
      <c r="L12" s="29">
        <f t="shared" si="2"/>
        <v>1296749.8023171045</v>
      </c>
      <c r="M12" s="29">
        <f t="shared" si="2"/>
        <v>1323658.194266302</v>
      </c>
      <c r="N12" s="29">
        <f t="shared" si="2"/>
        <v>1484270.0860774633</v>
      </c>
      <c r="O12" s="29">
        <f t="shared" ref="O12:P12" si="3">O6+O11</f>
        <v>1576886.7643118878</v>
      </c>
      <c r="P12" s="29">
        <f t="shared" si="3"/>
        <v>1654740.4715871371</v>
      </c>
      <c r="Q12" s="4"/>
      <c r="R12" s="3"/>
      <c r="S12" s="4"/>
      <c r="T12" s="4"/>
      <c r="U12" s="3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0"/>
      <c r="GF12" s="10"/>
      <c r="GG12" s="10"/>
    </row>
    <row r="13" spans="1:190" s="1" customFormat="1" ht="15.75" x14ac:dyDescent="0.25">
      <c r="A13" s="30" t="s">
        <v>31</v>
      </c>
      <c r="B13" s="31" t="s">
        <v>4</v>
      </c>
      <c r="C13" s="25">
        <v>624271.93779999996</v>
      </c>
      <c r="D13" s="25">
        <v>580358.69752752234</v>
      </c>
      <c r="E13" s="25">
        <v>595587.7038719689</v>
      </c>
      <c r="F13" s="25">
        <v>609142.64286740473</v>
      </c>
      <c r="G13" s="25">
        <v>747145.87136263063</v>
      </c>
      <c r="H13" s="25">
        <v>742644.93370323407</v>
      </c>
      <c r="I13" s="25">
        <v>773073.03823226271</v>
      </c>
      <c r="J13" s="25">
        <v>742641.72694152943</v>
      </c>
      <c r="K13" s="25">
        <v>676373.81348620472</v>
      </c>
      <c r="L13" s="25">
        <v>922274.29648513778</v>
      </c>
      <c r="M13" s="25">
        <v>642595.85593706637</v>
      </c>
      <c r="N13" s="25">
        <v>641018.40044865699</v>
      </c>
      <c r="O13" s="25">
        <v>744451.0525161426</v>
      </c>
      <c r="P13" s="25">
        <v>782334.45015379949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H13" s="2"/>
    </row>
    <row r="14" spans="1:190" ht="45" x14ac:dyDescent="0.25">
      <c r="A14" s="26" t="s">
        <v>32</v>
      </c>
      <c r="B14" s="23" t="s">
        <v>5</v>
      </c>
      <c r="C14" s="24">
        <v>430202.40800000005</v>
      </c>
      <c r="D14" s="24">
        <v>562060.25955399533</v>
      </c>
      <c r="E14" s="24">
        <v>584674.91575272405</v>
      </c>
      <c r="F14" s="24">
        <v>335962.42775677383</v>
      </c>
      <c r="G14" s="24">
        <v>695556.42522521783</v>
      </c>
      <c r="H14" s="24">
        <v>753126.13661681442</v>
      </c>
      <c r="I14" s="24">
        <v>831698.45274255227</v>
      </c>
      <c r="J14" s="25">
        <v>852693.86652083404</v>
      </c>
      <c r="K14" s="25">
        <v>868131.1177484676</v>
      </c>
      <c r="L14" s="25">
        <v>812475.93536843732</v>
      </c>
      <c r="M14" s="25">
        <v>946861.78015087591</v>
      </c>
      <c r="N14" s="25">
        <v>1033235.9698876013</v>
      </c>
      <c r="O14" s="25">
        <v>1207696.5146075841</v>
      </c>
      <c r="P14" s="25">
        <v>1320448.4198926557</v>
      </c>
      <c r="Q14" s="4"/>
      <c r="R14" s="3"/>
      <c r="S14" s="4"/>
      <c r="T14" s="4"/>
      <c r="U14" s="3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3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3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3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1"/>
      <c r="GF14" s="1"/>
      <c r="GG14" s="1"/>
    </row>
    <row r="15" spans="1:190" ht="15.75" x14ac:dyDescent="0.25">
      <c r="A15" s="26" t="s">
        <v>33</v>
      </c>
      <c r="B15" s="23" t="s">
        <v>6</v>
      </c>
      <c r="C15" s="24">
        <v>623413.66553058894</v>
      </c>
      <c r="D15" s="24">
        <v>606429.68862808438</v>
      </c>
      <c r="E15" s="24">
        <v>662093.79546240775</v>
      </c>
      <c r="F15" s="24">
        <v>627012.95854495885</v>
      </c>
      <c r="G15" s="24">
        <v>641944.99907828099</v>
      </c>
      <c r="H15" s="24">
        <v>726381.75850322563</v>
      </c>
      <c r="I15" s="24">
        <v>752948.71132209443</v>
      </c>
      <c r="J15" s="25">
        <v>748043.16508366598</v>
      </c>
      <c r="K15" s="25">
        <v>775052.77055816469</v>
      </c>
      <c r="L15" s="25">
        <v>640287.73304918641</v>
      </c>
      <c r="M15" s="25">
        <v>724304.54687572643</v>
      </c>
      <c r="N15" s="25">
        <v>781154.75426491094</v>
      </c>
      <c r="O15" s="25">
        <v>796951.58253060852</v>
      </c>
      <c r="P15" s="25">
        <v>898685.41685764876</v>
      </c>
      <c r="Q15" s="4"/>
      <c r="R15" s="3"/>
      <c r="S15" s="4"/>
      <c r="T15" s="4"/>
      <c r="U15" s="3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3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3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3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1"/>
      <c r="GF15" s="1"/>
      <c r="GG15" s="1"/>
    </row>
    <row r="16" spans="1:190" s="9" customFormat="1" ht="15.75" x14ac:dyDescent="0.25">
      <c r="A16" s="27"/>
      <c r="B16" s="28" t="s">
        <v>28</v>
      </c>
      <c r="C16" s="29">
        <f>+C13+C14+C15</f>
        <v>1677888.011330589</v>
      </c>
      <c r="D16" s="29">
        <f t="shared" ref="D16:L16" si="4">+D13+D14+D15</f>
        <v>1748848.6457096022</v>
      </c>
      <c r="E16" s="29">
        <f t="shared" si="4"/>
        <v>1842356.4150871006</v>
      </c>
      <c r="F16" s="29">
        <f t="shared" si="4"/>
        <v>1572118.0291691374</v>
      </c>
      <c r="G16" s="29">
        <f t="shared" si="4"/>
        <v>2084647.2956661296</v>
      </c>
      <c r="H16" s="29">
        <f t="shared" si="4"/>
        <v>2222152.828823274</v>
      </c>
      <c r="I16" s="29">
        <f t="shared" si="4"/>
        <v>2357720.2022969094</v>
      </c>
      <c r="J16" s="29">
        <f t="shared" si="4"/>
        <v>2343378.7585460292</v>
      </c>
      <c r="K16" s="29">
        <f t="shared" si="4"/>
        <v>2319557.7017928371</v>
      </c>
      <c r="L16" s="29">
        <f t="shared" si="4"/>
        <v>2375037.9649027614</v>
      </c>
      <c r="M16" s="29">
        <f t="shared" ref="M16:N16" si="5">+M13+M14+M15</f>
        <v>2313762.1829636688</v>
      </c>
      <c r="N16" s="29">
        <f t="shared" si="5"/>
        <v>2455409.1246011695</v>
      </c>
      <c r="O16" s="29">
        <f t="shared" ref="O16:P16" si="6">+O13+O14+O15</f>
        <v>2749099.1496543353</v>
      </c>
      <c r="P16" s="29">
        <f t="shared" si="6"/>
        <v>3001468.2869041041</v>
      </c>
      <c r="Q16" s="4"/>
      <c r="R16" s="3"/>
      <c r="S16" s="4"/>
      <c r="T16" s="4"/>
      <c r="U16" s="3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1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1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1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0"/>
      <c r="GF16" s="10"/>
      <c r="GG16" s="10"/>
    </row>
    <row r="17" spans="1:190" s="10" customFormat="1" ht="30" x14ac:dyDescent="0.25">
      <c r="A17" s="19" t="s">
        <v>34</v>
      </c>
      <c r="B17" s="20" t="s">
        <v>7</v>
      </c>
      <c r="C17" s="21">
        <f>C18+C19</f>
        <v>584477.20150667301</v>
      </c>
      <c r="D17" s="21">
        <f t="shared" ref="D17:L17" si="7">D18+D19</f>
        <v>658475.40132935822</v>
      </c>
      <c r="E17" s="21">
        <f t="shared" si="7"/>
        <v>682475.01529095357</v>
      </c>
      <c r="F17" s="21">
        <f t="shared" si="7"/>
        <v>652777.15664710593</v>
      </c>
      <c r="G17" s="21">
        <f t="shared" si="7"/>
        <v>720600.2028445428</v>
      </c>
      <c r="H17" s="21">
        <f t="shared" si="7"/>
        <v>757062.96030303021</v>
      </c>
      <c r="I17" s="21">
        <f t="shared" si="7"/>
        <v>842462.00978901109</v>
      </c>
      <c r="J17" s="21">
        <f t="shared" si="7"/>
        <v>899717.99044394039</v>
      </c>
      <c r="K17" s="21">
        <f t="shared" si="7"/>
        <v>882990.35535032908</v>
      </c>
      <c r="L17" s="21">
        <f t="shared" si="7"/>
        <v>546280.32395984058</v>
      </c>
      <c r="M17" s="21">
        <f t="shared" ref="M17:N17" si="8">M18+M19</f>
        <v>678524.54534314992</v>
      </c>
      <c r="N17" s="21">
        <f t="shared" si="8"/>
        <v>804960.87406026851</v>
      </c>
      <c r="O17" s="21">
        <f t="shared" ref="O17:P17" si="9">O18+O19</f>
        <v>793860.32925721246</v>
      </c>
      <c r="P17" s="21">
        <f t="shared" si="9"/>
        <v>850352.97386919335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H17" s="9"/>
    </row>
    <row r="18" spans="1:190" ht="30" x14ac:dyDescent="0.25">
      <c r="A18" s="22">
        <v>6.1</v>
      </c>
      <c r="B18" s="23" t="s">
        <v>8</v>
      </c>
      <c r="C18" s="24">
        <v>517326.81551091722</v>
      </c>
      <c r="D18" s="24">
        <v>594561.34894098819</v>
      </c>
      <c r="E18" s="24">
        <v>628959.2870451546</v>
      </c>
      <c r="F18" s="24">
        <v>601470.60651933902</v>
      </c>
      <c r="G18" s="24">
        <v>670097.44411603187</v>
      </c>
      <c r="H18" s="24">
        <v>706967.51374868595</v>
      </c>
      <c r="I18" s="24">
        <v>785568.31929396291</v>
      </c>
      <c r="J18" s="25">
        <v>834374.88539265632</v>
      </c>
      <c r="K18" s="25">
        <v>824711.68549437472</v>
      </c>
      <c r="L18" s="25">
        <v>543052.06181920902</v>
      </c>
      <c r="M18" s="25">
        <v>647484.08924623451</v>
      </c>
      <c r="N18" s="25">
        <v>751248.67074038205</v>
      </c>
      <c r="O18" s="25">
        <v>745308.70643924782</v>
      </c>
      <c r="P18" s="25">
        <v>798607.34519344207</v>
      </c>
      <c r="Q18" s="4"/>
      <c r="R18" s="3"/>
      <c r="S18" s="4"/>
      <c r="T18" s="4"/>
      <c r="U18" s="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1"/>
      <c r="GF18" s="1"/>
      <c r="GG18" s="1"/>
    </row>
    <row r="19" spans="1:190" ht="15.75" x14ac:dyDescent="0.25">
      <c r="A19" s="22">
        <v>6.2</v>
      </c>
      <c r="B19" s="23" t="s">
        <v>9</v>
      </c>
      <c r="C19" s="24">
        <v>67150.385995755772</v>
      </c>
      <c r="D19" s="24">
        <v>63914.052388370037</v>
      </c>
      <c r="E19" s="24">
        <v>53515.728245798993</v>
      </c>
      <c r="F19" s="24">
        <v>51306.550127766954</v>
      </c>
      <c r="G19" s="24">
        <v>50502.758728510933</v>
      </c>
      <c r="H19" s="24">
        <v>50095.446554344264</v>
      </c>
      <c r="I19" s="24">
        <v>56893.690495048184</v>
      </c>
      <c r="J19" s="25">
        <v>65343.105051284103</v>
      </c>
      <c r="K19" s="25">
        <v>58278.669855954322</v>
      </c>
      <c r="L19" s="25">
        <v>3228.2621406316102</v>
      </c>
      <c r="M19" s="25">
        <v>31040.456096915441</v>
      </c>
      <c r="N19" s="25">
        <v>53712.203319886525</v>
      </c>
      <c r="O19" s="25">
        <v>48551.622817964591</v>
      </c>
      <c r="P19" s="25">
        <v>51745.62867575133</v>
      </c>
      <c r="Q19" s="4"/>
      <c r="R19" s="3"/>
      <c r="S19" s="4"/>
      <c r="T19" s="4"/>
      <c r="U19" s="3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1"/>
      <c r="GF19" s="1"/>
      <c r="GG19" s="1"/>
    </row>
    <row r="20" spans="1:190" s="10" customFormat="1" ht="60" x14ac:dyDescent="0.25">
      <c r="A20" s="32" t="s">
        <v>35</v>
      </c>
      <c r="B20" s="33" t="s">
        <v>10</v>
      </c>
      <c r="C20" s="21">
        <f>SUM(C21:C27)</f>
        <v>328522.94906111585</v>
      </c>
      <c r="D20" s="21">
        <f t="shared" ref="D20:N20" si="10">SUM(D21:D27)</f>
        <v>362690.58436384867</v>
      </c>
      <c r="E20" s="21">
        <f t="shared" si="10"/>
        <v>381072.14192268759</v>
      </c>
      <c r="F20" s="21">
        <f t="shared" si="10"/>
        <v>438475.71152541623</v>
      </c>
      <c r="G20" s="21">
        <f t="shared" si="10"/>
        <v>506994.22655646328</v>
      </c>
      <c r="H20" s="21">
        <f t="shared" si="10"/>
        <v>495077.17265657627</v>
      </c>
      <c r="I20" s="21">
        <f t="shared" si="10"/>
        <v>441046.49393560481</v>
      </c>
      <c r="J20" s="21">
        <f t="shared" si="10"/>
        <v>430722.37601317791</v>
      </c>
      <c r="K20" s="21">
        <f t="shared" si="10"/>
        <v>347217.8197967906</v>
      </c>
      <c r="L20" s="21">
        <f t="shared" si="10"/>
        <v>205298.80885041336</v>
      </c>
      <c r="M20" s="21">
        <f t="shared" si="10"/>
        <v>346793.31687514542</v>
      </c>
      <c r="N20" s="21">
        <f t="shared" si="10"/>
        <v>359625.39082588127</v>
      </c>
      <c r="O20" s="21">
        <f t="shared" ref="O20:P20" si="11">SUM(O21:O27)</f>
        <v>372960.12058494869</v>
      </c>
      <c r="P20" s="21">
        <f t="shared" si="11"/>
        <v>402189.75307394878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H20" s="9"/>
    </row>
    <row r="21" spans="1:190" ht="15.75" x14ac:dyDescent="0.25">
      <c r="A21" s="22">
        <v>7.1</v>
      </c>
      <c r="B21" s="23" t="s">
        <v>11</v>
      </c>
      <c r="C21" s="24">
        <v>7807</v>
      </c>
      <c r="D21" s="24">
        <v>8866</v>
      </c>
      <c r="E21" s="24">
        <v>8713</v>
      </c>
      <c r="F21" s="24">
        <v>8567</v>
      </c>
      <c r="G21" s="24">
        <v>9145</v>
      </c>
      <c r="H21" s="24">
        <v>5908.4291159271852</v>
      </c>
      <c r="I21" s="24">
        <v>6463.0380450190005</v>
      </c>
      <c r="J21" s="25">
        <v>6532.0089364021424</v>
      </c>
      <c r="K21" s="25">
        <v>3401.8738411336526</v>
      </c>
      <c r="L21" s="25">
        <v>1400.3288520297924</v>
      </c>
      <c r="M21" s="25">
        <v>2694.804316514821</v>
      </c>
      <c r="N21" s="25">
        <v>3366.4492983643095</v>
      </c>
      <c r="O21" s="25">
        <v>3177.6478907573191</v>
      </c>
      <c r="P21" s="25">
        <v>3387.3726515473027</v>
      </c>
      <c r="Q21" s="4"/>
      <c r="R21" s="3"/>
      <c r="S21" s="4"/>
      <c r="T21" s="4"/>
      <c r="U21" s="3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1"/>
      <c r="GF21" s="1"/>
      <c r="GG21" s="1"/>
    </row>
    <row r="22" spans="1:190" ht="15.75" x14ac:dyDescent="0.25">
      <c r="A22" s="22">
        <v>7.2</v>
      </c>
      <c r="B22" s="23" t="s">
        <v>12</v>
      </c>
      <c r="C22" s="24">
        <v>228322.77258549779</v>
      </c>
      <c r="D22" s="24">
        <v>251242.29580778751</v>
      </c>
      <c r="E22" s="24">
        <v>261268.41111715982</v>
      </c>
      <c r="F22" s="24">
        <v>286581.0814467087</v>
      </c>
      <c r="G22" s="24">
        <v>317007.02320261695</v>
      </c>
      <c r="H22" s="24">
        <v>307534.39174119348</v>
      </c>
      <c r="I22" s="24">
        <v>289664.24817926087</v>
      </c>
      <c r="J22" s="25">
        <v>289142.3822320844</v>
      </c>
      <c r="K22" s="25">
        <v>194512.88828032283</v>
      </c>
      <c r="L22" s="25">
        <v>73533.825527882378</v>
      </c>
      <c r="M22" s="25">
        <v>204838.96500241617</v>
      </c>
      <c r="N22" s="25">
        <v>189152.87848113058</v>
      </c>
      <c r="O22" s="25">
        <v>196756.24681121827</v>
      </c>
      <c r="P22" s="25">
        <v>214290.26603363204</v>
      </c>
      <c r="Q22" s="4"/>
      <c r="R22" s="3"/>
      <c r="S22" s="4"/>
      <c r="T22" s="4"/>
      <c r="U22" s="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1"/>
      <c r="GF22" s="1"/>
      <c r="GG22" s="1"/>
    </row>
    <row r="23" spans="1:190" ht="15.75" x14ac:dyDescent="0.25">
      <c r="A23" s="22">
        <v>7.3</v>
      </c>
      <c r="B23" s="23" t="s">
        <v>13</v>
      </c>
      <c r="C23" s="24">
        <v>0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4"/>
      <c r="R23" s="3"/>
      <c r="S23" s="4"/>
      <c r="T23" s="4"/>
      <c r="U23" s="3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1"/>
      <c r="GF23" s="1"/>
      <c r="GG23" s="1"/>
    </row>
    <row r="24" spans="1:190" ht="15.75" x14ac:dyDescent="0.25">
      <c r="A24" s="22">
        <v>7.4</v>
      </c>
      <c r="B24" s="23" t="s">
        <v>14</v>
      </c>
      <c r="C24" s="24">
        <v>5243.0269486822108</v>
      </c>
      <c r="D24" s="24">
        <v>5703.3006585667717</v>
      </c>
      <c r="E24" s="24">
        <v>3300.9695779178801</v>
      </c>
      <c r="F24" s="24">
        <v>11123.504884156202</v>
      </c>
      <c r="G24" s="24">
        <v>23383.320950113655</v>
      </c>
      <c r="H24" s="24">
        <v>20870.089636150922</v>
      </c>
      <c r="I24" s="24">
        <v>20864.054329648559</v>
      </c>
      <c r="J24" s="25">
        <v>8620.1982423586305</v>
      </c>
      <c r="K24" s="25">
        <v>10956.541284201738</v>
      </c>
      <c r="L24" s="25">
        <v>671.73652895424675</v>
      </c>
      <c r="M24" s="25">
        <v>4287.5174284174172</v>
      </c>
      <c r="N24" s="25">
        <v>12434.059890999975</v>
      </c>
      <c r="O24" s="25">
        <v>11933.961113487778</v>
      </c>
      <c r="P24" s="25">
        <v>12900.834925357876</v>
      </c>
      <c r="Q24" s="4"/>
      <c r="R24" s="3"/>
      <c r="S24" s="4"/>
      <c r="T24" s="4"/>
      <c r="U24" s="3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1"/>
      <c r="GF24" s="1"/>
      <c r="GG24" s="1"/>
    </row>
    <row r="25" spans="1:190" ht="30" x14ac:dyDescent="0.25">
      <c r="A25" s="22">
        <v>7.5</v>
      </c>
      <c r="B25" s="23" t="s">
        <v>15</v>
      </c>
      <c r="C25" s="24">
        <v>415.23099431444291</v>
      </c>
      <c r="D25" s="24">
        <v>457.12170882522241</v>
      </c>
      <c r="E25" s="24">
        <v>638.24486463943913</v>
      </c>
      <c r="F25" s="24">
        <v>705.68567303933196</v>
      </c>
      <c r="G25" s="24">
        <v>747.65218777990503</v>
      </c>
      <c r="H25" s="24">
        <v>9440.5045352338602</v>
      </c>
      <c r="I25" s="24">
        <v>8794.281349347526</v>
      </c>
      <c r="J25" s="25">
        <v>8373.9558506286048</v>
      </c>
      <c r="K25" s="25">
        <v>7832.6731633043364</v>
      </c>
      <c r="L25" s="25">
        <v>3812.683693706867</v>
      </c>
      <c r="M25" s="25">
        <v>2637.2323356602419</v>
      </c>
      <c r="N25" s="25">
        <v>4473.1800447126279</v>
      </c>
      <c r="O25" s="25">
        <v>5700.6145219354194</v>
      </c>
      <c r="P25" s="25">
        <v>6193.3776751330888</v>
      </c>
      <c r="Q25" s="4"/>
      <c r="R25" s="3"/>
      <c r="S25" s="4"/>
      <c r="T25" s="4"/>
      <c r="U25" s="3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1"/>
      <c r="GF25" s="1"/>
      <c r="GG25" s="1"/>
    </row>
    <row r="26" spans="1:190" ht="15.75" x14ac:dyDescent="0.25">
      <c r="A26" s="22">
        <v>7.6</v>
      </c>
      <c r="B26" s="23" t="s">
        <v>16</v>
      </c>
      <c r="C26" s="24">
        <v>0</v>
      </c>
      <c r="D26" s="24">
        <v>1.8608309995465413</v>
      </c>
      <c r="E26" s="24">
        <v>1.7373064866412746</v>
      </c>
      <c r="F26" s="24">
        <v>1.6897600540723217</v>
      </c>
      <c r="G26" s="24">
        <v>1.5926092642233398</v>
      </c>
      <c r="H26" s="24">
        <v>1.6057038900698486</v>
      </c>
      <c r="I26" s="24">
        <v>10.742756443599772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4"/>
      <c r="R26" s="3"/>
      <c r="S26" s="4"/>
      <c r="T26" s="4"/>
      <c r="U26" s="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1"/>
      <c r="GF26" s="1"/>
      <c r="GG26" s="1"/>
    </row>
    <row r="27" spans="1:190" ht="45" x14ac:dyDescent="0.25">
      <c r="A27" s="22">
        <v>7.7</v>
      </c>
      <c r="B27" s="23" t="s">
        <v>17</v>
      </c>
      <c r="C27" s="24">
        <v>86734.918532621406</v>
      </c>
      <c r="D27" s="24">
        <v>96420.005357669623</v>
      </c>
      <c r="E27" s="24">
        <v>107149.77905648382</v>
      </c>
      <c r="F27" s="24">
        <v>131496.74976145788</v>
      </c>
      <c r="G27" s="24">
        <v>156709.63760668851</v>
      </c>
      <c r="H27" s="24">
        <v>151322.15192418074</v>
      </c>
      <c r="I27" s="24">
        <v>115250.12927588525</v>
      </c>
      <c r="J27" s="25">
        <v>118053.83075170412</v>
      </c>
      <c r="K27" s="25">
        <v>130513.84322782804</v>
      </c>
      <c r="L27" s="25">
        <v>125880.23424784005</v>
      </c>
      <c r="M27" s="25">
        <v>132334.79779213679</v>
      </c>
      <c r="N27" s="25">
        <v>150198.82311067381</v>
      </c>
      <c r="O27" s="25">
        <v>155391.65024754987</v>
      </c>
      <c r="P27" s="25">
        <v>165417.90178827845</v>
      </c>
      <c r="Q27" s="4"/>
      <c r="R27" s="3"/>
      <c r="S27" s="4"/>
      <c r="T27" s="4"/>
      <c r="U27" s="3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1"/>
      <c r="GF27" s="1"/>
      <c r="GG27" s="1"/>
    </row>
    <row r="28" spans="1:190" ht="15.75" x14ac:dyDescent="0.25">
      <c r="A28" s="26" t="s">
        <v>36</v>
      </c>
      <c r="B28" s="23" t="s">
        <v>18</v>
      </c>
      <c r="C28" s="24">
        <v>222483</v>
      </c>
      <c r="D28" s="24">
        <v>253994</v>
      </c>
      <c r="E28" s="24">
        <v>307921</v>
      </c>
      <c r="F28" s="24">
        <v>349907</v>
      </c>
      <c r="G28" s="24">
        <v>412717</v>
      </c>
      <c r="H28" s="24">
        <v>429270.70803720457</v>
      </c>
      <c r="I28" s="24">
        <v>342924.85554943408</v>
      </c>
      <c r="J28" s="25">
        <v>361848.48912730464</v>
      </c>
      <c r="K28" s="25">
        <v>395422.00762748928</v>
      </c>
      <c r="L28" s="25">
        <v>429974.33756404172</v>
      </c>
      <c r="M28" s="25">
        <v>403329.42495070799</v>
      </c>
      <c r="N28" s="25">
        <v>421546.10618311755</v>
      </c>
      <c r="O28" s="25">
        <v>443606.91596668016</v>
      </c>
      <c r="P28" s="25">
        <v>467522.1627039052</v>
      </c>
      <c r="Q28" s="4"/>
      <c r="R28" s="3"/>
      <c r="S28" s="4"/>
      <c r="T28" s="4"/>
      <c r="U28" s="3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1"/>
      <c r="GF28" s="1"/>
      <c r="GG28" s="1"/>
    </row>
    <row r="29" spans="1:190" ht="60" x14ac:dyDescent="0.25">
      <c r="A29" s="26" t="s">
        <v>37</v>
      </c>
      <c r="B29" s="23" t="s">
        <v>19</v>
      </c>
      <c r="C29" s="24">
        <v>752851.78235482844</v>
      </c>
      <c r="D29" s="24">
        <v>763555.31501653988</v>
      </c>
      <c r="E29" s="24">
        <v>777139.06164088065</v>
      </c>
      <c r="F29" s="24">
        <v>795046.78247739817</v>
      </c>
      <c r="G29" s="24">
        <v>779809.42102107103</v>
      </c>
      <c r="H29" s="24">
        <v>805443.02652686788</v>
      </c>
      <c r="I29" s="24">
        <v>811488.60724778927</v>
      </c>
      <c r="J29" s="25">
        <v>744204.67551974801</v>
      </c>
      <c r="K29" s="25">
        <v>723258.67989161983</v>
      </c>
      <c r="L29" s="25">
        <v>633300.31474257214</v>
      </c>
      <c r="M29" s="25">
        <v>626852.33195173391</v>
      </c>
      <c r="N29" s="25">
        <v>655010.29291277309</v>
      </c>
      <c r="O29" s="25">
        <v>622245.22869712615</v>
      </c>
      <c r="P29" s="25">
        <v>655608.0504432919</v>
      </c>
      <c r="Q29" s="4"/>
      <c r="R29" s="3"/>
      <c r="S29" s="4"/>
      <c r="T29" s="4"/>
      <c r="U29" s="3"/>
      <c r="V29" s="5"/>
      <c r="W29" s="5"/>
      <c r="X29" s="5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1"/>
      <c r="GF29" s="1"/>
      <c r="GG29" s="1"/>
    </row>
    <row r="30" spans="1:190" ht="15.75" x14ac:dyDescent="0.25">
      <c r="A30" s="26" t="s">
        <v>38</v>
      </c>
      <c r="B30" s="23" t="s">
        <v>53</v>
      </c>
      <c r="C30" s="24">
        <v>870047</v>
      </c>
      <c r="D30" s="24">
        <v>875152.21951219521</v>
      </c>
      <c r="E30" s="24">
        <v>813714.43190961215</v>
      </c>
      <c r="F30" s="24">
        <v>813175.71616708417</v>
      </c>
      <c r="G30" s="24">
        <v>997956.41781030805</v>
      </c>
      <c r="H30" s="24">
        <v>987571.59283387614</v>
      </c>
      <c r="I30" s="24">
        <v>1073003.0579888243</v>
      </c>
      <c r="J30" s="25">
        <v>1434069.953460695</v>
      </c>
      <c r="K30" s="25">
        <v>1417355.4364234162</v>
      </c>
      <c r="L30" s="25">
        <v>1477038.6886631169</v>
      </c>
      <c r="M30" s="25">
        <v>1538255.1693077385</v>
      </c>
      <c r="N30" s="25">
        <v>1495322.4022012958</v>
      </c>
      <c r="O30" s="25">
        <v>1640348.8658170544</v>
      </c>
      <c r="P30" s="25">
        <v>1689524.5314213671</v>
      </c>
      <c r="Q30" s="4"/>
      <c r="R30" s="3"/>
      <c r="S30" s="4"/>
      <c r="T30" s="4"/>
      <c r="U30" s="3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1"/>
      <c r="GF30" s="1"/>
      <c r="GG30" s="1"/>
    </row>
    <row r="31" spans="1:190" ht="15.75" x14ac:dyDescent="0.25">
      <c r="A31" s="26" t="s">
        <v>39</v>
      </c>
      <c r="B31" s="23" t="s">
        <v>20</v>
      </c>
      <c r="C31" s="24">
        <v>594667.03773837606</v>
      </c>
      <c r="D31" s="24">
        <v>608028.66208986309</v>
      </c>
      <c r="E31" s="24">
        <v>692893.75980028359</v>
      </c>
      <c r="F31" s="24">
        <v>685369.33562943933</v>
      </c>
      <c r="G31" s="24">
        <v>700090.47360730637</v>
      </c>
      <c r="H31" s="24">
        <v>712052.28738740238</v>
      </c>
      <c r="I31" s="24">
        <v>770874.16978487931</v>
      </c>
      <c r="J31" s="25">
        <v>855375.14023553254</v>
      </c>
      <c r="K31" s="25">
        <v>846114.21087821946</v>
      </c>
      <c r="L31" s="25">
        <v>764441.9575215386</v>
      </c>
      <c r="M31" s="25">
        <v>821474.44192227325</v>
      </c>
      <c r="N31" s="25">
        <v>872384.12600952189</v>
      </c>
      <c r="O31" s="25">
        <v>950131.97002997936</v>
      </c>
      <c r="P31" s="25">
        <v>989182.42807161459</v>
      </c>
      <c r="Q31" s="4"/>
      <c r="R31" s="3"/>
      <c r="S31" s="4"/>
      <c r="T31" s="4"/>
      <c r="U31" s="3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1"/>
      <c r="GF31" s="1"/>
      <c r="GG31" s="1"/>
    </row>
    <row r="32" spans="1:190" s="9" customFormat="1" ht="15.75" x14ac:dyDescent="0.25">
      <c r="A32" s="27"/>
      <c r="B32" s="28" t="s">
        <v>29</v>
      </c>
      <c r="C32" s="29">
        <f>C17+C20+C28+C29+C30+C31</f>
        <v>3353048.9706609938</v>
      </c>
      <c r="D32" s="29">
        <f t="shared" ref="D32:M32" si="12">D17+D20+D28+D29+D30+D31</f>
        <v>3521896.182311805</v>
      </c>
      <c r="E32" s="29">
        <f t="shared" si="12"/>
        <v>3655215.4105644175</v>
      </c>
      <c r="F32" s="29">
        <f t="shared" si="12"/>
        <v>3734751.7024464435</v>
      </c>
      <c r="G32" s="29">
        <f t="shared" si="12"/>
        <v>4118167.7418396911</v>
      </c>
      <c r="H32" s="29">
        <f t="shared" si="12"/>
        <v>4186477.7477449575</v>
      </c>
      <c r="I32" s="29">
        <f t="shared" si="12"/>
        <v>4281799.1942955432</v>
      </c>
      <c r="J32" s="29">
        <f t="shared" si="12"/>
        <v>4725938.6248003989</v>
      </c>
      <c r="K32" s="29">
        <f t="shared" si="12"/>
        <v>4612358.5099678645</v>
      </c>
      <c r="L32" s="29">
        <f t="shared" si="12"/>
        <v>4056334.4313015235</v>
      </c>
      <c r="M32" s="29">
        <f t="shared" si="12"/>
        <v>4415229.2303507496</v>
      </c>
      <c r="N32" s="29">
        <f t="shared" ref="N32:P32" si="13">N17+N20+N28+N29+N30+N31</f>
        <v>4608849.1921928581</v>
      </c>
      <c r="O32" s="29">
        <f t="shared" si="13"/>
        <v>4823153.4303530008</v>
      </c>
      <c r="P32" s="29">
        <f t="shared" si="13"/>
        <v>5054379.8995833211</v>
      </c>
      <c r="Q32" s="4"/>
      <c r="R32" s="3"/>
      <c r="S32" s="4"/>
      <c r="T32" s="4"/>
      <c r="U32" s="3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0"/>
      <c r="GF32" s="10"/>
      <c r="GG32" s="10"/>
    </row>
    <row r="33" spans="1:190" s="10" customFormat="1" ht="30" x14ac:dyDescent="0.25">
      <c r="A33" s="19" t="s">
        <v>26</v>
      </c>
      <c r="B33" s="34" t="s">
        <v>50</v>
      </c>
      <c r="C33" s="21">
        <f>C6+C11+C13+C14+C15+C17+C20+C28+C29+C30+C31</f>
        <v>6182430.7927637175</v>
      </c>
      <c r="D33" s="21">
        <f t="shared" ref="D33:M33" si="14">D6+D11+D13+D14+D15+D17+D20+D28+D29+D30+D31</f>
        <v>6354625.2709343405</v>
      </c>
      <c r="E33" s="21">
        <f t="shared" si="14"/>
        <v>6614212.3752138102</v>
      </c>
      <c r="F33" s="21">
        <f t="shared" si="14"/>
        <v>6258342.2872093758</v>
      </c>
      <c r="G33" s="21">
        <f t="shared" si="14"/>
        <v>7499114.0278893569</v>
      </c>
      <c r="H33" s="21">
        <f t="shared" si="14"/>
        <v>7710886.3573078346</v>
      </c>
      <c r="I33" s="21">
        <f t="shared" si="14"/>
        <v>7941797.2903298531</v>
      </c>
      <c r="J33" s="21">
        <f t="shared" si="14"/>
        <v>8487365.1796787176</v>
      </c>
      <c r="K33" s="21">
        <f t="shared" si="14"/>
        <v>8282721.84009335</v>
      </c>
      <c r="L33" s="21">
        <f t="shared" si="14"/>
        <v>7728122.1985213887</v>
      </c>
      <c r="M33" s="21">
        <f t="shared" si="14"/>
        <v>8052649.6075807204</v>
      </c>
      <c r="N33" s="21">
        <f t="shared" ref="N33:P33" si="15">N6+N11+N13+N14+N15+N17+N20+N28+N29+N30+N31</f>
        <v>8548528.4028714895</v>
      </c>
      <c r="O33" s="21">
        <f t="shared" si="15"/>
        <v>9149139.3443192244</v>
      </c>
      <c r="P33" s="21">
        <f t="shared" si="15"/>
        <v>9710588.6580745615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H33" s="9"/>
    </row>
    <row r="34" spans="1:190" s="9" customFormat="1" ht="15.75" x14ac:dyDescent="0.25">
      <c r="A34" s="37" t="s">
        <v>42</v>
      </c>
      <c r="B34" s="38" t="s">
        <v>77</v>
      </c>
      <c r="C34" s="39">
        <f>GSVA_const!C34</f>
        <v>551520</v>
      </c>
      <c r="D34" s="39">
        <f>GSVA_const!D34</f>
        <v>613091</v>
      </c>
      <c r="E34" s="39">
        <f>GSVA_const!E34</f>
        <v>655893</v>
      </c>
      <c r="F34" s="39">
        <f>GSVA_const!F34</f>
        <v>655784</v>
      </c>
      <c r="G34" s="39">
        <f>GSVA_const!G34</f>
        <v>758194</v>
      </c>
      <c r="H34" s="39">
        <f>GSVA_const!H34</f>
        <v>797655</v>
      </c>
      <c r="I34" s="39">
        <f>GSVA_const!I34</f>
        <v>1023235</v>
      </c>
      <c r="J34" s="39">
        <f>GSVA_const!J34</f>
        <v>1033122.0000000001</v>
      </c>
      <c r="K34" s="39">
        <f>GSVA_const!K34</f>
        <v>957888.00000000012</v>
      </c>
      <c r="L34" s="39">
        <f>GSVA_const!L34</f>
        <v>1343577</v>
      </c>
      <c r="M34" s="39">
        <f>GSVA_const!M34</f>
        <v>1072145</v>
      </c>
      <c r="N34" s="39">
        <f>GSVA_const!N34</f>
        <v>1110705.0712502082</v>
      </c>
      <c r="O34" s="39">
        <f>GSVA_const!O34</f>
        <v>1379556.8502828751</v>
      </c>
      <c r="P34" s="39">
        <f>GSVA_const!P34</f>
        <v>1663003.4440732547</v>
      </c>
      <c r="Q34" s="4"/>
      <c r="R34" s="3"/>
      <c r="S34" s="4"/>
      <c r="T34" s="4"/>
      <c r="U34" s="3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</row>
    <row r="35" spans="1:190" s="9" customFormat="1" ht="15.75" x14ac:dyDescent="0.25">
      <c r="A35" s="37" t="s">
        <v>43</v>
      </c>
      <c r="B35" s="38" t="s">
        <v>24</v>
      </c>
      <c r="C35" s="39">
        <f>GSVA_const!C35</f>
        <v>202038</v>
      </c>
      <c r="D35" s="39">
        <f>GSVA_const!D35</f>
        <v>236160</v>
      </c>
      <c r="E35" s="39">
        <f>GSVA_const!E35</f>
        <v>217893</v>
      </c>
      <c r="F35" s="39">
        <f>GSVA_const!F35</f>
        <v>198750</v>
      </c>
      <c r="G35" s="39">
        <f>GSVA_const!G35</f>
        <v>197077</v>
      </c>
      <c r="H35" s="39">
        <f>GSVA_const!H35</f>
        <v>244549</v>
      </c>
      <c r="I35" s="39">
        <f>GSVA_const!I35</f>
        <v>205964</v>
      </c>
      <c r="J35" s="39">
        <f>GSVA_const!J35</f>
        <v>213305</v>
      </c>
      <c r="K35" s="39">
        <f>GSVA_const!K35</f>
        <v>163863</v>
      </c>
      <c r="L35" s="39">
        <f>GSVA_const!L35</f>
        <v>312452</v>
      </c>
      <c r="M35" s="39">
        <f>GSVA_const!M35</f>
        <v>234036</v>
      </c>
      <c r="N35" s="39">
        <f>GSVA_const!N35</f>
        <v>216393</v>
      </c>
      <c r="O35" s="39">
        <f>GSVA_const!O35</f>
        <v>153253</v>
      </c>
      <c r="P35" s="39">
        <f>GSVA_const!P35</f>
        <v>153397</v>
      </c>
      <c r="Q35" s="4"/>
      <c r="R35" s="3"/>
      <c r="S35" s="4"/>
      <c r="T35" s="4"/>
      <c r="U35" s="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</row>
    <row r="36" spans="1:190" s="9" customFormat="1" ht="30" x14ac:dyDescent="0.25">
      <c r="A36" s="37" t="s">
        <v>44</v>
      </c>
      <c r="B36" s="38" t="s">
        <v>62</v>
      </c>
      <c r="C36" s="29">
        <f>C33+C34-C35</f>
        <v>6531912.7927637175</v>
      </c>
      <c r="D36" s="29">
        <f t="shared" ref="D36:M36" si="16">D33+D34-D35</f>
        <v>6731556.2709343405</v>
      </c>
      <c r="E36" s="29">
        <f t="shared" si="16"/>
        <v>7052212.3752138102</v>
      </c>
      <c r="F36" s="29">
        <f t="shared" si="16"/>
        <v>6715376.2872093758</v>
      </c>
      <c r="G36" s="29">
        <f t="shared" si="16"/>
        <v>8060231.0278893569</v>
      </c>
      <c r="H36" s="29">
        <f t="shared" si="16"/>
        <v>8263992.3573078346</v>
      </c>
      <c r="I36" s="29">
        <f t="shared" si="16"/>
        <v>8759068.2903298531</v>
      </c>
      <c r="J36" s="29">
        <f t="shared" si="16"/>
        <v>9307182.1796787176</v>
      </c>
      <c r="K36" s="29">
        <f t="shared" si="16"/>
        <v>9076746.84009335</v>
      </c>
      <c r="L36" s="29">
        <f t="shared" si="16"/>
        <v>8759247.1985213887</v>
      </c>
      <c r="M36" s="29">
        <f t="shared" si="16"/>
        <v>8890758.6075807214</v>
      </c>
      <c r="N36" s="29">
        <f t="shared" ref="N36:P36" si="17">N33+N34-N35</f>
        <v>9442840.4741216972</v>
      </c>
      <c r="O36" s="29">
        <f t="shared" si="17"/>
        <v>10375443.1946021</v>
      </c>
      <c r="P36" s="29">
        <f t="shared" si="17"/>
        <v>11220195.102147816</v>
      </c>
      <c r="Q36" s="4"/>
      <c r="R36" s="3"/>
      <c r="S36" s="4"/>
      <c r="T36" s="4"/>
      <c r="U36" s="3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</row>
    <row r="37" spans="1:190" s="9" customFormat="1" ht="15.75" x14ac:dyDescent="0.25">
      <c r="A37" s="37" t="s">
        <v>45</v>
      </c>
      <c r="B37" s="38" t="s">
        <v>41</v>
      </c>
      <c r="C37" s="39">
        <f>GSVA_cur!C37</f>
        <v>126160</v>
      </c>
      <c r="D37" s="39">
        <f>GSVA_cur!D37</f>
        <v>127440</v>
      </c>
      <c r="E37" s="39">
        <f>GSVA_cur!E37</f>
        <v>128730</v>
      </c>
      <c r="F37" s="39">
        <f>GSVA_cur!F37</f>
        <v>130020</v>
      </c>
      <c r="G37" s="39">
        <f>GSVA_cur!G37</f>
        <v>131300</v>
      </c>
      <c r="H37" s="39">
        <f>GSVA_cur!H37</f>
        <v>132440</v>
      </c>
      <c r="I37" s="39">
        <f>GSVA_cur!I37</f>
        <v>133480</v>
      </c>
      <c r="J37" s="39">
        <f>GSVA_cur!J37</f>
        <v>134530</v>
      </c>
      <c r="K37" s="39">
        <f>GSVA_cur!K37</f>
        <v>132630</v>
      </c>
      <c r="L37" s="39">
        <f>GSVA_cur!L37</f>
        <v>133650</v>
      </c>
      <c r="M37" s="39">
        <f>GSVA_cur!M37</f>
        <v>134650</v>
      </c>
      <c r="N37" s="39">
        <f>GSVA_cur!N37</f>
        <v>135620</v>
      </c>
      <c r="O37" s="39">
        <f>GSVA_cur!O37</f>
        <v>136600</v>
      </c>
      <c r="P37" s="39">
        <f>GSVA_cur!P37</f>
        <v>137580</v>
      </c>
      <c r="Q37" s="2"/>
      <c r="R37" s="1"/>
      <c r="S37" s="2"/>
      <c r="T37" s="2"/>
      <c r="U37" s="1"/>
      <c r="V37" s="1"/>
      <c r="W37" s="1"/>
      <c r="X37" s="1"/>
      <c r="Y37" s="1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</row>
    <row r="38" spans="1:190" s="9" customFormat="1" ht="15.75" x14ac:dyDescent="0.25">
      <c r="A38" s="37" t="s">
        <v>46</v>
      </c>
      <c r="B38" s="38" t="s">
        <v>63</v>
      </c>
      <c r="C38" s="29">
        <f>C36/C37*1000</f>
        <v>51774.831902058635</v>
      </c>
      <c r="D38" s="29">
        <f t="shared" ref="D38:M38" si="18">D36/D37*1000</f>
        <v>52821.376890570784</v>
      </c>
      <c r="E38" s="29">
        <f t="shared" si="18"/>
        <v>54782.975026907559</v>
      </c>
      <c r="F38" s="29">
        <f t="shared" si="18"/>
        <v>51648.794702425599</v>
      </c>
      <c r="G38" s="29">
        <f t="shared" si="18"/>
        <v>61387.898156049938</v>
      </c>
      <c r="H38" s="29">
        <f t="shared" si="18"/>
        <v>62398.00934240286</v>
      </c>
      <c r="I38" s="29">
        <f t="shared" si="18"/>
        <v>65620.829265282082</v>
      </c>
      <c r="J38" s="29">
        <f t="shared" si="18"/>
        <v>69182.949376932418</v>
      </c>
      <c r="K38" s="29">
        <f t="shared" si="18"/>
        <v>68436.604388851323</v>
      </c>
      <c r="L38" s="29">
        <f t="shared" si="18"/>
        <v>65538.699577414052</v>
      </c>
      <c r="M38" s="29">
        <f t="shared" si="18"/>
        <v>66028.656573195112</v>
      </c>
      <c r="N38" s="29">
        <f t="shared" ref="N38:P38" si="19">N36/N37*1000</f>
        <v>69627.197125215287</v>
      </c>
      <c r="O38" s="29">
        <f t="shared" si="19"/>
        <v>75954.928218170578</v>
      </c>
      <c r="P38" s="29">
        <f t="shared" si="19"/>
        <v>81553.969342548458</v>
      </c>
      <c r="Q38" s="2"/>
      <c r="R38" s="1"/>
      <c r="S38" s="2"/>
      <c r="T38" s="2"/>
      <c r="U38" s="3"/>
      <c r="V38" s="3"/>
      <c r="W38" s="3"/>
      <c r="X38" s="3"/>
      <c r="Y38" s="3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BZ38" s="12"/>
      <c r="CA38" s="12"/>
      <c r="CB38" s="12"/>
      <c r="CC38" s="12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</row>
    <row r="39" spans="1:190" x14ac:dyDescent="0.25">
      <c r="A39" s="2" t="s">
        <v>75</v>
      </c>
    </row>
    <row r="40" spans="1:190" x14ac:dyDescent="0.25">
      <c r="A40" s="2" t="s">
        <v>76</v>
      </c>
    </row>
  </sheetData>
  <sheetProtection formatColumns="0" formatRows="0"/>
  <pageMargins left="0.70866141732283505" right="0.70866141732283505" top="0.74803149606299202" bottom="0.74803149606299202" header="0.31496062992126" footer="0.31496062992126"/>
  <pageSetup paperSize="9" scale="10" orientation="landscape" horizontalDpi="4294967295" verticalDpi="4294967295" r:id="rId1"/>
  <colBreaks count="7" manualBreakCount="7">
    <brk id="25" max="1048575" man="1"/>
    <brk id="37" max="1048575" man="1"/>
    <brk id="53" max="1048575" man="1"/>
    <brk id="117" max="95" man="1"/>
    <brk id="153" max="1048575" man="1"/>
    <brk id="177" max="1048575" man="1"/>
    <brk id="185" max="9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GSVA_cur</vt:lpstr>
      <vt:lpstr>GSVA_const</vt:lpstr>
      <vt:lpstr>NSVA_cur</vt:lpstr>
      <vt:lpstr>NSVA_const</vt:lpstr>
      <vt:lpstr>GSVA_const!Print_Titles</vt:lpstr>
      <vt:lpstr>GSVA_cur!Print_Titles</vt:lpstr>
      <vt:lpstr>NSVA_const!Print_Titles</vt:lpstr>
      <vt:lpstr>NSVA_cur!Print_Titles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2025-08-04T05:48:21Z</dcterms:modified>
</cp:coreProperties>
</file>