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EE25755D-694A-4ACD-AF5C-E92F858CB19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6" i="1"/>
  <c r="P12" i="1" s="1"/>
  <c r="P16" i="1"/>
  <c r="P17" i="1"/>
  <c r="P20" i="1"/>
  <c r="P6" i="11"/>
  <c r="P12" i="11" s="1"/>
  <c r="P16" i="11"/>
  <c r="P17" i="11"/>
  <c r="P20" i="11"/>
  <c r="P6" i="12"/>
  <c r="P16" i="12"/>
  <c r="P17" i="12"/>
  <c r="P20" i="12"/>
  <c r="P6" i="10"/>
  <c r="P12" i="10" s="1"/>
  <c r="P16" i="10"/>
  <c r="P17" i="10"/>
  <c r="P20" i="10"/>
  <c r="P32" i="12" l="1"/>
  <c r="P33" i="12"/>
  <c r="P12" i="12"/>
  <c r="P32" i="11"/>
  <c r="P33" i="11"/>
  <c r="P32" i="1"/>
  <c r="P32" i="10"/>
  <c r="P33" i="10"/>
  <c r="P33" i="1"/>
  <c r="O6" i="1"/>
  <c r="O16" i="1"/>
  <c r="O17" i="1"/>
  <c r="O20" i="1"/>
  <c r="O37" i="1"/>
  <c r="O6" i="11"/>
  <c r="O12" i="11" s="1"/>
  <c r="O16" i="11"/>
  <c r="O17" i="11"/>
  <c r="O20" i="11"/>
  <c r="O34" i="11"/>
  <c r="O35" i="11"/>
  <c r="O37" i="11"/>
  <c r="O6" i="12"/>
  <c r="O16" i="12"/>
  <c r="O17" i="12"/>
  <c r="O20" i="12"/>
  <c r="O32" i="12" s="1"/>
  <c r="O34" i="12"/>
  <c r="O35" i="12"/>
  <c r="O37" i="12"/>
  <c r="O6" i="10"/>
  <c r="O12" i="10" s="1"/>
  <c r="O16" i="10"/>
  <c r="O17" i="10"/>
  <c r="O20" i="10"/>
  <c r="O33" i="11" l="1"/>
  <c r="P36" i="12"/>
  <c r="P36" i="11"/>
  <c r="P38" i="12"/>
  <c r="O32" i="1"/>
  <c r="P38" i="11"/>
  <c r="P36" i="10"/>
  <c r="O36" i="11"/>
  <c r="O38" i="11" s="1"/>
  <c r="P36" i="1"/>
  <c r="O33" i="12"/>
  <c r="O36" i="12" s="1"/>
  <c r="O12" i="12"/>
  <c r="O32" i="11"/>
  <c r="O33" i="1"/>
  <c r="O12" i="1"/>
  <c r="O32" i="10"/>
  <c r="O33" i="10"/>
  <c r="O36" i="10" s="1"/>
  <c r="P38" i="10" l="1"/>
  <c r="O36" i="1"/>
  <c r="O38" i="1" s="1"/>
  <c r="P38" i="1"/>
  <c r="O38" i="12"/>
  <c r="I2" i="1"/>
  <c r="I2" i="11"/>
  <c r="I2" i="12"/>
  <c r="I2" i="10"/>
  <c r="O38" i="10" l="1"/>
  <c r="N34" i="12" l="1"/>
  <c r="N35" i="12"/>
  <c r="N37" i="12"/>
  <c r="N17" i="12"/>
  <c r="N34" i="11"/>
  <c r="N35" i="11"/>
  <c r="N37" i="11"/>
  <c r="N17" i="11"/>
  <c r="N37" i="1"/>
  <c r="N17" i="1"/>
  <c r="N17" i="10"/>
  <c r="N20" i="1"/>
  <c r="N20" i="11"/>
  <c r="N20" i="12"/>
  <c r="N20" i="10"/>
  <c r="N16" i="1"/>
  <c r="N16" i="11"/>
  <c r="N16" i="12"/>
  <c r="N16" i="10"/>
  <c r="N6" i="1"/>
  <c r="N6" i="11"/>
  <c r="N6" i="12"/>
  <c r="N6" i="10"/>
  <c r="N32" i="12" l="1"/>
  <c r="N12" i="12"/>
  <c r="N32" i="11"/>
  <c r="N12" i="1"/>
  <c r="N12" i="10"/>
  <c r="N33" i="10"/>
  <c r="N36" i="10" s="1"/>
  <c r="N33" i="12"/>
  <c r="N36" i="12" s="1"/>
  <c r="N12" i="11"/>
  <c r="N33" i="11"/>
  <c r="N36" i="11" s="1"/>
  <c r="N32" i="1"/>
  <c r="N33" i="1"/>
  <c r="N32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D37" i="1"/>
  <c r="E37" i="1"/>
  <c r="F37" i="1"/>
  <c r="G37" i="1"/>
  <c r="H37" i="1"/>
  <c r="I37" i="1"/>
  <c r="J37" i="1"/>
  <c r="K37" i="1"/>
  <c r="L37" i="1"/>
  <c r="M37" i="1"/>
  <c r="N38" i="11" l="1"/>
  <c r="N36" i="1"/>
  <c r="M20" i="1"/>
  <c r="M20" i="11"/>
  <c r="M20" i="12"/>
  <c r="M20" i="10"/>
  <c r="M17" i="1"/>
  <c r="M17" i="11"/>
  <c r="M17" i="12"/>
  <c r="M17" i="10"/>
  <c r="M16" i="1"/>
  <c r="M16" i="11"/>
  <c r="M16" i="12"/>
  <c r="M16" i="10"/>
  <c r="M6" i="1"/>
  <c r="M6" i="11"/>
  <c r="M6" i="12"/>
  <c r="M6" i="10"/>
  <c r="N38" i="12" l="1"/>
  <c r="N38" i="10"/>
  <c r="M12" i="10"/>
  <c r="M32" i="12"/>
  <c r="M33" i="12"/>
  <c r="M36" i="12" s="1"/>
  <c r="N38" i="1"/>
  <c r="M12" i="12"/>
  <c r="M33" i="11"/>
  <c r="M36" i="11" s="1"/>
  <c r="M32" i="11"/>
  <c r="M12" i="11"/>
  <c r="M32" i="1"/>
  <c r="M33" i="1"/>
  <c r="M12" i="1"/>
  <c r="M32" i="10"/>
  <c r="M33" i="10"/>
  <c r="M36" i="10" s="1"/>
  <c r="M38" i="11" l="1"/>
  <c r="M36" i="1"/>
  <c r="M38" i="12"/>
  <c r="L20" i="1"/>
  <c r="L20" i="11"/>
  <c r="L20" i="12"/>
  <c r="L20" i="10"/>
  <c r="L16" i="1"/>
  <c r="L17" i="1"/>
  <c r="L16" i="11"/>
  <c r="L17" i="11"/>
  <c r="L16" i="12"/>
  <c r="L17" i="12"/>
  <c r="L16" i="10"/>
  <c r="L17" i="10"/>
  <c r="L6" i="1"/>
  <c r="L6" i="11"/>
  <c r="L6" i="12"/>
  <c r="L6" i="10"/>
  <c r="M38" i="1" l="1"/>
  <c r="L32" i="12"/>
  <c r="M38" i="10"/>
  <c r="L33" i="12"/>
  <c r="L36" i="12" s="1"/>
  <c r="L12" i="10"/>
  <c r="L12" i="11"/>
  <c r="L33" i="11"/>
  <c r="L36" i="11" s="1"/>
  <c r="L33" i="1"/>
  <c r="L12" i="1"/>
  <c r="L32" i="11"/>
  <c r="L32" i="1"/>
  <c r="L33" i="10"/>
  <c r="L12" i="12"/>
  <c r="L32" i="10"/>
  <c r="C35" i="12"/>
  <c r="C34" i="12"/>
  <c r="C35" i="11"/>
  <c r="D17" i="11"/>
  <c r="E17" i="11"/>
  <c r="F17" i="11"/>
  <c r="G17" i="11"/>
  <c r="H17" i="11"/>
  <c r="I17" i="11"/>
  <c r="J17" i="11"/>
  <c r="K17" i="11"/>
  <c r="D16" i="11"/>
  <c r="E16" i="11"/>
  <c r="F16" i="11"/>
  <c r="G16" i="11"/>
  <c r="H16" i="11"/>
  <c r="I16" i="11"/>
  <c r="J16" i="11"/>
  <c r="K16" i="11"/>
  <c r="K6" i="11"/>
  <c r="K12" i="11" s="1"/>
  <c r="D6" i="11"/>
  <c r="D12" i="11" s="1"/>
  <c r="E6" i="11"/>
  <c r="F6" i="11"/>
  <c r="G6" i="11"/>
  <c r="G12" i="11" s="1"/>
  <c r="H6" i="11"/>
  <c r="H12" i="11" s="1"/>
  <c r="I6" i="11"/>
  <c r="I12" i="11" s="1"/>
  <c r="J6" i="11"/>
  <c r="C34" i="11"/>
  <c r="D20" i="10"/>
  <c r="E20" i="10"/>
  <c r="F20" i="10"/>
  <c r="G20" i="10"/>
  <c r="H20" i="10"/>
  <c r="I20" i="10"/>
  <c r="J20" i="10"/>
  <c r="K20" i="10"/>
  <c r="L36" i="10" l="1"/>
  <c r="L38" i="12"/>
  <c r="L38" i="11"/>
  <c r="L36" i="1"/>
  <c r="J12" i="11"/>
  <c r="F12" i="11"/>
  <c r="E12" i="11"/>
  <c r="C37" i="11"/>
  <c r="L38" i="1" l="1"/>
  <c r="L38" i="10"/>
  <c r="C37" i="1"/>
  <c r="I20" i="1" l="1"/>
  <c r="J20" i="1"/>
  <c r="K20" i="1"/>
  <c r="I20" i="11"/>
  <c r="J20" i="11"/>
  <c r="K20" i="11"/>
  <c r="I20" i="12"/>
  <c r="J20" i="12"/>
  <c r="K20" i="12"/>
  <c r="I17" i="1"/>
  <c r="J17" i="1"/>
  <c r="K17" i="1"/>
  <c r="I17" i="12"/>
  <c r="J17" i="12"/>
  <c r="K17" i="12"/>
  <c r="I17" i="10"/>
  <c r="J17" i="10"/>
  <c r="K17" i="10"/>
  <c r="I16" i="1"/>
  <c r="J16" i="1"/>
  <c r="K16" i="1"/>
  <c r="I16" i="12"/>
  <c r="J16" i="12"/>
  <c r="K16" i="12"/>
  <c r="I16" i="10"/>
  <c r="J16" i="10"/>
  <c r="K16" i="10"/>
  <c r="I6" i="1"/>
  <c r="J6" i="1"/>
  <c r="K6" i="1"/>
  <c r="I6" i="12"/>
  <c r="J6" i="12"/>
  <c r="K6" i="12"/>
  <c r="I6" i="10"/>
  <c r="J6" i="10"/>
  <c r="K6" i="10"/>
  <c r="I33" i="12" l="1"/>
  <c r="J33" i="12"/>
  <c r="K32" i="12"/>
  <c r="K33" i="12"/>
  <c r="J32" i="12"/>
  <c r="I32" i="12"/>
  <c r="I33" i="10"/>
  <c r="I36" i="10" s="1"/>
  <c r="K32" i="10"/>
  <c r="I32" i="10"/>
  <c r="J32" i="10"/>
  <c r="K12" i="1"/>
  <c r="J12" i="1"/>
  <c r="K33" i="11"/>
  <c r="K32" i="11"/>
  <c r="K12" i="10"/>
  <c r="K33" i="10"/>
  <c r="K36" i="10" s="1"/>
  <c r="I12" i="1"/>
  <c r="J33" i="11"/>
  <c r="J32" i="11"/>
  <c r="J33" i="10"/>
  <c r="K12" i="12"/>
  <c r="I33" i="11"/>
  <c r="I32" i="11"/>
  <c r="K32" i="1"/>
  <c r="I32" i="1"/>
  <c r="K33" i="1"/>
  <c r="I12" i="12"/>
  <c r="J12" i="12"/>
  <c r="J32" i="1"/>
  <c r="J33" i="1"/>
  <c r="I33" i="1"/>
  <c r="I12" i="10"/>
  <c r="J12" i="10"/>
  <c r="J36" i="10" l="1"/>
  <c r="I36" i="11"/>
  <c r="I38" i="11" s="1"/>
  <c r="J36" i="11"/>
  <c r="J38" i="11" s="1"/>
  <c r="K36" i="11"/>
  <c r="K38" i="11" s="1"/>
  <c r="K36" i="12"/>
  <c r="K38" i="12" s="1"/>
  <c r="J36" i="12"/>
  <c r="J38" i="12" s="1"/>
  <c r="I36" i="12"/>
  <c r="I38" i="12" s="1"/>
  <c r="I36" i="1"/>
  <c r="I38" i="1" s="1"/>
  <c r="J36" i="1"/>
  <c r="J38" i="1" s="1"/>
  <c r="K36" i="1"/>
  <c r="K38" i="1" s="1"/>
  <c r="J38" i="10" l="1"/>
  <c r="I38" i="10"/>
  <c r="K38" i="10"/>
  <c r="G16" i="10"/>
  <c r="H16" i="10"/>
  <c r="G17" i="10"/>
  <c r="H17" i="10"/>
  <c r="G32" i="10" l="1"/>
  <c r="H32" i="10"/>
  <c r="G20" i="1"/>
  <c r="H20" i="1"/>
  <c r="G20" i="11"/>
  <c r="H20" i="11"/>
  <c r="G20" i="12"/>
  <c r="H20" i="12"/>
  <c r="G17" i="1"/>
  <c r="H17" i="1"/>
  <c r="G17" i="12"/>
  <c r="H17" i="12"/>
  <c r="G16" i="1"/>
  <c r="H16" i="1"/>
  <c r="G16" i="12"/>
  <c r="H16" i="12"/>
  <c r="G6" i="1"/>
  <c r="H6" i="1"/>
  <c r="G6" i="12"/>
  <c r="H6" i="12"/>
  <c r="G6" i="10"/>
  <c r="H6" i="10"/>
  <c r="G32" i="12" l="1"/>
  <c r="H32" i="12"/>
  <c r="H33" i="12"/>
  <c r="G33" i="12"/>
  <c r="G33" i="10"/>
  <c r="G36" i="10" s="1"/>
  <c r="H32" i="11"/>
  <c r="H33" i="11"/>
  <c r="G32" i="11"/>
  <c r="G33" i="11"/>
  <c r="H12" i="1"/>
  <c r="H33" i="10"/>
  <c r="H36" i="10" s="1"/>
  <c r="H32" i="1"/>
  <c r="G12" i="1"/>
  <c r="H33" i="1"/>
  <c r="G32" i="1"/>
  <c r="H12" i="10"/>
  <c r="G12" i="10"/>
  <c r="H12" i="12"/>
  <c r="G12" i="12"/>
  <c r="G33" i="1"/>
  <c r="H36" i="11" l="1"/>
  <c r="H38" i="11" s="1"/>
  <c r="G36" i="11"/>
  <c r="G38" i="11" s="1"/>
  <c r="G36" i="12"/>
  <c r="G38" i="12" s="1"/>
  <c r="H36" i="12"/>
  <c r="H38" i="12" s="1"/>
  <c r="G36" i="1"/>
  <c r="G38" i="1" s="1"/>
  <c r="H36" i="1"/>
  <c r="H38" i="1" s="1"/>
  <c r="G38" i="10" l="1"/>
  <c r="H38" i="10"/>
  <c r="C37" i="12" l="1"/>
  <c r="F20" i="12" l="1"/>
  <c r="E20" i="12"/>
  <c r="D20" i="12"/>
  <c r="C20" i="12"/>
  <c r="F17" i="12"/>
  <c r="F32" i="12" s="1"/>
  <c r="E17" i="12"/>
  <c r="D17" i="12"/>
  <c r="D32" i="12" s="1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C17" i="11"/>
  <c r="C1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F6" i="10"/>
  <c r="C20" i="10"/>
  <c r="E17" i="10"/>
  <c r="D17" i="10"/>
  <c r="C17" i="10"/>
  <c r="E16" i="10"/>
  <c r="D16" i="10"/>
  <c r="C16" i="10"/>
  <c r="E6" i="10"/>
  <c r="D6" i="10"/>
  <c r="C6" i="10"/>
  <c r="E32" i="12" l="1"/>
  <c r="E33" i="12"/>
  <c r="D33" i="12"/>
  <c r="F33" i="12"/>
  <c r="D32" i="11"/>
  <c r="D33" i="11"/>
  <c r="E33" i="11"/>
  <c r="E32" i="11"/>
  <c r="F32" i="11"/>
  <c r="F33" i="11"/>
  <c r="C32" i="10"/>
  <c r="D32" i="10"/>
  <c r="F32" i="10"/>
  <c r="E32" i="10"/>
  <c r="D33" i="10"/>
  <c r="D36" i="10" s="1"/>
  <c r="E33" i="10"/>
  <c r="E36" i="10" s="1"/>
  <c r="F33" i="10"/>
  <c r="F36" i="10" s="1"/>
  <c r="C32" i="11"/>
  <c r="C12" i="1"/>
  <c r="C33" i="12"/>
  <c r="F12" i="1"/>
  <c r="D12" i="1"/>
  <c r="E12" i="1"/>
  <c r="C33" i="1"/>
  <c r="C12" i="10"/>
  <c r="E12" i="12"/>
  <c r="C32" i="12"/>
  <c r="C33" i="11"/>
  <c r="C36" i="11" s="1"/>
  <c r="C32" i="1"/>
  <c r="D33" i="1"/>
  <c r="D32" i="1"/>
  <c r="E33" i="1"/>
  <c r="E32" i="1"/>
  <c r="F32" i="1"/>
  <c r="F33" i="1"/>
  <c r="F12" i="10"/>
  <c r="C12" i="12"/>
  <c r="D12" i="12"/>
  <c r="F12" i="12"/>
  <c r="C12" i="11"/>
  <c r="D12" i="10"/>
  <c r="C33" i="10"/>
  <c r="C36" i="10" s="1"/>
  <c r="E12" i="10"/>
  <c r="F36" i="11" l="1"/>
  <c r="F38" i="11" s="1"/>
  <c r="D36" i="11"/>
  <c r="D38" i="11" s="1"/>
  <c r="E36" i="11"/>
  <c r="E38" i="11" s="1"/>
  <c r="F36" i="12"/>
  <c r="F38" i="12" s="1"/>
  <c r="D36" i="12"/>
  <c r="D38" i="12" s="1"/>
  <c r="E36" i="12"/>
  <c r="E38" i="12" s="1"/>
  <c r="D36" i="1"/>
  <c r="D38" i="1" s="1"/>
  <c r="C36" i="1"/>
  <c r="C36" i="12"/>
  <c r="C38" i="12" s="1"/>
  <c r="F36" i="1"/>
  <c r="F38" i="1" s="1"/>
  <c r="E36" i="1"/>
  <c r="E38" i="1" s="1"/>
  <c r="C38" i="11" l="1"/>
  <c r="C38" i="1"/>
  <c r="D38" i="10"/>
  <c r="C38" i="10"/>
  <c r="F38" i="10"/>
  <c r="E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<sst xmlns="http://schemas.openxmlformats.org/spreadsheetml/2006/main" count="284" uniqueCount="77">
  <si>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</si>
  <si>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</si>
  <si>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</si>
  <si>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</si>
  <si>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</si>
  <si>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</si>
  <si>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</si>
  <si>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</si>
  <si>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</si>
  <si>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</si>
  <si>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</si>
  <si>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</si>
  <si>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</si>
  <si>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</si>
  <si>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</si>
  <si>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</si>
  <si>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</si>
  <si>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</si>
  <si>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</si>
  <si>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</si>
  <si>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</si>
  <si>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</si>
  <si>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</si>
  <si>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</si>
  <si>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</si>
  <si>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</si>
  <si>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</si>
  <si>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</si>
  <si>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</si>
  <si>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</si>
  <si>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</si>
  <si>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</si>
  <si>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</si>
  <si>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</si>
  <si>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</si>
  <si>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</si>
  <si>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</si>
  <si>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</si>
  <si>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</si>
  <si>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</si>
  <si>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</si>
  <si>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</si>
  <si>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</si>
  <si>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</si>
  <si>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</si>
  <si>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</si>
  <si>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</si>
  <si>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</si>
  <si>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</si>
  <si>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</si>
  <si>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</si>
  <si>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</si>
  <si>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</si>
  <si>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</si>
  <si>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</si>
  <si>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</si>
  <si>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</si>
  <si>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</si>
  <si>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</si>
  <si>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</si>
  <si>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</si>
  <si>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</si>
  <si>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</si>
  <si>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</si>
  <si>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</si>
  <si>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</si>
  <si>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Haryana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</si>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</sst>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3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9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1" fontId="4" fillId="0" borderId="2" xfId="11" applyNumberFormat="1" applyBorder="1" applyAlignment="1">
      <alignment horizontal="right" vertical="center"/>
    </xf>
    <xf numFmtId="1" fontId="17" fillId="0" borderId="2" xfId="11" applyNumberFormat="1" applyFont="1" applyBorder="1" applyAlignment="1">
      <alignment horizontal="right" vertical="center"/>
    </xf>
    <xf numFmtId="1" fontId="7" fillId="3" borderId="2" xfId="0" applyNumberFormat="1" applyFont="1" applyFill="1" applyBorder="1" applyProtection="1">
      <protection locked="0"/>
    </xf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0" xfId="0" applyNumberFormat="1" applyFont="1" applyFill="1" applyProtection="1">
      <protection locked="0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</cellXfs>
  <cellStyles count="533">
    <cellStyle name="Comma 2" xfId="15" xr:uid="{00000000-0005-0000-0000-000000000000}"/>
    <cellStyle name="Comma 2 2" xfId="528" xr:uid="{00000000-0005-0000-0000-000001000000}"/>
    <cellStyle name="Comma 2 2 2" xfId="532" xr:uid="{5C05C205-860A-457F-B6DB-A520BAF821BF}"/>
    <cellStyle name="Comma 2 3" xfId="531" xr:uid="{9DFFB5DA-A7EC-4D8B-96F3-D6694B948E6A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rmal 6 2" xfId="530" xr:uid="{1837A684-55F5-4CAA-81C1-F9E178DA17ED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91" zoomScaleNormal="91" zoomScaleSheetLayoutView="100" workbookViewId="0">
      <pane xSplit="2" ySplit="5" topLeftCell="C6" activePane="bottomRight" state="frozen"/>
      <selection activeCell="A40" sqref="A40"/>
      <selection pane="topRight" activeCell="A40" sqref="A40"/>
      <selection pane="bottomLeft" activeCell="A40" sqref="A40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9" width="10.7109375" style="2" customWidth="1"/>
    <col min="10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48</v>
      </c>
      <c r="I2" s="2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57</v>
      </c>
      <c r="G4" s="8"/>
      <c r="H4" s="8"/>
      <c r="I4" s="8"/>
    </row>
    <row r="5" spans="1:194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1" t="s">
        <v>65</v>
      </c>
      <c r="H5" s="11" t="s">
        <v>67</v>
      </c>
      <c r="I5" s="11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94" s="29" customFormat="1" ht="15.75" x14ac:dyDescent="0.25">
      <c r="A6" s="25" t="s">
        <v>26</v>
      </c>
      <c r="B6" s="26" t="s">
        <v>2</v>
      </c>
      <c r="C6" s="27">
        <f>SUM(C7:C10)</f>
        <v>6453885.9161639847</v>
      </c>
      <c r="D6" s="27">
        <f t="shared" ref="D6:E6" si="0">SUM(D7:D10)</f>
        <v>7150665.8050115863</v>
      </c>
      <c r="E6" s="27">
        <f t="shared" si="0"/>
        <v>7929913.8297714889</v>
      </c>
      <c r="F6" s="27">
        <f t="shared" ref="F6:N6" si="1">SUM(F7:F10)</f>
        <v>8020425.9324453343</v>
      </c>
      <c r="G6" s="27">
        <f t="shared" si="1"/>
        <v>8463288.4624519963</v>
      </c>
      <c r="H6" s="27">
        <f t="shared" si="1"/>
        <v>9436898.1279922277</v>
      </c>
      <c r="I6" s="27">
        <f t="shared" si="1"/>
        <v>10706990.555500792</v>
      </c>
      <c r="J6" s="27">
        <f t="shared" si="1"/>
        <v>12110001.123645823</v>
      </c>
      <c r="K6" s="27">
        <f t="shared" si="1"/>
        <v>13021777.530836856</v>
      </c>
      <c r="L6" s="27">
        <f t="shared" si="1"/>
        <v>13763283.228346372</v>
      </c>
      <c r="M6" s="27">
        <f t="shared" si="1"/>
        <v>14612366.476733904</v>
      </c>
      <c r="N6" s="27">
        <f t="shared" si="1"/>
        <v>15462082.16677833</v>
      </c>
      <c r="O6" s="27">
        <f t="shared" ref="O6:P6" si="2">SUM(O7:O10)</f>
        <v>17180067.159811884</v>
      </c>
      <c r="P6" s="27">
        <f t="shared" si="2"/>
        <v>18885552.884218339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L6" s="30"/>
    </row>
    <row r="7" spans="1:194" ht="15.75" x14ac:dyDescent="0.25">
      <c r="A7" s="16">
        <v>1.1000000000000001</v>
      </c>
      <c r="B7" s="17" t="s">
        <v>59</v>
      </c>
      <c r="C7" s="18">
        <v>4088736.7830160875</v>
      </c>
      <c r="D7" s="18">
        <v>4457600.8233962506</v>
      </c>
      <c r="E7" s="18">
        <v>4951546.5282991584</v>
      </c>
      <c r="F7" s="18">
        <v>4612942.7679068567</v>
      </c>
      <c r="G7" s="18">
        <v>4681637.1623011148</v>
      </c>
      <c r="H7" s="18">
        <v>5436458.534065525</v>
      </c>
      <c r="I7" s="18">
        <v>5922033.0048553478</v>
      </c>
      <c r="J7" s="15">
        <v>6245452.8226145944</v>
      </c>
      <c r="K7" s="15">
        <v>6506204.5209187632</v>
      </c>
      <c r="L7" s="15">
        <v>6964553.0367573407</v>
      </c>
      <c r="M7" s="15">
        <v>7090072.3249044269</v>
      </c>
      <c r="N7" s="15">
        <v>7246958.4191357996</v>
      </c>
      <c r="O7" s="15">
        <v>8253597.2285815878</v>
      </c>
      <c r="P7" s="15">
        <v>8935876.7584939692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16">
        <v>1.2</v>
      </c>
      <c r="B8" s="17" t="s">
        <v>60</v>
      </c>
      <c r="C8" s="18">
        <v>1889816.5808010323</v>
      </c>
      <c r="D8" s="18">
        <v>2160182.7181055048</v>
      </c>
      <c r="E8" s="18">
        <v>2483010.0977105889</v>
      </c>
      <c r="F8" s="18">
        <v>2916659.1353829587</v>
      </c>
      <c r="G8" s="18">
        <v>3286063.3014106746</v>
      </c>
      <c r="H8" s="18">
        <v>3590066.7305111913</v>
      </c>
      <c r="I8" s="18">
        <v>4226312.6477473695</v>
      </c>
      <c r="J8" s="15">
        <v>5230495.901794225</v>
      </c>
      <c r="K8" s="15">
        <v>5887037.5437298203</v>
      </c>
      <c r="L8" s="15">
        <v>6097171.0733877635</v>
      </c>
      <c r="M8" s="15">
        <v>6706806.6807779558</v>
      </c>
      <c r="N8" s="15">
        <v>7263841.6066708332</v>
      </c>
      <c r="O8" s="15">
        <v>7853450.1617190577</v>
      </c>
      <c r="P8" s="15">
        <v>8673300.6789205186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16">
        <v>1.3</v>
      </c>
      <c r="B9" s="17" t="s">
        <v>61</v>
      </c>
      <c r="C9" s="18">
        <v>389489.72434686485</v>
      </c>
      <c r="D9" s="18">
        <v>432560.29670983192</v>
      </c>
      <c r="E9" s="18">
        <v>400345.15591674129</v>
      </c>
      <c r="F9" s="18">
        <v>380743.9692624195</v>
      </c>
      <c r="G9" s="18">
        <v>407805.07651598565</v>
      </c>
      <c r="H9" s="18">
        <v>305097.32173571183</v>
      </c>
      <c r="I9" s="18">
        <v>417789.80781627423</v>
      </c>
      <c r="J9" s="15">
        <v>460957.78792925429</v>
      </c>
      <c r="K9" s="15">
        <v>454853.0382438972</v>
      </c>
      <c r="L9" s="15">
        <v>510260.99235832435</v>
      </c>
      <c r="M9" s="15">
        <v>622113.1271758239</v>
      </c>
      <c r="N9" s="15">
        <v>773819.89115862839</v>
      </c>
      <c r="O9" s="15">
        <v>867330.04008230567</v>
      </c>
      <c r="P9" s="15">
        <v>1013929.3498091842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16">
        <v>1.4</v>
      </c>
      <c r="B10" s="17" t="s">
        <v>62</v>
      </c>
      <c r="C10" s="18">
        <v>85842.827999999994</v>
      </c>
      <c r="D10" s="18">
        <v>100321.96679999999</v>
      </c>
      <c r="E10" s="18">
        <v>95012.047845000008</v>
      </c>
      <c r="F10" s="18">
        <v>110080.0598931</v>
      </c>
      <c r="G10" s="18">
        <v>87782.922224222406</v>
      </c>
      <c r="H10" s="18">
        <v>105275.54167979999</v>
      </c>
      <c r="I10" s="18">
        <v>140855.09508180001</v>
      </c>
      <c r="J10" s="15">
        <v>173094.61130774999</v>
      </c>
      <c r="K10" s="15">
        <v>173682.427944375</v>
      </c>
      <c r="L10" s="15">
        <v>191298.12584294373</v>
      </c>
      <c r="M10" s="15">
        <v>193374.34387569712</v>
      </c>
      <c r="N10" s="15">
        <v>177462.24981306915</v>
      </c>
      <c r="O10" s="15">
        <v>205689.72942893134</v>
      </c>
      <c r="P10" s="15">
        <v>262446.09699466545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19" t="s">
        <v>31</v>
      </c>
      <c r="B11" s="17" t="s">
        <v>3</v>
      </c>
      <c r="C11" s="18">
        <v>11882.238518400001</v>
      </c>
      <c r="D11" s="18">
        <v>10013.061924480002</v>
      </c>
      <c r="E11" s="18">
        <v>30642.803642879993</v>
      </c>
      <c r="F11" s="18">
        <v>35387.526810589508</v>
      </c>
      <c r="G11" s="18">
        <v>63703.918790338175</v>
      </c>
      <c r="H11" s="18">
        <v>106743.13778464614</v>
      </c>
      <c r="I11" s="18">
        <v>106155.76674387335</v>
      </c>
      <c r="J11" s="15">
        <v>87090.91869438703</v>
      </c>
      <c r="K11" s="15">
        <v>146256.72154100335</v>
      </c>
      <c r="L11" s="15">
        <v>128755.3245830833</v>
      </c>
      <c r="M11" s="15">
        <v>103057.92009072265</v>
      </c>
      <c r="N11" s="15">
        <v>142705.1182452564</v>
      </c>
      <c r="O11" s="15">
        <v>154058.98779856041</v>
      </c>
      <c r="P11" s="15">
        <v>168823.16381356629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30" customFormat="1" ht="15.75" x14ac:dyDescent="0.25">
      <c r="A12" s="31"/>
      <c r="B12" s="32" t="s">
        <v>28</v>
      </c>
      <c r="C12" s="24">
        <f>C6+C11</f>
        <v>6465768.1546823848</v>
      </c>
      <c r="D12" s="24">
        <f t="shared" ref="D12:E12" si="3">D6+D11</f>
        <v>7160678.8669360662</v>
      </c>
      <c r="E12" s="24">
        <f t="shared" si="3"/>
        <v>7960556.6334143691</v>
      </c>
      <c r="F12" s="24">
        <f t="shared" ref="F12:N12" si="4">F6+F11</f>
        <v>8055813.4592559235</v>
      </c>
      <c r="G12" s="24">
        <f t="shared" si="4"/>
        <v>8526992.3812423348</v>
      </c>
      <c r="H12" s="24">
        <f t="shared" si="4"/>
        <v>9543641.2657768745</v>
      </c>
      <c r="I12" s="24">
        <f t="shared" si="4"/>
        <v>10813146.322244667</v>
      </c>
      <c r="J12" s="24">
        <f t="shared" si="4"/>
        <v>12197092.04234021</v>
      </c>
      <c r="K12" s="24">
        <f t="shared" si="4"/>
        <v>13168034.25237786</v>
      </c>
      <c r="L12" s="24">
        <f t="shared" si="4"/>
        <v>13892038.552929455</v>
      </c>
      <c r="M12" s="24">
        <f t="shared" si="4"/>
        <v>14715424.396824626</v>
      </c>
      <c r="N12" s="24">
        <f t="shared" si="4"/>
        <v>15604787.285023587</v>
      </c>
      <c r="O12" s="24">
        <f t="shared" ref="O12:P12" si="5">O6+O11</f>
        <v>17334126.147610445</v>
      </c>
      <c r="P12" s="24">
        <f t="shared" si="5"/>
        <v>19054376.048031904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29"/>
      <c r="GJ12" s="29"/>
      <c r="GK12" s="29"/>
    </row>
    <row r="13" spans="1:194" s="1" customFormat="1" ht="15.75" x14ac:dyDescent="0.25">
      <c r="A13" s="13" t="s">
        <v>32</v>
      </c>
      <c r="B13" s="14" t="s">
        <v>4</v>
      </c>
      <c r="C13" s="15">
        <v>5328609.1896071015</v>
      </c>
      <c r="D13" s="15">
        <v>6663757.0575827733</v>
      </c>
      <c r="E13" s="15">
        <v>7386437.3955259742</v>
      </c>
      <c r="F13" s="15">
        <v>7970167.2942825044</v>
      </c>
      <c r="G13" s="15">
        <v>8840035.1500081532</v>
      </c>
      <c r="H13" s="15">
        <v>10041053.897951068</v>
      </c>
      <c r="I13" s="15">
        <v>10997544.527289569</v>
      </c>
      <c r="J13" s="15">
        <v>13204171.804608271</v>
      </c>
      <c r="K13" s="15">
        <v>12861903.889230041</v>
      </c>
      <c r="L13" s="15">
        <v>12441488.666635308</v>
      </c>
      <c r="M13" s="15">
        <v>15507315.38533254</v>
      </c>
      <c r="N13" s="15">
        <v>16122976.70302034</v>
      </c>
      <c r="O13" s="15">
        <v>16950293.126617771</v>
      </c>
      <c r="P13" s="15">
        <v>18165164.792928003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19" t="s">
        <v>33</v>
      </c>
      <c r="B14" s="17" t="s">
        <v>5</v>
      </c>
      <c r="C14" s="18">
        <v>344603.77023444982</v>
      </c>
      <c r="D14" s="18">
        <v>647541.9721471793</v>
      </c>
      <c r="E14" s="18">
        <v>990051.6804766506</v>
      </c>
      <c r="F14" s="18">
        <v>1124055.1236999999</v>
      </c>
      <c r="G14" s="18">
        <v>1421008.5681</v>
      </c>
      <c r="H14" s="18">
        <v>1478584.56</v>
      </c>
      <c r="I14" s="18">
        <v>1825290.1304000004</v>
      </c>
      <c r="J14" s="15">
        <v>1827207.9417028453</v>
      </c>
      <c r="K14" s="15">
        <v>1662234.6824138172</v>
      </c>
      <c r="L14" s="15">
        <v>1603622.1751921263</v>
      </c>
      <c r="M14" s="15">
        <v>1794198.3283491125</v>
      </c>
      <c r="N14" s="15">
        <v>1907072.5956861028</v>
      </c>
      <c r="O14" s="15">
        <v>2028899.5149275782</v>
      </c>
      <c r="P14" s="15">
        <v>2174696.8118840046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19" t="s">
        <v>34</v>
      </c>
      <c r="B15" s="17" t="s">
        <v>6</v>
      </c>
      <c r="C15" s="18">
        <v>2975965.8934830818</v>
      </c>
      <c r="D15" s="18">
        <v>3042391.4295434151</v>
      </c>
      <c r="E15" s="18">
        <v>3571935.7467815629</v>
      </c>
      <c r="F15" s="18">
        <v>3662084.6410700739</v>
      </c>
      <c r="G15" s="18">
        <v>3608445.5840940997</v>
      </c>
      <c r="H15" s="18">
        <v>3935573.7010887535</v>
      </c>
      <c r="I15" s="18">
        <v>4278155.2796780057</v>
      </c>
      <c r="J15" s="15">
        <v>4903022.6732866345</v>
      </c>
      <c r="K15" s="15">
        <v>4986083.6398820039</v>
      </c>
      <c r="L15" s="15">
        <v>4812867.6796459937</v>
      </c>
      <c r="M15" s="15">
        <v>6880159.3886427321</v>
      </c>
      <c r="N15" s="15">
        <v>8012140.767570802</v>
      </c>
      <c r="O15" s="15">
        <v>8875970.276774887</v>
      </c>
      <c r="P15" s="15">
        <v>9812033.1764589455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30" customFormat="1" ht="15.75" x14ac:dyDescent="0.25">
      <c r="A16" s="31"/>
      <c r="B16" s="32" t="s">
        <v>29</v>
      </c>
      <c r="C16" s="24">
        <f>+C13+C14+C15</f>
        <v>8649178.8533246331</v>
      </c>
      <c r="D16" s="24">
        <f t="shared" ref="D16:E16" si="6">+D13+D14+D15</f>
        <v>10353690.459273368</v>
      </c>
      <c r="E16" s="24">
        <f t="shared" si="6"/>
        <v>11948424.822784187</v>
      </c>
      <c r="F16" s="24">
        <f t="shared" ref="F16:K16" si="7">+F13+F14+F15</f>
        <v>12756307.059052577</v>
      </c>
      <c r="G16" s="24">
        <f t="shared" si="7"/>
        <v>13869489.302202253</v>
      </c>
      <c r="H16" s="24">
        <f t="shared" si="7"/>
        <v>15455212.159039821</v>
      </c>
      <c r="I16" s="24">
        <f t="shared" si="7"/>
        <v>17100989.937367573</v>
      </c>
      <c r="J16" s="24">
        <f t="shared" si="7"/>
        <v>19934402.419597749</v>
      </c>
      <c r="K16" s="24">
        <f t="shared" si="7"/>
        <v>19510222.211525861</v>
      </c>
      <c r="L16" s="24">
        <f t="shared" ref="L16:N16" si="8">+L13+L14+L15</f>
        <v>18857978.52147343</v>
      </c>
      <c r="M16" s="24">
        <f t="shared" si="8"/>
        <v>24181673.102324385</v>
      </c>
      <c r="N16" s="24">
        <f t="shared" si="8"/>
        <v>26042190.066277243</v>
      </c>
      <c r="O16" s="24">
        <f t="shared" ref="O16:P16" si="9">+O13+O14+O15</f>
        <v>27855162.918320235</v>
      </c>
      <c r="P16" s="24">
        <f t="shared" si="9"/>
        <v>30151894.781270951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28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28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29"/>
      <c r="GJ16" s="29"/>
      <c r="GK16" s="29"/>
    </row>
    <row r="17" spans="1:194" s="29" customFormat="1" ht="15.75" x14ac:dyDescent="0.25">
      <c r="A17" s="25" t="s">
        <v>35</v>
      </c>
      <c r="B17" s="26" t="s">
        <v>7</v>
      </c>
      <c r="C17" s="27">
        <f>C18+C19</f>
        <v>3310741.6177373705</v>
      </c>
      <c r="D17" s="27">
        <f t="shared" ref="D17:E17" si="10">D18+D19</f>
        <v>3881872.4702128046</v>
      </c>
      <c r="E17" s="27">
        <f t="shared" si="10"/>
        <v>4337015.5207000002</v>
      </c>
      <c r="F17" s="27">
        <f t="shared" ref="F17:K17" si="11">F18+F19</f>
        <v>4921821.2225000001</v>
      </c>
      <c r="G17" s="27">
        <f t="shared" si="11"/>
        <v>5527101.5076000001</v>
      </c>
      <c r="H17" s="27">
        <f t="shared" si="11"/>
        <v>6257257.5742000006</v>
      </c>
      <c r="I17" s="27">
        <f t="shared" si="11"/>
        <v>7201830.8372999998</v>
      </c>
      <c r="J17" s="27">
        <f t="shared" si="11"/>
        <v>8295690.6551003736</v>
      </c>
      <c r="K17" s="27">
        <f t="shared" si="11"/>
        <v>9047002.1631444059</v>
      </c>
      <c r="L17" s="27">
        <f t="shared" ref="L17:N17" si="12">L18+L19</f>
        <v>7321418.341860122</v>
      </c>
      <c r="M17" s="27">
        <f t="shared" si="12"/>
        <v>9111250.9659731612</v>
      </c>
      <c r="N17" s="27">
        <f t="shared" si="12"/>
        <v>11104360.43152458</v>
      </c>
      <c r="O17" s="27">
        <f t="shared" ref="O17:P17" si="13">O18+O19</f>
        <v>12186275.722229762</v>
      </c>
      <c r="P17" s="27">
        <f t="shared" si="13"/>
        <v>13484013.485895161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L17" s="30"/>
    </row>
    <row r="18" spans="1:194" ht="15.75" x14ac:dyDescent="0.25">
      <c r="A18" s="16">
        <v>6.1</v>
      </c>
      <c r="B18" s="17" t="s">
        <v>8</v>
      </c>
      <c r="C18" s="18">
        <v>3191526.0362834199</v>
      </c>
      <c r="D18" s="18">
        <v>3750911.1469755042</v>
      </c>
      <c r="E18" s="18">
        <v>4195469.8464000002</v>
      </c>
      <c r="F18" s="18">
        <v>4774377.7039999999</v>
      </c>
      <c r="G18" s="18">
        <v>5366656.6667999998</v>
      </c>
      <c r="H18" s="18">
        <v>6081397.3792000003</v>
      </c>
      <c r="I18" s="18">
        <v>7013409.4139999999</v>
      </c>
      <c r="J18" s="15">
        <v>8085855.2372319009</v>
      </c>
      <c r="K18" s="15">
        <v>8818264.1481553391</v>
      </c>
      <c r="L18" s="15">
        <v>7211469.1750912108</v>
      </c>
      <c r="M18" s="15">
        <v>8945929.5542556774</v>
      </c>
      <c r="N18" s="15">
        <v>10829711.103314044</v>
      </c>
      <c r="O18" s="15">
        <v>11866225.769587163</v>
      </c>
      <c r="P18" s="15">
        <v>13113583.824877243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16">
        <v>6.2</v>
      </c>
      <c r="B19" s="17" t="s">
        <v>9</v>
      </c>
      <c r="C19" s="18">
        <v>119215.58145395068</v>
      </c>
      <c r="D19" s="18">
        <v>130961.3232373005</v>
      </c>
      <c r="E19" s="18">
        <v>141545.67430000001</v>
      </c>
      <c r="F19" s="18">
        <v>147443.51850000001</v>
      </c>
      <c r="G19" s="18">
        <v>160444.84080000001</v>
      </c>
      <c r="H19" s="18">
        <v>175860.19500000001</v>
      </c>
      <c r="I19" s="18">
        <v>188421.42329999999</v>
      </c>
      <c r="J19" s="15">
        <v>209835.41786847298</v>
      </c>
      <c r="K19" s="15">
        <v>228738.01498906713</v>
      </c>
      <c r="L19" s="15">
        <v>109949.16676891087</v>
      </c>
      <c r="M19" s="15">
        <v>165321.41171748418</v>
      </c>
      <c r="N19" s="15">
        <v>274649.32821053674</v>
      </c>
      <c r="O19" s="15">
        <v>320049.9526425986</v>
      </c>
      <c r="P19" s="15">
        <v>370429.66101791791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29" customFormat="1" ht="30" x14ac:dyDescent="0.25">
      <c r="A20" s="34" t="s">
        <v>36</v>
      </c>
      <c r="B20" s="35" t="s">
        <v>10</v>
      </c>
      <c r="C20" s="27">
        <f>SUM(C21:C27)</f>
        <v>1727689.3367471136</v>
      </c>
      <c r="D20" s="27">
        <f t="shared" ref="D20:N20" si="14">SUM(D21:D27)</f>
        <v>1965559.5960316833</v>
      </c>
      <c r="E20" s="27">
        <f t="shared" si="14"/>
        <v>2226171.7695049467</v>
      </c>
      <c r="F20" s="27">
        <f t="shared" si="14"/>
        <v>2513463.0814551255</v>
      </c>
      <c r="G20" s="27">
        <f t="shared" si="14"/>
        <v>2678126.7361485688</v>
      </c>
      <c r="H20" s="27">
        <f t="shared" si="14"/>
        <v>2790245.7204426317</v>
      </c>
      <c r="I20" s="27">
        <f t="shared" si="14"/>
        <v>2859854.3025424834</v>
      </c>
      <c r="J20" s="27">
        <f t="shared" si="14"/>
        <v>3092379.8476808332</v>
      </c>
      <c r="K20" s="27">
        <f t="shared" si="14"/>
        <v>3362704.5311282226</v>
      </c>
      <c r="L20" s="27">
        <f t="shared" si="14"/>
        <v>3255732.4709577877</v>
      </c>
      <c r="M20" s="27">
        <f t="shared" si="14"/>
        <v>4431063.5985301752</v>
      </c>
      <c r="N20" s="27">
        <f t="shared" si="14"/>
        <v>4862088.1982967593</v>
      </c>
      <c r="O20" s="27">
        <f t="shared" ref="O20:P20" si="15">SUM(O21:O27)</f>
        <v>5385044.8592649046</v>
      </c>
      <c r="P20" s="27">
        <f t="shared" si="15"/>
        <v>6062750.7904364215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L20" s="30"/>
    </row>
    <row r="21" spans="1:194" ht="15.75" x14ac:dyDescent="0.25">
      <c r="A21" s="16">
        <v>7.1</v>
      </c>
      <c r="B21" s="17" t="s">
        <v>11</v>
      </c>
      <c r="C21" s="18">
        <v>268949</v>
      </c>
      <c r="D21" s="18">
        <v>333924</v>
      </c>
      <c r="E21" s="18">
        <v>349621</v>
      </c>
      <c r="F21" s="18">
        <v>429758</v>
      </c>
      <c r="G21" s="18">
        <v>439666</v>
      </c>
      <c r="H21" s="18">
        <v>421821</v>
      </c>
      <c r="I21" s="18">
        <v>409102</v>
      </c>
      <c r="J21" s="15">
        <v>382044</v>
      </c>
      <c r="K21" s="15">
        <v>423262</v>
      </c>
      <c r="L21" s="15">
        <v>407530.597611201</v>
      </c>
      <c r="M21" s="15">
        <v>791042.16546567774</v>
      </c>
      <c r="N21" s="15">
        <v>691575.4090953666</v>
      </c>
      <c r="O21" s="15">
        <v>740647.10086078395</v>
      </c>
      <c r="P21" s="15">
        <v>831586.86509842065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16">
        <v>7.2</v>
      </c>
      <c r="B22" s="17" t="s">
        <v>12</v>
      </c>
      <c r="C22" s="18">
        <v>1004451.858848094</v>
      </c>
      <c r="D22" s="18">
        <v>1137034.608339143</v>
      </c>
      <c r="E22" s="18">
        <v>1283656.9868760195</v>
      </c>
      <c r="F22" s="18">
        <v>1448870.3854549185</v>
      </c>
      <c r="G22" s="18">
        <v>1523039.5377186006</v>
      </c>
      <c r="H22" s="18">
        <v>1653134.518791792</v>
      </c>
      <c r="I22" s="18">
        <v>1746610.3487478646</v>
      </c>
      <c r="J22" s="15">
        <v>1925203.6382632433</v>
      </c>
      <c r="K22" s="15">
        <v>2070077.7020049307</v>
      </c>
      <c r="L22" s="15">
        <v>1926348.8491001921</v>
      </c>
      <c r="M22" s="15">
        <v>2525328.8762631309</v>
      </c>
      <c r="N22" s="15">
        <v>2864646.7801879211</v>
      </c>
      <c r="O22" s="15">
        <v>3167508.1533382866</v>
      </c>
      <c r="P22" s="15">
        <v>3556428.1185289952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16">
        <v>7.3</v>
      </c>
      <c r="B23" s="17" t="s">
        <v>13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16">
        <v>7.4</v>
      </c>
      <c r="B24" s="17" t="s">
        <v>14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5">
        <v>0</v>
      </c>
      <c r="K24" s="15">
        <v>0</v>
      </c>
      <c r="L24" s="15">
        <v>1.9995935188716241</v>
      </c>
      <c r="M24" s="15">
        <v>1.5947623174494199</v>
      </c>
      <c r="N24" s="15">
        <v>0.65106552240395277</v>
      </c>
      <c r="O24" s="15">
        <v>0.65168249565220471</v>
      </c>
      <c r="P24" s="15">
        <v>0.65168249565220471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16">
        <v>7.5</v>
      </c>
      <c r="B25" s="17" t="s">
        <v>15</v>
      </c>
      <c r="C25" s="18">
        <v>139221.72746904197</v>
      </c>
      <c r="D25" s="18">
        <v>156962.31126947555</v>
      </c>
      <c r="E25" s="18">
        <v>163773.98872892748</v>
      </c>
      <c r="F25" s="18">
        <v>153026.79910020693</v>
      </c>
      <c r="G25" s="18">
        <v>151873.98212247601</v>
      </c>
      <c r="H25" s="18">
        <v>163735.70163609946</v>
      </c>
      <c r="I25" s="18">
        <v>167390.2654680406</v>
      </c>
      <c r="J25" s="15">
        <v>155617.36960000001</v>
      </c>
      <c r="K25" s="15">
        <v>153891.65465397929</v>
      </c>
      <c r="L25" s="15">
        <v>150876.95304310878</v>
      </c>
      <c r="M25" s="15">
        <v>203252.76962073144</v>
      </c>
      <c r="N25" s="15">
        <v>246163.20313747402</v>
      </c>
      <c r="O25" s="15">
        <v>290533.83502935839</v>
      </c>
      <c r="P25" s="15">
        <v>342629.50932314503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16">
        <v>7.6</v>
      </c>
      <c r="B26" s="17" t="s">
        <v>16</v>
      </c>
      <c r="C26" s="18">
        <v>11954.529576085211</v>
      </c>
      <c r="D26" s="18">
        <v>16530.175999999999</v>
      </c>
      <c r="E26" s="18">
        <v>14378.3616</v>
      </c>
      <c r="F26" s="18">
        <v>15165.770399999999</v>
      </c>
      <c r="G26" s="18">
        <v>10254.868</v>
      </c>
      <c r="H26" s="18">
        <v>12550.588299999999</v>
      </c>
      <c r="I26" s="18">
        <v>22601.047500000001</v>
      </c>
      <c r="J26" s="15">
        <v>26821.211999999996</v>
      </c>
      <c r="K26" s="15">
        <v>33856.451999999997</v>
      </c>
      <c r="L26" s="15">
        <v>34756.643879706782</v>
      </c>
      <c r="M26" s="15">
        <v>24183.385357405281</v>
      </c>
      <c r="N26" s="15">
        <v>31557.335665401901</v>
      </c>
      <c r="O26" s="15">
        <v>29130.449574573475</v>
      </c>
      <c r="P26" s="15">
        <v>32546.833765505216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16">
        <v>7.7</v>
      </c>
      <c r="B27" s="17" t="s">
        <v>17</v>
      </c>
      <c r="C27" s="18">
        <v>303112.2208538925</v>
      </c>
      <c r="D27" s="18">
        <v>321108.50042306463</v>
      </c>
      <c r="E27" s="18">
        <v>414741.43229999999</v>
      </c>
      <c r="F27" s="18">
        <v>466642.12650000001</v>
      </c>
      <c r="G27" s="18">
        <v>553292.34830749221</v>
      </c>
      <c r="H27" s="18">
        <v>539003.91171474056</v>
      </c>
      <c r="I27" s="18">
        <v>514150.64082657883</v>
      </c>
      <c r="J27" s="15">
        <v>602693.62781759049</v>
      </c>
      <c r="K27" s="15">
        <v>681616.72246931226</v>
      </c>
      <c r="L27" s="15">
        <v>736217.42773005995</v>
      </c>
      <c r="M27" s="15">
        <v>887254.80706091272</v>
      </c>
      <c r="N27" s="15">
        <v>1028144.8191450727</v>
      </c>
      <c r="O27" s="15">
        <v>1157224.6687794069</v>
      </c>
      <c r="P27" s="15">
        <v>1299558.8120378591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19" t="s">
        <v>37</v>
      </c>
      <c r="B28" s="17" t="s">
        <v>18</v>
      </c>
      <c r="C28" s="18">
        <v>1165659</v>
      </c>
      <c r="D28" s="18">
        <v>1321389</v>
      </c>
      <c r="E28" s="18">
        <v>1483809</v>
      </c>
      <c r="F28" s="18">
        <v>1677707</v>
      </c>
      <c r="G28" s="18">
        <v>1976589.1114231832</v>
      </c>
      <c r="H28" s="18">
        <v>2166626.9108108953</v>
      </c>
      <c r="I28" s="18">
        <v>1969559.6896304172</v>
      </c>
      <c r="J28" s="15">
        <v>2738078</v>
      </c>
      <c r="K28" s="15">
        <v>2899566.8348089503</v>
      </c>
      <c r="L28" s="15">
        <v>3257944.8105695746</v>
      </c>
      <c r="M28" s="15">
        <v>3502584.3267189031</v>
      </c>
      <c r="N28" s="15">
        <v>4296423.8935999963</v>
      </c>
      <c r="O28" s="15">
        <v>5168597.9440007955</v>
      </c>
      <c r="P28" s="15">
        <v>5933550.4397129128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19" t="s">
        <v>38</v>
      </c>
      <c r="B29" s="17" t="s">
        <v>19</v>
      </c>
      <c r="C29" s="18">
        <v>4092799.5589088933</v>
      </c>
      <c r="D29" s="18">
        <v>5007986.6600703504</v>
      </c>
      <c r="E29" s="18">
        <v>6262213.7650614912</v>
      </c>
      <c r="F29" s="18">
        <v>7007504.9565185849</v>
      </c>
      <c r="G29" s="18">
        <v>7988957.9175000004</v>
      </c>
      <c r="H29" s="18">
        <v>9125227.8728</v>
      </c>
      <c r="I29" s="18">
        <v>10067308.532993289</v>
      </c>
      <c r="J29" s="15">
        <v>11181873.372539969</v>
      </c>
      <c r="K29" s="15">
        <v>12088519.099025445</v>
      </c>
      <c r="L29" s="15">
        <v>12112278.08405585</v>
      </c>
      <c r="M29" s="15">
        <v>14713756.69799028</v>
      </c>
      <c r="N29" s="15">
        <v>17746988.803092845</v>
      </c>
      <c r="O29" s="15">
        <v>20161812.217116069</v>
      </c>
      <c r="P29" s="15">
        <v>22999600.019777607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19" t="s">
        <v>39</v>
      </c>
      <c r="B30" s="17" t="s">
        <v>54</v>
      </c>
      <c r="C30" s="18">
        <v>729813.97006066993</v>
      </c>
      <c r="D30" s="18">
        <v>822186</v>
      </c>
      <c r="E30" s="18">
        <v>885660</v>
      </c>
      <c r="F30" s="18">
        <v>1048596</v>
      </c>
      <c r="G30" s="18">
        <v>1114272</v>
      </c>
      <c r="H30" s="18">
        <v>1224076.0979381485</v>
      </c>
      <c r="I30" s="18">
        <v>1441301</v>
      </c>
      <c r="J30" s="15">
        <v>1541713.1694069433</v>
      </c>
      <c r="K30" s="15">
        <v>1706015.3429408253</v>
      </c>
      <c r="L30" s="15">
        <v>1765726.8921242433</v>
      </c>
      <c r="M30" s="15">
        <v>1978119.0786312986</v>
      </c>
      <c r="N30" s="15">
        <v>2202454.8241610834</v>
      </c>
      <c r="O30" s="15">
        <v>2384389.5209905235</v>
      </c>
      <c r="P30" s="15">
        <v>2587637.1917766579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19" t="s">
        <v>40</v>
      </c>
      <c r="B31" s="17" t="s">
        <v>20</v>
      </c>
      <c r="C31" s="18">
        <v>1265812.4366543719</v>
      </c>
      <c r="D31" s="18">
        <v>1476084.915159496</v>
      </c>
      <c r="E31" s="18">
        <v>1652825.1075127041</v>
      </c>
      <c r="F31" s="18">
        <v>2010214.3559919714</v>
      </c>
      <c r="G31" s="18">
        <v>2251961.9055466177</v>
      </c>
      <c r="H31" s="18">
        <v>2582500.5145233371</v>
      </c>
      <c r="I31" s="18">
        <v>3070028.9199409392</v>
      </c>
      <c r="J31" s="15">
        <v>3403596.4199376395</v>
      </c>
      <c r="K31" s="15">
        <v>3918913.3814366674</v>
      </c>
      <c r="L31" s="15">
        <v>3641070.4154674355</v>
      </c>
      <c r="M31" s="15">
        <v>4179190.2567390907</v>
      </c>
      <c r="N31" s="15">
        <v>4860608.6398610063</v>
      </c>
      <c r="O31" s="15">
        <v>5517997.1527740778</v>
      </c>
      <c r="P31" s="15">
        <v>6378688.8000844307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30" customFormat="1" ht="15.75" x14ac:dyDescent="0.25">
      <c r="A32" s="31"/>
      <c r="B32" s="32" t="s">
        <v>30</v>
      </c>
      <c r="C32" s="24">
        <f>C17+C20+C28+C29+C30+C31</f>
        <v>12292515.920108421</v>
      </c>
      <c r="D32" s="24">
        <f t="shared" ref="D32:K32" si="16">D17+D20+D28+D29+D30+D31</f>
        <v>14475078.641474335</v>
      </c>
      <c r="E32" s="24">
        <f t="shared" si="16"/>
        <v>16847695.162779141</v>
      </c>
      <c r="F32" s="24">
        <f t="shared" si="16"/>
        <v>19179306.616465684</v>
      </c>
      <c r="G32" s="24">
        <f t="shared" si="16"/>
        <v>21537009.178218368</v>
      </c>
      <c r="H32" s="24">
        <f t="shared" si="16"/>
        <v>24145934.690715019</v>
      </c>
      <c r="I32" s="24">
        <f t="shared" si="16"/>
        <v>26609883.282407127</v>
      </c>
      <c r="J32" s="24">
        <f t="shared" si="16"/>
        <v>30253331.464665759</v>
      </c>
      <c r="K32" s="24">
        <f t="shared" si="16"/>
        <v>33022721.352484521</v>
      </c>
      <c r="L32" s="24">
        <f t="shared" ref="L32:M32" si="17">L17+L20+L28+L29+L30+L31</f>
        <v>31354171.015035011</v>
      </c>
      <c r="M32" s="24">
        <f t="shared" si="17"/>
        <v>37915964.924582906</v>
      </c>
      <c r="N32" s="24">
        <f t="shared" ref="N32" si="18">N17+N20+N28+N29+N30+N31</f>
        <v>45072924.79053627</v>
      </c>
      <c r="O32" s="24">
        <f t="shared" ref="O32:P32" si="19">O17+O20+O28+O29+O30+O31</f>
        <v>50804117.416376129</v>
      </c>
      <c r="P32" s="24">
        <f t="shared" si="19"/>
        <v>57446240.727683187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29"/>
      <c r="GJ32" s="29"/>
      <c r="GK32" s="29"/>
    </row>
    <row r="33" spans="1:194" s="29" customFormat="1" ht="15.75" x14ac:dyDescent="0.25">
      <c r="A33" s="25" t="s">
        <v>27</v>
      </c>
      <c r="B33" s="36" t="s">
        <v>41</v>
      </c>
      <c r="C33" s="27">
        <f>C6+C11+C13+C14+C15+C17+C20+C28+C29+C30+C31</f>
        <v>27407462.928115435</v>
      </c>
      <c r="D33" s="27">
        <f t="shared" ref="D33:K33" si="20">D6+D11+D13+D14+D15+D17+D20+D28+D29+D30+D31</f>
        <v>31989447.967683773</v>
      </c>
      <c r="E33" s="27">
        <f t="shared" si="20"/>
        <v>36756676.618977696</v>
      </c>
      <c r="F33" s="27">
        <f t="shared" si="20"/>
        <v>39991427.134774186</v>
      </c>
      <c r="G33" s="27">
        <f t="shared" si="20"/>
        <v>43933490.861662969</v>
      </c>
      <c r="H33" s="27">
        <f t="shared" si="20"/>
        <v>49144788.115531705</v>
      </c>
      <c r="I33" s="27">
        <f t="shared" si="20"/>
        <v>54524019.542019375</v>
      </c>
      <c r="J33" s="27">
        <f t="shared" si="20"/>
        <v>62384825.926603727</v>
      </c>
      <c r="K33" s="27">
        <f t="shared" si="20"/>
        <v>65700977.816388242</v>
      </c>
      <c r="L33" s="27">
        <f t="shared" ref="L33:M33" si="21">L6+L11+L13+L14+L15+L17+L20+L28+L29+L30+L31</f>
        <v>64104188.089437895</v>
      </c>
      <c r="M33" s="27">
        <f t="shared" si="21"/>
        <v>76813062.423731923</v>
      </c>
      <c r="N33" s="27">
        <f t="shared" ref="N33" si="22">N6+N11+N13+N14+N15+N17+N20+N28+N29+N30+N31</f>
        <v>86719902.14183709</v>
      </c>
      <c r="O33" s="27">
        <f t="shared" ref="O33:P33" si="23">O6+O11+O13+O14+O15+O17+O20+O28+O29+O30+O31</f>
        <v>95993406.482306808</v>
      </c>
      <c r="P33" s="27">
        <f t="shared" si="23"/>
        <v>106652511.55698605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L33" s="30"/>
    </row>
    <row r="34" spans="1:194" ht="15.75" x14ac:dyDescent="0.25">
      <c r="A34" s="20" t="s">
        <v>43</v>
      </c>
      <c r="B34" s="21" t="s">
        <v>25</v>
      </c>
      <c r="C34" s="18">
        <v>3321210.1401244281</v>
      </c>
      <c r="D34" s="18">
        <v>3894111.2992424876</v>
      </c>
      <c r="E34" s="18">
        <v>4233416</v>
      </c>
      <c r="F34" s="18">
        <v>4777563.9999999991</v>
      </c>
      <c r="G34" s="18">
        <v>6335000</v>
      </c>
      <c r="H34" s="18">
        <v>7690639</v>
      </c>
      <c r="I34" s="18">
        <v>9974203</v>
      </c>
      <c r="J34" s="15">
        <v>8135198.9999999991</v>
      </c>
      <c r="K34" s="15">
        <v>8775086</v>
      </c>
      <c r="L34" s="15">
        <v>9986400.2455331776</v>
      </c>
      <c r="M34" s="15">
        <v>12181426.936550647</v>
      </c>
      <c r="N34" s="15">
        <v>12570135.510951955</v>
      </c>
      <c r="O34" s="15">
        <v>14447770.764691498</v>
      </c>
      <c r="P34" s="15">
        <v>16854966.639299773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20" t="s">
        <v>44</v>
      </c>
      <c r="B35" s="21" t="s">
        <v>24</v>
      </c>
      <c r="C35" s="18">
        <v>974820.99999999988</v>
      </c>
      <c r="D35" s="18">
        <v>1180357.9999999998</v>
      </c>
      <c r="E35" s="18">
        <v>1063281</v>
      </c>
      <c r="F35" s="18">
        <v>1054520</v>
      </c>
      <c r="G35" s="18">
        <v>718080</v>
      </c>
      <c r="H35" s="18">
        <v>693010</v>
      </c>
      <c r="I35" s="18">
        <v>615015</v>
      </c>
      <c r="J35" s="15">
        <v>626049</v>
      </c>
      <c r="K35" s="15">
        <v>670826</v>
      </c>
      <c r="L35" s="15">
        <v>1046410.9999999999</v>
      </c>
      <c r="M35" s="15">
        <v>1267598</v>
      </c>
      <c r="N35" s="15">
        <v>1816805.0000000002</v>
      </c>
      <c r="O35" s="15">
        <v>1890149.0000000002</v>
      </c>
      <c r="P35" s="15">
        <v>2112374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30" customFormat="1" ht="15.75" x14ac:dyDescent="0.25">
      <c r="A36" s="37" t="s">
        <v>45</v>
      </c>
      <c r="B36" s="38" t="s">
        <v>55</v>
      </c>
      <c r="C36" s="24">
        <f>C33+C34-C35</f>
        <v>29753852.068239864</v>
      </c>
      <c r="D36" s="24">
        <f t="shared" ref="D36:E36" si="24">D33+D34-D35</f>
        <v>34703201.266926259</v>
      </c>
      <c r="E36" s="24">
        <f t="shared" si="24"/>
        <v>39926811.618977696</v>
      </c>
      <c r="F36" s="24">
        <f t="shared" ref="F36:N36" si="25">F33+F34-F35</f>
        <v>43714471.134774186</v>
      </c>
      <c r="G36" s="24">
        <f t="shared" si="25"/>
        <v>49550410.861662969</v>
      </c>
      <c r="H36" s="24">
        <f t="shared" si="25"/>
        <v>56142417.115531705</v>
      </c>
      <c r="I36" s="24">
        <f t="shared" si="25"/>
        <v>63883207.542019375</v>
      </c>
      <c r="J36" s="24">
        <f t="shared" si="25"/>
        <v>69893975.92660372</v>
      </c>
      <c r="K36" s="24">
        <f t="shared" si="25"/>
        <v>73805237.816388249</v>
      </c>
      <c r="L36" s="24">
        <f t="shared" si="25"/>
        <v>73044177.33497107</v>
      </c>
      <c r="M36" s="24">
        <f t="shared" si="25"/>
        <v>87726891.36028257</v>
      </c>
      <c r="N36" s="24">
        <f t="shared" si="25"/>
        <v>97473232.652789041</v>
      </c>
      <c r="O36" s="24">
        <f t="shared" ref="O36:P36" si="26">O33+O34-O35</f>
        <v>108551028.24699831</v>
      </c>
      <c r="P36" s="24">
        <f t="shared" si="26"/>
        <v>121395104.19628581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94" ht="15.75" x14ac:dyDescent="0.25">
      <c r="A37" s="20" t="s">
        <v>46</v>
      </c>
      <c r="B37" s="21" t="s">
        <v>42</v>
      </c>
      <c r="C37" s="18">
        <v>255600</v>
      </c>
      <c r="D37" s="18">
        <v>259220</v>
      </c>
      <c r="E37" s="18">
        <v>262900</v>
      </c>
      <c r="F37" s="18">
        <v>266620</v>
      </c>
      <c r="G37" s="18">
        <v>270400</v>
      </c>
      <c r="H37" s="18">
        <v>274230</v>
      </c>
      <c r="I37" s="18">
        <v>278110</v>
      </c>
      <c r="J37" s="15">
        <v>282060</v>
      </c>
      <c r="K37" s="15">
        <v>286060</v>
      </c>
      <c r="L37" s="15">
        <v>290110</v>
      </c>
      <c r="M37" s="15">
        <v>296950</v>
      </c>
      <c r="N37" s="15">
        <v>300580</v>
      </c>
      <c r="O37" s="15">
        <v>304210</v>
      </c>
      <c r="P37" s="15">
        <v>307850</v>
      </c>
      <c r="Z37" s="1"/>
      <c r="AA37" s="1"/>
      <c r="AB37" s="1"/>
      <c r="AC37" s="1"/>
    </row>
    <row r="38" spans="1:194" s="30" customFormat="1" ht="15.75" x14ac:dyDescent="0.25">
      <c r="A38" s="37" t="s">
        <v>47</v>
      </c>
      <c r="B38" s="38" t="s">
        <v>58</v>
      </c>
      <c r="C38" s="24">
        <f>C36/C37*1000</f>
        <v>116407.87194147051</v>
      </c>
      <c r="D38" s="24">
        <f t="shared" ref="D38:E38" si="27">D36/D37*1000</f>
        <v>133875.47745901652</v>
      </c>
      <c r="E38" s="24">
        <f t="shared" si="27"/>
        <v>151870.71745522134</v>
      </c>
      <c r="F38" s="24">
        <f t="shared" ref="F38:N38" si="28">F36/F37*1000</f>
        <v>163957.95939829791</v>
      </c>
      <c r="G38" s="24">
        <f t="shared" si="28"/>
        <v>183248.56087893111</v>
      </c>
      <c r="H38" s="24">
        <f t="shared" si="28"/>
        <v>204727.48100328815</v>
      </c>
      <c r="I38" s="24">
        <f t="shared" si="28"/>
        <v>229704.82018632692</v>
      </c>
      <c r="J38" s="24">
        <f t="shared" si="28"/>
        <v>247798.25543006352</v>
      </c>
      <c r="K38" s="24">
        <f t="shared" si="28"/>
        <v>258006.14492200327</v>
      </c>
      <c r="L38" s="24">
        <f t="shared" si="28"/>
        <v>251780.97044214632</v>
      </c>
      <c r="M38" s="24">
        <f t="shared" si="28"/>
        <v>295426.47368338972</v>
      </c>
      <c r="N38" s="24">
        <f t="shared" si="28"/>
        <v>324283.82677752693</v>
      </c>
      <c r="O38" s="24">
        <f t="shared" ref="O38:P38" si="29">O36/O37*1000</f>
        <v>356829.25691791298</v>
      </c>
      <c r="P38" s="24">
        <f t="shared" si="29"/>
        <v>394331.99349126458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28"/>
      <c r="CD38" s="33"/>
      <c r="CE38" s="33"/>
      <c r="CF38" s="33"/>
      <c r="CG38" s="33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</row>
    <row r="39" spans="1:19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89" zoomScaleNormal="89" zoomScaleSheetLayoutView="100" workbookViewId="0">
      <pane xSplit="2" ySplit="5" topLeftCell="C15" activePane="bottomRight" state="frozen"/>
      <selection activeCell="R35" sqref="R35"/>
      <selection pane="topRight" activeCell="R35" sqref="R35"/>
      <selection pane="bottomLeft" activeCell="R35" sqref="R35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9" width="11.140625" style="2" customWidth="1"/>
    <col min="10" max="16" width="11.855468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6" t="s">
        <v>66</v>
      </c>
      <c r="T1" s="3"/>
    </row>
    <row r="2" spans="1:190" ht="15.75" x14ac:dyDescent="0.25">
      <c r="A2" s="7" t="s">
        <v>49</v>
      </c>
      <c r="I2" s="2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8"/>
      <c r="F4" s="8" t="s">
        <v>57</v>
      </c>
      <c r="G4" s="8"/>
      <c r="H4" s="8"/>
      <c r="I4" s="8"/>
    </row>
    <row r="5" spans="1:190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1" t="s">
        <v>65</v>
      </c>
      <c r="H5" s="11" t="s">
        <v>67</v>
      </c>
      <c r="I5" s="11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90" s="29" customFormat="1" ht="15.75" x14ac:dyDescent="0.25">
      <c r="A6" s="25" t="s">
        <v>26</v>
      </c>
      <c r="B6" s="26" t="s">
        <v>2</v>
      </c>
      <c r="C6" s="27">
        <f>SUM(C7:C10)</f>
        <v>6453885.9161639884</v>
      </c>
      <c r="D6" s="27">
        <f t="shared" ref="D6:N6" si="0">SUM(D7:D10)</f>
        <v>6326498.7175318152</v>
      </c>
      <c r="E6" s="27">
        <f t="shared" si="0"/>
        <v>6502513.6774224592</v>
      </c>
      <c r="F6" s="27">
        <f t="shared" si="0"/>
        <v>6357661.4306350537</v>
      </c>
      <c r="G6" s="27">
        <f t="shared" si="0"/>
        <v>6602220.6742429063</v>
      </c>
      <c r="H6" s="27">
        <f t="shared" si="0"/>
        <v>7126658.9345758157</v>
      </c>
      <c r="I6" s="27">
        <f t="shared" si="0"/>
        <v>7628998.1825588411</v>
      </c>
      <c r="J6" s="27">
        <f t="shared" si="0"/>
        <v>8300504.0804399978</v>
      </c>
      <c r="K6" s="27">
        <f t="shared" si="0"/>
        <v>8739219.8363046106</v>
      </c>
      <c r="L6" s="27">
        <f t="shared" si="0"/>
        <v>8583447.6790605579</v>
      </c>
      <c r="M6" s="27">
        <f t="shared" si="0"/>
        <v>8531236.9197398257</v>
      </c>
      <c r="N6" s="27">
        <f t="shared" si="0"/>
        <v>8579643.7254429236</v>
      </c>
      <c r="O6" s="27">
        <f t="shared" ref="O6:P6" si="1">SUM(O7:O10)</f>
        <v>9199710.7318769246</v>
      </c>
      <c r="P6" s="27">
        <f t="shared" si="1"/>
        <v>9576715.5369774532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H6" s="30"/>
    </row>
    <row r="7" spans="1:190" ht="15.75" x14ac:dyDescent="0.25">
      <c r="A7" s="16">
        <v>1.1000000000000001</v>
      </c>
      <c r="B7" s="17" t="s">
        <v>59</v>
      </c>
      <c r="C7" s="18">
        <v>4088736.7830160912</v>
      </c>
      <c r="D7" s="18">
        <v>3856332.4116156576</v>
      </c>
      <c r="E7" s="18">
        <v>3915654.3505520737</v>
      </c>
      <c r="F7" s="18">
        <v>3597424.9880235889</v>
      </c>
      <c r="G7" s="18">
        <v>3656572.6593437744</v>
      </c>
      <c r="H7" s="18">
        <v>4080548.1214186861</v>
      </c>
      <c r="I7" s="18">
        <v>4206039.6929763071</v>
      </c>
      <c r="J7" s="15">
        <v>4305592.9293613639</v>
      </c>
      <c r="K7" s="15">
        <v>4307085.135431407</v>
      </c>
      <c r="L7" s="15">
        <v>4285266.9351837635</v>
      </c>
      <c r="M7" s="15">
        <v>4061474.6834649034</v>
      </c>
      <c r="N7" s="15">
        <v>3930211.7681826805</v>
      </c>
      <c r="O7" s="15">
        <v>4383721.6648990829</v>
      </c>
      <c r="P7" s="15">
        <v>4395525.7737310706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16">
        <v>1.2</v>
      </c>
      <c r="B8" s="17" t="s">
        <v>60</v>
      </c>
      <c r="C8" s="18">
        <v>1889816.5808010323</v>
      </c>
      <c r="D8" s="18">
        <v>2002661.3943916804</v>
      </c>
      <c r="E8" s="18">
        <v>2133604.3549278015</v>
      </c>
      <c r="F8" s="18">
        <v>2280448.860514272</v>
      </c>
      <c r="G8" s="18">
        <v>2446892.854283941</v>
      </c>
      <c r="H8" s="18">
        <v>2641091.7124916348</v>
      </c>
      <c r="I8" s="18">
        <v>2928935.5616548578</v>
      </c>
      <c r="J8" s="15">
        <v>3467601.7196029723</v>
      </c>
      <c r="K8" s="15">
        <v>3847627.9768788656</v>
      </c>
      <c r="L8" s="15">
        <v>3704196.7328982502</v>
      </c>
      <c r="M8" s="15">
        <v>3858441.1658213334</v>
      </c>
      <c r="N8" s="15">
        <v>4004844.7826455822</v>
      </c>
      <c r="O8" s="15">
        <v>4129019.2251400542</v>
      </c>
      <c r="P8" s="15">
        <v>4449476.1428767452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16">
        <v>1.3</v>
      </c>
      <c r="B9" s="17" t="s">
        <v>61</v>
      </c>
      <c r="C9" s="18">
        <v>389489.72434686485</v>
      </c>
      <c r="D9" s="18">
        <v>377216.10475156963</v>
      </c>
      <c r="E9" s="18">
        <v>367744.88639198139</v>
      </c>
      <c r="F9" s="18">
        <v>389723.56295548048</v>
      </c>
      <c r="G9" s="18">
        <v>398437.94078551471</v>
      </c>
      <c r="H9" s="18">
        <v>287182.1118001212</v>
      </c>
      <c r="I9" s="18">
        <v>337228.69141143764</v>
      </c>
      <c r="J9" s="15">
        <v>373575.09311135754</v>
      </c>
      <c r="K9" s="15">
        <v>428689.24664675142</v>
      </c>
      <c r="L9" s="15">
        <v>423386.17149303557</v>
      </c>
      <c r="M9" s="15">
        <v>438742.91591101128</v>
      </c>
      <c r="N9" s="15">
        <v>467121.52822338237</v>
      </c>
      <c r="O9" s="15">
        <v>504090.75320856716</v>
      </c>
      <c r="P9" s="15">
        <v>535668.01063499961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16">
        <v>1.4</v>
      </c>
      <c r="B10" s="17" t="s">
        <v>62</v>
      </c>
      <c r="C10" s="18">
        <v>85842.827999999994</v>
      </c>
      <c r="D10" s="18">
        <v>90288.80677290837</v>
      </c>
      <c r="E10" s="18">
        <v>85510.085550602525</v>
      </c>
      <c r="F10" s="18">
        <v>90064.019141713521</v>
      </c>
      <c r="G10" s="18">
        <v>100317.21982967542</v>
      </c>
      <c r="H10" s="18">
        <v>117836.98886537377</v>
      </c>
      <c r="I10" s="18">
        <v>156794.23651623781</v>
      </c>
      <c r="J10" s="15">
        <v>153734.33836430445</v>
      </c>
      <c r="K10" s="15">
        <v>155817.47734758645</v>
      </c>
      <c r="L10" s="15">
        <v>170597.83948550938</v>
      </c>
      <c r="M10" s="15">
        <v>172578.1545425778</v>
      </c>
      <c r="N10" s="15">
        <v>177465.64639127898</v>
      </c>
      <c r="O10" s="15">
        <v>182879.08862922149</v>
      </c>
      <c r="P10" s="15">
        <v>196045.60973463795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19" t="s">
        <v>31</v>
      </c>
      <c r="B11" s="17" t="s">
        <v>3</v>
      </c>
      <c r="C11" s="18">
        <v>11882.238518400001</v>
      </c>
      <c r="D11" s="18">
        <v>9193.8106887072554</v>
      </c>
      <c r="E11" s="18">
        <v>27239.627648021924</v>
      </c>
      <c r="F11" s="18">
        <v>33090.425419342355</v>
      </c>
      <c r="G11" s="18">
        <v>69522.860166480474</v>
      </c>
      <c r="H11" s="18">
        <v>119115.44708521591</v>
      </c>
      <c r="I11" s="18">
        <v>108902.9549210582</v>
      </c>
      <c r="J11" s="15">
        <v>77257.069179074853</v>
      </c>
      <c r="K11" s="15">
        <v>131460.60089667406</v>
      </c>
      <c r="L11" s="15">
        <v>118271.125440266</v>
      </c>
      <c r="M11" s="15">
        <v>72546.267398786702</v>
      </c>
      <c r="N11" s="15">
        <v>90961.769863250855</v>
      </c>
      <c r="O11" s="15">
        <v>98979.679492703784</v>
      </c>
      <c r="P11" s="15">
        <v>108800.94487196649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30" customFormat="1" ht="15.75" x14ac:dyDescent="0.25">
      <c r="A12" s="31"/>
      <c r="B12" s="32" t="s">
        <v>28</v>
      </c>
      <c r="C12" s="24">
        <f>C6+C11</f>
        <v>6465768.1546823885</v>
      </c>
      <c r="D12" s="24">
        <f t="shared" ref="D12:N12" si="2">D6+D11</f>
        <v>6335692.5282205222</v>
      </c>
      <c r="E12" s="24">
        <f t="shared" si="2"/>
        <v>6529753.3050704813</v>
      </c>
      <c r="F12" s="24">
        <f t="shared" si="2"/>
        <v>6390751.8560543964</v>
      </c>
      <c r="G12" s="24">
        <f t="shared" si="2"/>
        <v>6671743.534409387</v>
      </c>
      <c r="H12" s="24">
        <f t="shared" si="2"/>
        <v>7245774.3816610314</v>
      </c>
      <c r="I12" s="24">
        <f t="shared" si="2"/>
        <v>7737901.1374798995</v>
      </c>
      <c r="J12" s="24">
        <f t="shared" si="2"/>
        <v>8377761.1496190727</v>
      </c>
      <c r="K12" s="24">
        <f t="shared" si="2"/>
        <v>8870680.4372012839</v>
      </c>
      <c r="L12" s="24">
        <f t="shared" si="2"/>
        <v>8701718.8045008238</v>
      </c>
      <c r="M12" s="24">
        <f t="shared" si="2"/>
        <v>8603783.1871386115</v>
      </c>
      <c r="N12" s="24">
        <f t="shared" si="2"/>
        <v>8670605.4953061752</v>
      </c>
      <c r="O12" s="24">
        <f t="shared" ref="O12:P12" si="3">O6+O11</f>
        <v>9298690.4113696292</v>
      </c>
      <c r="P12" s="24">
        <f t="shared" si="3"/>
        <v>9685516.481849419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29"/>
      <c r="GF12" s="29"/>
      <c r="GG12" s="29"/>
    </row>
    <row r="13" spans="1:190" s="1" customFormat="1" ht="15.75" x14ac:dyDescent="0.25">
      <c r="A13" s="13" t="s">
        <v>32</v>
      </c>
      <c r="B13" s="14" t="s">
        <v>4</v>
      </c>
      <c r="C13" s="23">
        <v>5328609.1896071006</v>
      </c>
      <c r="D13" s="23">
        <v>6331166.1867405297</v>
      </c>
      <c r="E13" s="23">
        <v>6745900.7379387561</v>
      </c>
      <c r="F13" s="23">
        <v>7232084.0279938765</v>
      </c>
      <c r="G13" s="23">
        <v>8493637.7344098296</v>
      </c>
      <c r="H13" s="23">
        <v>9715751.7791364118</v>
      </c>
      <c r="I13" s="23">
        <v>9903140.8070876449</v>
      </c>
      <c r="J13" s="23">
        <v>11452397.59904629</v>
      </c>
      <c r="K13" s="23">
        <v>10923665.377686422</v>
      </c>
      <c r="L13" s="23">
        <v>10376518.275986863</v>
      </c>
      <c r="M13" s="23">
        <v>12029206.233422417</v>
      </c>
      <c r="N13" s="23">
        <v>11673169.584808385</v>
      </c>
      <c r="O13" s="23">
        <v>12361641.338135872</v>
      </c>
      <c r="P13" s="23">
        <v>13186635.062849212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19" t="s">
        <v>33</v>
      </c>
      <c r="B14" s="17" t="s">
        <v>5</v>
      </c>
      <c r="C14" s="23">
        <v>344603.77023444977</v>
      </c>
      <c r="D14" s="23">
        <v>337506.84111893724</v>
      </c>
      <c r="E14" s="23">
        <v>291719.322302863</v>
      </c>
      <c r="F14" s="23">
        <v>326777.07213421038</v>
      </c>
      <c r="G14" s="23">
        <v>296061.39502146665</v>
      </c>
      <c r="H14" s="23">
        <v>356163.6182214616</v>
      </c>
      <c r="I14" s="23">
        <v>443978.52547932032</v>
      </c>
      <c r="J14" s="23">
        <v>423046.7849567245</v>
      </c>
      <c r="K14" s="23">
        <v>471593.48553200241</v>
      </c>
      <c r="L14" s="23">
        <v>415244.51861903269</v>
      </c>
      <c r="M14" s="23">
        <v>475750.72708253819</v>
      </c>
      <c r="N14" s="23">
        <v>549010.93779284391</v>
      </c>
      <c r="O14" s="23">
        <v>607163.1435229145</v>
      </c>
      <c r="P14" s="23">
        <v>708358.0033935454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19" t="s">
        <v>34</v>
      </c>
      <c r="B15" s="17" t="s">
        <v>6</v>
      </c>
      <c r="C15" s="23">
        <v>2975965.8934830818</v>
      </c>
      <c r="D15" s="23">
        <v>2761497.6721345186</v>
      </c>
      <c r="E15" s="23">
        <v>3068675.8511196459</v>
      </c>
      <c r="F15" s="23">
        <v>3014678.1356513822</v>
      </c>
      <c r="G15" s="23">
        <v>2958178.896425765</v>
      </c>
      <c r="H15" s="23">
        <v>3152207.521530231</v>
      </c>
      <c r="I15" s="23">
        <v>3363062.5354390284</v>
      </c>
      <c r="J15" s="23">
        <v>3665232.2547757095</v>
      </c>
      <c r="K15" s="23">
        <v>3707993.7795024533</v>
      </c>
      <c r="L15" s="23">
        <v>3431831.5134264072</v>
      </c>
      <c r="M15" s="23">
        <v>4421113.3341694959</v>
      </c>
      <c r="N15" s="23">
        <v>4811844.5979537945</v>
      </c>
      <c r="O15" s="23">
        <v>5320851.7321937084</v>
      </c>
      <c r="P15" s="23">
        <v>5872443.6451537162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30" customFormat="1" ht="15.75" x14ac:dyDescent="0.25">
      <c r="A16" s="31"/>
      <c r="B16" s="32" t="s">
        <v>29</v>
      </c>
      <c r="C16" s="24">
        <f>+C13+C14+C15</f>
        <v>8649178.8533246331</v>
      </c>
      <c r="D16" s="24">
        <f t="shared" ref="D16:K16" si="4">+D13+D14+D15</f>
        <v>9430170.6999939866</v>
      </c>
      <c r="E16" s="24">
        <f t="shared" si="4"/>
        <v>10106295.911361266</v>
      </c>
      <c r="F16" s="24">
        <f t="shared" si="4"/>
        <v>10573539.23577947</v>
      </c>
      <c r="G16" s="24">
        <f t="shared" si="4"/>
        <v>11747878.025857061</v>
      </c>
      <c r="H16" s="24">
        <f t="shared" si="4"/>
        <v>13224122.918888105</v>
      </c>
      <c r="I16" s="24">
        <f t="shared" si="4"/>
        <v>13710181.868005995</v>
      </c>
      <c r="J16" s="24">
        <f t="shared" si="4"/>
        <v>15540676.638778724</v>
      </c>
      <c r="K16" s="24">
        <f t="shared" si="4"/>
        <v>15103252.642720878</v>
      </c>
      <c r="L16" s="24">
        <f t="shared" ref="L16:N16" si="5">+L13+L14+L15</f>
        <v>14223594.308032304</v>
      </c>
      <c r="M16" s="24">
        <f t="shared" si="5"/>
        <v>16926070.294674449</v>
      </c>
      <c r="N16" s="24">
        <f t="shared" si="5"/>
        <v>17034025.120555021</v>
      </c>
      <c r="O16" s="24">
        <f t="shared" ref="O16:P16" si="6">+O13+O14+O15</f>
        <v>18289656.213852495</v>
      </c>
      <c r="P16" s="24">
        <f t="shared" si="6"/>
        <v>19767436.711396474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28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28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28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29"/>
      <c r="GF16" s="29"/>
      <c r="GG16" s="29"/>
    </row>
    <row r="17" spans="1:190" s="29" customFormat="1" ht="15.75" x14ac:dyDescent="0.25">
      <c r="A17" s="25" t="s">
        <v>35</v>
      </c>
      <c r="B17" s="26" t="s">
        <v>7</v>
      </c>
      <c r="C17" s="27">
        <f>C18+C19</f>
        <v>3310741.617737371</v>
      </c>
      <c r="D17" s="27">
        <f t="shared" ref="D17:K17" si="7">D18+D19</f>
        <v>3623928.6121909963</v>
      </c>
      <c r="E17" s="27">
        <f t="shared" si="7"/>
        <v>3843440.4661615668</v>
      </c>
      <c r="F17" s="27">
        <f t="shared" si="7"/>
        <v>4309744.1106291274</v>
      </c>
      <c r="G17" s="27">
        <f t="shared" si="7"/>
        <v>5032464.7987791523</v>
      </c>
      <c r="H17" s="27">
        <f t="shared" si="7"/>
        <v>5598673.4366213623</v>
      </c>
      <c r="I17" s="27">
        <f t="shared" si="7"/>
        <v>6264536.0859739911</v>
      </c>
      <c r="J17" s="27">
        <f t="shared" si="7"/>
        <v>6927780.0111257723</v>
      </c>
      <c r="K17" s="27">
        <f t="shared" si="7"/>
        <v>7440278.4579740576</v>
      </c>
      <c r="L17" s="27">
        <f t="shared" ref="L17:N17" si="8">L18+L19</f>
        <v>5948636.0576334512</v>
      </c>
      <c r="M17" s="27">
        <f t="shared" si="8"/>
        <v>6538523.1898796503</v>
      </c>
      <c r="N17" s="27">
        <f t="shared" si="8"/>
        <v>7288426.3363480819</v>
      </c>
      <c r="O17" s="27">
        <f t="shared" ref="O17:P17" si="9">O18+O19</f>
        <v>8077333.1398421843</v>
      </c>
      <c r="P17" s="27">
        <f t="shared" si="9"/>
        <v>8766200.612905968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H17" s="30"/>
    </row>
    <row r="18" spans="1:190" ht="15.75" x14ac:dyDescent="0.25">
      <c r="A18" s="16">
        <v>6.1</v>
      </c>
      <c r="B18" s="17" t="s">
        <v>8</v>
      </c>
      <c r="C18" s="23">
        <v>3191526.0362834204</v>
      </c>
      <c r="D18" s="23">
        <v>3501657.2359339516</v>
      </c>
      <c r="E18" s="23">
        <v>3718167.5582116847</v>
      </c>
      <c r="F18" s="23">
        <v>4180797.4059348237</v>
      </c>
      <c r="G18" s="23">
        <v>4886457.8262662869</v>
      </c>
      <c r="H18" s="23">
        <v>5441446.8827354331</v>
      </c>
      <c r="I18" s="23">
        <v>6100681.1128430022</v>
      </c>
      <c r="J18" s="23">
        <v>6752506.3557334458</v>
      </c>
      <c r="K18" s="23">
        <v>7252005.9738651486</v>
      </c>
      <c r="L18" s="23">
        <v>5859133.0660048407</v>
      </c>
      <c r="M18" s="23">
        <v>6419847.3398321951</v>
      </c>
      <c r="N18" s="23">
        <v>7108122.9022280956</v>
      </c>
      <c r="O18" s="23">
        <v>7865052.5749955215</v>
      </c>
      <c r="P18" s="23">
        <v>8525147.1948169973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16">
        <v>6.2</v>
      </c>
      <c r="B19" s="17" t="s">
        <v>9</v>
      </c>
      <c r="C19" s="23">
        <v>119215.58145395068</v>
      </c>
      <c r="D19" s="23">
        <v>122271.37625704495</v>
      </c>
      <c r="E19" s="23">
        <v>125272.90794988188</v>
      </c>
      <c r="F19" s="23">
        <v>128946.70469430392</v>
      </c>
      <c r="G19" s="23">
        <v>146006.97251286506</v>
      </c>
      <c r="H19" s="23">
        <v>157226.55388592961</v>
      </c>
      <c r="I19" s="23">
        <v>163854.97313098924</v>
      </c>
      <c r="J19" s="23">
        <v>175273.65539232607</v>
      </c>
      <c r="K19" s="23">
        <v>188272.4841089088</v>
      </c>
      <c r="L19" s="23">
        <v>89502.991628610762</v>
      </c>
      <c r="M19" s="23">
        <v>118675.85004745491</v>
      </c>
      <c r="N19" s="23">
        <v>180303.43411998599</v>
      </c>
      <c r="O19" s="23">
        <v>212280.56484666286</v>
      </c>
      <c r="P19" s="23">
        <v>241053.4180889705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29" customFormat="1" ht="30" x14ac:dyDescent="0.25">
      <c r="A20" s="34" t="s">
        <v>36</v>
      </c>
      <c r="B20" s="35" t="s">
        <v>10</v>
      </c>
      <c r="C20" s="27">
        <f>SUM(C21:C27)</f>
        <v>1727689.3367471136</v>
      </c>
      <c r="D20" s="27">
        <f t="shared" ref="D20:N20" si="10">SUM(D21:D27)</f>
        <v>1874421.6247176079</v>
      </c>
      <c r="E20" s="27">
        <f t="shared" si="10"/>
        <v>2046979.1889459086</v>
      </c>
      <c r="F20" s="27">
        <f t="shared" si="10"/>
        <v>2293761.2253906899</v>
      </c>
      <c r="G20" s="27">
        <f t="shared" si="10"/>
        <v>2438193.7723567719</v>
      </c>
      <c r="H20" s="27">
        <f t="shared" si="10"/>
        <v>2463192.3207691447</v>
      </c>
      <c r="I20" s="27">
        <f t="shared" si="10"/>
        <v>2470784.882165404</v>
      </c>
      <c r="J20" s="27">
        <f t="shared" si="10"/>
        <v>2541216.2786674076</v>
      </c>
      <c r="K20" s="27">
        <f t="shared" si="10"/>
        <v>2648014.3442131267</v>
      </c>
      <c r="L20" s="27">
        <f t="shared" si="10"/>
        <v>2279169.0361385057</v>
      </c>
      <c r="M20" s="27">
        <f t="shared" si="10"/>
        <v>2822419.550654714</v>
      </c>
      <c r="N20" s="27">
        <f t="shared" si="10"/>
        <v>2940914.088361186</v>
      </c>
      <c r="O20" s="27">
        <f t="shared" ref="O20:P20" si="11">SUM(O21:O27)</f>
        <v>3167708.5286408286</v>
      </c>
      <c r="P20" s="27">
        <f t="shared" si="11"/>
        <v>3463221.1009858144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H20" s="30"/>
    </row>
    <row r="21" spans="1:190" ht="15.75" x14ac:dyDescent="0.25">
      <c r="A21" s="16">
        <v>7.1</v>
      </c>
      <c r="B21" s="17" t="s">
        <v>11</v>
      </c>
      <c r="C21" s="23">
        <v>268949</v>
      </c>
      <c r="D21" s="23">
        <v>318532</v>
      </c>
      <c r="E21" s="23">
        <v>324588</v>
      </c>
      <c r="F21" s="23">
        <v>375196</v>
      </c>
      <c r="G21" s="23">
        <v>374015.23515460617</v>
      </c>
      <c r="H21" s="23">
        <v>324551</v>
      </c>
      <c r="I21" s="23">
        <v>308398.65791260969</v>
      </c>
      <c r="J21" s="23">
        <v>282367.17185045819</v>
      </c>
      <c r="K21" s="23">
        <v>257322.94423217699</v>
      </c>
      <c r="L21" s="23">
        <v>206591.42322681486</v>
      </c>
      <c r="M21" s="23">
        <v>434002.15797109361</v>
      </c>
      <c r="N21" s="23">
        <v>398812.7903754533</v>
      </c>
      <c r="O21" s="23">
        <v>425259.17177262326</v>
      </c>
      <c r="P21" s="23">
        <v>465215.12388987112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16">
        <v>7.2</v>
      </c>
      <c r="B22" s="17" t="s">
        <v>12</v>
      </c>
      <c r="C22" s="23">
        <v>1004451.858848094</v>
      </c>
      <c r="D22" s="23">
        <v>1087091.548484365</v>
      </c>
      <c r="E22" s="23">
        <v>1175327.8629562722</v>
      </c>
      <c r="F22" s="23">
        <v>1312160.0521860835</v>
      </c>
      <c r="G22" s="23">
        <v>1375217.9769758172</v>
      </c>
      <c r="H22" s="23">
        <v>1460437.2074507312</v>
      </c>
      <c r="I22" s="23">
        <v>1511249.9217641582</v>
      </c>
      <c r="J22" s="23">
        <v>1543311.5923475523</v>
      </c>
      <c r="K22" s="23">
        <v>1613474.4238490597</v>
      </c>
      <c r="L22" s="23">
        <v>1328601.2862940368</v>
      </c>
      <c r="M22" s="23">
        <v>1589782.3171778133</v>
      </c>
      <c r="N22" s="23">
        <v>1682958.2931482887</v>
      </c>
      <c r="O22" s="23">
        <v>1803826.2398032418</v>
      </c>
      <c r="P22" s="23">
        <v>1973307.816332177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16">
        <v>7.3</v>
      </c>
      <c r="B23" s="17" t="s">
        <v>13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16">
        <v>7.4</v>
      </c>
      <c r="B24" s="17" t="s">
        <v>14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1.3844103260802449</v>
      </c>
      <c r="M24" s="23">
        <v>1.0120332891875685</v>
      </c>
      <c r="N24" s="23">
        <v>0.38757926990981667</v>
      </c>
      <c r="O24" s="23">
        <v>0.38021482350554026</v>
      </c>
      <c r="P24" s="23">
        <v>0.37092561354996884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15.75" x14ac:dyDescent="0.25">
      <c r="A25" s="16">
        <v>7.5</v>
      </c>
      <c r="B25" s="17" t="s">
        <v>15</v>
      </c>
      <c r="C25" s="23">
        <v>139221.72746904197</v>
      </c>
      <c r="D25" s="23">
        <v>150067.90537436708</v>
      </c>
      <c r="E25" s="23">
        <v>161376.78171281115</v>
      </c>
      <c r="F25" s="23">
        <v>180023.51927593516</v>
      </c>
      <c r="G25" s="23">
        <v>188228.26581653979</v>
      </c>
      <c r="H25" s="23">
        <v>201164.24687824928</v>
      </c>
      <c r="I25" s="23">
        <v>205194.74460095484</v>
      </c>
      <c r="J25" s="23">
        <v>211112.06217414679</v>
      </c>
      <c r="K25" s="23">
        <v>223456.90040729337</v>
      </c>
      <c r="L25" s="23">
        <v>219671.21494535121</v>
      </c>
      <c r="M25" s="23">
        <v>221996.54898519692</v>
      </c>
      <c r="N25" s="23">
        <v>234898.71278893817</v>
      </c>
      <c r="O25" s="23">
        <v>252998.70641597293</v>
      </c>
      <c r="P25" s="23">
        <v>276078.07739191264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16">
        <v>7.6</v>
      </c>
      <c r="B26" s="17" t="s">
        <v>16</v>
      </c>
      <c r="C26" s="23">
        <v>11954.529576085211</v>
      </c>
      <c r="D26" s="23">
        <v>12872.217751484983</v>
      </c>
      <c r="E26" s="23">
        <v>12458.418168964065</v>
      </c>
      <c r="F26" s="23">
        <v>11861.013913812039</v>
      </c>
      <c r="G26" s="23">
        <v>11994.279535248163</v>
      </c>
      <c r="H26" s="23">
        <v>11873.968051804603</v>
      </c>
      <c r="I26" s="23">
        <v>11635.900045465176</v>
      </c>
      <c r="J26" s="23">
        <v>13108.066399632185</v>
      </c>
      <c r="K26" s="23">
        <v>14533.740219297089</v>
      </c>
      <c r="L26" s="23">
        <v>15949.116162613553</v>
      </c>
      <c r="M26" s="23">
        <v>14653.842521727389</v>
      </c>
      <c r="N26" s="23">
        <v>12878.995218860939</v>
      </c>
      <c r="O26" s="23">
        <v>13253.707782762034</v>
      </c>
      <c r="P26" s="23">
        <v>13651.319016244895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16">
        <v>7.7</v>
      </c>
      <c r="B27" s="17" t="s">
        <v>17</v>
      </c>
      <c r="C27" s="23">
        <v>303112.2208538925</v>
      </c>
      <c r="D27" s="23">
        <v>305857.95310739079</v>
      </c>
      <c r="E27" s="23">
        <v>373228.12610786106</v>
      </c>
      <c r="F27" s="23">
        <v>414520.64001485915</v>
      </c>
      <c r="G27" s="23">
        <v>488738.01487456064</v>
      </c>
      <c r="H27" s="23">
        <v>465165.89838835946</v>
      </c>
      <c r="I27" s="23">
        <v>434305.6578422162</v>
      </c>
      <c r="J27" s="23">
        <v>491317.385895618</v>
      </c>
      <c r="K27" s="23">
        <v>539226.33550529974</v>
      </c>
      <c r="L27" s="23">
        <v>508354.61109936284</v>
      </c>
      <c r="M27" s="23">
        <v>561983.67196559347</v>
      </c>
      <c r="N27" s="23">
        <v>611364.90925037465</v>
      </c>
      <c r="O27" s="23">
        <v>672370.32265140477</v>
      </c>
      <c r="P27" s="23">
        <v>734968.39342999517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19" t="s">
        <v>37</v>
      </c>
      <c r="B28" s="17" t="s">
        <v>18</v>
      </c>
      <c r="C28" s="23">
        <v>1165659</v>
      </c>
      <c r="D28" s="23">
        <v>1304010</v>
      </c>
      <c r="E28" s="23">
        <v>1432685</v>
      </c>
      <c r="F28" s="23">
        <v>1591068</v>
      </c>
      <c r="G28" s="23">
        <v>1830994.1746036417</v>
      </c>
      <c r="H28" s="23">
        <v>2010041.9999999998</v>
      </c>
      <c r="I28" s="23">
        <v>1696015.4119302323</v>
      </c>
      <c r="J28" s="23">
        <v>2204257</v>
      </c>
      <c r="K28" s="23">
        <v>2213637.7671370446</v>
      </c>
      <c r="L28" s="23">
        <v>2471996.0544114108</v>
      </c>
      <c r="M28" s="23">
        <v>2481775.4548778734</v>
      </c>
      <c r="N28" s="23">
        <v>2664564.0757326661</v>
      </c>
      <c r="O28" s="23">
        <v>2887058.4632313498</v>
      </c>
      <c r="P28" s="23">
        <v>3087580.3772301092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30" x14ac:dyDescent="0.25">
      <c r="A29" s="19" t="s">
        <v>38</v>
      </c>
      <c r="B29" s="17" t="s">
        <v>19</v>
      </c>
      <c r="C29" s="23">
        <v>4092799.5589088933</v>
      </c>
      <c r="D29" s="23">
        <v>4643551.574861832</v>
      </c>
      <c r="E29" s="23">
        <v>5433987.0646160273</v>
      </c>
      <c r="F29" s="23">
        <v>5811621.3589459304</v>
      </c>
      <c r="G29" s="23">
        <v>6360766.6981342407</v>
      </c>
      <c r="H29" s="23">
        <v>6947017.2862961609</v>
      </c>
      <c r="I29" s="23">
        <v>7323889.8195914375</v>
      </c>
      <c r="J29" s="23">
        <v>7743824.3627735982</v>
      </c>
      <c r="K29" s="23">
        <v>8007876.2794396887</v>
      </c>
      <c r="L29" s="23">
        <v>7502956.7271142881</v>
      </c>
      <c r="M29" s="23">
        <v>8700383.2734584082</v>
      </c>
      <c r="N29" s="23">
        <v>9759689.5602706075</v>
      </c>
      <c r="O29" s="23">
        <v>10441616.806255506</v>
      </c>
      <c r="P29" s="23">
        <v>11341153.391872451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19" t="s">
        <v>39</v>
      </c>
      <c r="B30" s="17" t="s">
        <v>54</v>
      </c>
      <c r="C30" s="23">
        <v>729813.97006066993</v>
      </c>
      <c r="D30" s="23">
        <v>764028.179258305</v>
      </c>
      <c r="E30" s="23">
        <v>768053.44082187128</v>
      </c>
      <c r="F30" s="23">
        <v>865909.49794735573</v>
      </c>
      <c r="G30" s="23">
        <v>892491.42288942204</v>
      </c>
      <c r="H30" s="23">
        <v>946518.03853524965</v>
      </c>
      <c r="I30" s="23">
        <v>1070248.5908023065</v>
      </c>
      <c r="J30" s="23">
        <v>1109381.3164286923</v>
      </c>
      <c r="K30" s="23">
        <v>1181791.4377951389</v>
      </c>
      <c r="L30" s="23">
        <v>1164927.2900995738</v>
      </c>
      <c r="M30" s="23">
        <v>1229768.2298014839</v>
      </c>
      <c r="N30" s="23">
        <v>1277286.3175372446</v>
      </c>
      <c r="O30" s="23">
        <v>1288279.9165334718</v>
      </c>
      <c r="P30" s="23">
        <v>1314876.2805962672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19" t="s">
        <v>40</v>
      </c>
      <c r="B31" s="17" t="s">
        <v>20</v>
      </c>
      <c r="C31" s="23">
        <v>1265812.4366543719</v>
      </c>
      <c r="D31" s="23">
        <v>1384253.3225678336</v>
      </c>
      <c r="E31" s="23">
        <v>1444670.628153366</v>
      </c>
      <c r="F31" s="23">
        <v>1660516.0395427432</v>
      </c>
      <c r="G31" s="23">
        <v>1766267.3782873789</v>
      </c>
      <c r="H31" s="23">
        <v>1925754.0348521888</v>
      </c>
      <c r="I31" s="23">
        <v>2172270.502465989</v>
      </c>
      <c r="J31" s="23">
        <v>2247742.9073270825</v>
      </c>
      <c r="K31" s="23">
        <v>2422787.4174163016</v>
      </c>
      <c r="L31" s="23">
        <v>2096531.4357826181</v>
      </c>
      <c r="M31" s="23">
        <v>2373354.0547533729</v>
      </c>
      <c r="N31" s="23">
        <v>2555428.837915984</v>
      </c>
      <c r="O31" s="23">
        <v>2702504.5617278623</v>
      </c>
      <c r="P31" s="23">
        <v>2983119.6527625965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30" customFormat="1" ht="15.75" x14ac:dyDescent="0.25">
      <c r="A32" s="31"/>
      <c r="B32" s="32" t="s">
        <v>30</v>
      </c>
      <c r="C32" s="24">
        <f>C17+C20+C28+C29+C30+C31</f>
        <v>12292515.920108421</v>
      </c>
      <c r="D32" s="24">
        <f t="shared" ref="D32:F32" si="12">D17+D20+D28+D29+D30+D31</f>
        <v>13594193.313596575</v>
      </c>
      <c r="E32" s="24">
        <f t="shared" si="12"/>
        <v>14969815.78869874</v>
      </c>
      <c r="F32" s="24">
        <f t="shared" si="12"/>
        <v>16532620.232455848</v>
      </c>
      <c r="G32" s="24">
        <f t="shared" ref="G32:K32" si="13">G17+G20+G28+G29+G30+G31</f>
        <v>18321178.245050609</v>
      </c>
      <c r="H32" s="24">
        <f t="shared" si="13"/>
        <v>19891197.117074102</v>
      </c>
      <c r="I32" s="24">
        <f t="shared" si="13"/>
        <v>20997745.292929363</v>
      </c>
      <c r="J32" s="24">
        <f t="shared" si="13"/>
        <v>22774201.876322553</v>
      </c>
      <c r="K32" s="24">
        <f t="shared" si="13"/>
        <v>23914385.703975357</v>
      </c>
      <c r="L32" s="24">
        <f t="shared" ref="L32:M32" si="14">L17+L20+L28+L29+L30+L31</f>
        <v>21464216.601179849</v>
      </c>
      <c r="M32" s="24">
        <f t="shared" si="14"/>
        <v>24146223.753425505</v>
      </c>
      <c r="N32" s="24">
        <f t="shared" ref="N32" si="15">N17+N20+N28+N29+N30+N31</f>
        <v>26486309.21616577</v>
      </c>
      <c r="O32" s="24">
        <f t="shared" ref="O32:P32" si="16">O17+O20+O28+O29+O30+O31</f>
        <v>28564501.416231204</v>
      </c>
      <c r="P32" s="24">
        <f t="shared" si="16"/>
        <v>30956151.416353203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29"/>
      <c r="GF32" s="29"/>
      <c r="GG32" s="29"/>
    </row>
    <row r="33" spans="1:190" s="29" customFormat="1" ht="15.75" x14ac:dyDescent="0.25">
      <c r="A33" s="25" t="s">
        <v>27</v>
      </c>
      <c r="B33" s="36" t="s">
        <v>41</v>
      </c>
      <c r="C33" s="27">
        <f>C6+C11+C13+C14+C15+C17+C20+C28+C29+C30+C31</f>
        <v>27407462.928115439</v>
      </c>
      <c r="D33" s="27">
        <f>D6+D11+D13+D14+D15+D17+D20+D28+D29+D30+D31</f>
        <v>29360056.541811086</v>
      </c>
      <c r="E33" s="27">
        <f>E6+E11+E13+E14+E15+E17+E20+E28+E29+E30+E31</f>
        <v>31605865.005130485</v>
      </c>
      <c r="F33" s="27">
        <f>F6+F11+F13+F14+F15+F17+F20+F28+F29+F30+F31</f>
        <v>33496911.324289709</v>
      </c>
      <c r="G33" s="27">
        <f t="shared" ref="G33:K33" si="17">G6+G11+G13+G14+G15+G17+G20+G28+G29+G30+G31</f>
        <v>36740799.805317059</v>
      </c>
      <c r="H33" s="27">
        <f t="shared" si="17"/>
        <v>40361094.417623244</v>
      </c>
      <c r="I33" s="27">
        <f t="shared" si="17"/>
        <v>42445828.298415251</v>
      </c>
      <c r="J33" s="27">
        <f t="shared" si="17"/>
        <v>46692639.664720356</v>
      </c>
      <c r="K33" s="27">
        <f t="shared" si="17"/>
        <v>47888318.783897519</v>
      </c>
      <c r="L33" s="27">
        <f t="shared" ref="L33:M33" si="18">L6+L11+L13+L14+L15+L17+L20+L28+L29+L30+L31</f>
        <v>44389529.713712983</v>
      </c>
      <c r="M33" s="27">
        <f t="shared" si="18"/>
        <v>49676077.235238567</v>
      </c>
      <c r="N33" s="27">
        <f t="shared" ref="N33" si="19">N6+N11+N13+N14+N15+N17+N20+N28+N29+N30+N31</f>
        <v>52190939.832026973</v>
      </c>
      <c r="O33" s="27">
        <f t="shared" ref="O33:P33" si="20">O6+O11+O13+O14+O15+O17+O20+O28+O29+O30+O31</f>
        <v>56152848.041453317</v>
      </c>
      <c r="P33" s="27">
        <f t="shared" si="20"/>
        <v>60409104.609599106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H33" s="30"/>
    </row>
    <row r="34" spans="1:190" ht="15.75" x14ac:dyDescent="0.25">
      <c r="A34" s="20" t="s">
        <v>43</v>
      </c>
      <c r="B34" s="21" t="s">
        <v>25</v>
      </c>
      <c r="C34" s="23">
        <v>3321210.1401244281</v>
      </c>
      <c r="D34" s="23">
        <v>3814472.2858889909</v>
      </c>
      <c r="E34" s="23">
        <v>4059076.273805229</v>
      </c>
      <c r="F34" s="23">
        <v>4439807.7189423246</v>
      </c>
      <c r="G34" s="23">
        <v>5200196.6127654118</v>
      </c>
      <c r="H34" s="23">
        <v>5878963.8753235741</v>
      </c>
      <c r="I34" s="23">
        <v>6236563.4733767686</v>
      </c>
      <c r="J34" s="23">
        <v>7075538.3147022109</v>
      </c>
      <c r="K34" s="23">
        <v>7113030.8714634199</v>
      </c>
      <c r="L34" s="23">
        <v>6299398.9771404052</v>
      </c>
      <c r="M34" s="23">
        <v>7135859.0318026301</v>
      </c>
      <c r="N34" s="23">
        <v>7319561.6292803837</v>
      </c>
      <c r="O34" s="23">
        <v>7901890.4200173169</v>
      </c>
      <c r="P34" s="23">
        <v>8490691.2837871779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</row>
    <row r="35" spans="1:190" ht="15.75" x14ac:dyDescent="0.25">
      <c r="A35" s="20" t="s">
        <v>44</v>
      </c>
      <c r="B35" s="21" t="s">
        <v>24</v>
      </c>
      <c r="C35" s="23">
        <v>974820.99999999988</v>
      </c>
      <c r="D35" s="23">
        <v>1083337.782339615</v>
      </c>
      <c r="E35" s="23">
        <v>914280.5835489817</v>
      </c>
      <c r="F35" s="23">
        <v>883268.37676105462</v>
      </c>
      <c r="G35" s="23">
        <v>600517.57797430432</v>
      </c>
      <c r="H35" s="23">
        <v>569147.6780122132</v>
      </c>
      <c r="I35" s="23">
        <v>478776.53390597814</v>
      </c>
      <c r="J35" s="23">
        <v>468573.56633246137</v>
      </c>
      <c r="K35" s="23">
        <v>488953.59558124794</v>
      </c>
      <c r="L35" s="23">
        <v>724596.84088736412</v>
      </c>
      <c r="M35" s="23">
        <v>819773.28027712042</v>
      </c>
      <c r="N35" s="23">
        <v>1093414.0618198474</v>
      </c>
      <c r="O35" s="23">
        <v>1105672.2900261683</v>
      </c>
      <c r="P35" s="23">
        <v>1196470.8573451187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</row>
    <row r="36" spans="1:190" s="30" customFormat="1" ht="15.75" x14ac:dyDescent="0.25">
      <c r="A36" s="37" t="s">
        <v>45</v>
      </c>
      <c r="B36" s="38" t="s">
        <v>55</v>
      </c>
      <c r="C36" s="24">
        <f>C33+C34-C35</f>
        <v>29753852.068239868</v>
      </c>
      <c r="D36" s="24">
        <f t="shared" ref="D36:N36" si="21">D33+D34-D35</f>
        <v>32091191.045360465</v>
      </c>
      <c r="E36" s="24">
        <f t="shared" si="21"/>
        <v>34750660.695386738</v>
      </c>
      <c r="F36" s="24">
        <f t="shared" si="21"/>
        <v>37053450.666470975</v>
      </c>
      <c r="G36" s="24">
        <f t="shared" si="21"/>
        <v>41340478.840108164</v>
      </c>
      <c r="H36" s="24">
        <f t="shared" si="21"/>
        <v>45670910.614934601</v>
      </c>
      <c r="I36" s="24">
        <f t="shared" si="21"/>
        <v>48203615.237886041</v>
      </c>
      <c r="J36" s="24">
        <f t="shared" si="21"/>
        <v>53299604.41309011</v>
      </c>
      <c r="K36" s="24">
        <f t="shared" si="21"/>
        <v>54512396.059779689</v>
      </c>
      <c r="L36" s="24">
        <f t="shared" si="21"/>
        <v>49964331.849966019</v>
      </c>
      <c r="M36" s="24">
        <f t="shared" si="21"/>
        <v>55992162.986764081</v>
      </c>
      <c r="N36" s="24">
        <f t="shared" si="21"/>
        <v>58417087.39948751</v>
      </c>
      <c r="O36" s="24">
        <f t="shared" ref="O36:P36" si="22">O33+O34-O35</f>
        <v>62949066.171444468</v>
      </c>
      <c r="P36" s="24">
        <f t="shared" si="22"/>
        <v>67703325.03604117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</row>
    <row r="37" spans="1:190" s="30" customFormat="1" ht="15.75" x14ac:dyDescent="0.25">
      <c r="A37" s="37" t="s">
        <v>46</v>
      </c>
      <c r="B37" s="38" t="s">
        <v>42</v>
      </c>
      <c r="C37" s="24">
        <f>GSVA_cur!C37</f>
        <v>255600</v>
      </c>
      <c r="D37" s="24">
        <f>GSVA_cur!D37</f>
        <v>259220</v>
      </c>
      <c r="E37" s="24">
        <f>GSVA_cur!E37</f>
        <v>262900</v>
      </c>
      <c r="F37" s="24">
        <f>GSVA_cur!F37</f>
        <v>266620</v>
      </c>
      <c r="G37" s="24">
        <f>GSVA_cur!G37</f>
        <v>270400</v>
      </c>
      <c r="H37" s="24">
        <f>GSVA_cur!H37</f>
        <v>274230</v>
      </c>
      <c r="I37" s="24">
        <f>GSVA_cur!I37</f>
        <v>278110</v>
      </c>
      <c r="J37" s="24">
        <f>GSVA_cur!J37</f>
        <v>282060</v>
      </c>
      <c r="K37" s="24">
        <f>GSVA_cur!K37</f>
        <v>286060</v>
      </c>
      <c r="L37" s="24">
        <f>GSVA_cur!L37</f>
        <v>290110</v>
      </c>
      <c r="M37" s="24">
        <f>GSVA_cur!M37</f>
        <v>296950</v>
      </c>
      <c r="N37" s="24">
        <f>GSVA_cur!N37</f>
        <v>300580</v>
      </c>
      <c r="O37" s="24">
        <f>GSVA_cur!O37</f>
        <v>304210</v>
      </c>
      <c r="P37" s="24">
        <f>GSVA_cur!P37</f>
        <v>307850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</row>
    <row r="38" spans="1:190" s="30" customFormat="1" ht="15.75" x14ac:dyDescent="0.25">
      <c r="A38" s="37" t="s">
        <v>47</v>
      </c>
      <c r="B38" s="38" t="s">
        <v>58</v>
      </c>
      <c r="C38" s="24">
        <f>C36/C37*1000</f>
        <v>116407.87194147053</v>
      </c>
      <c r="D38" s="24">
        <f t="shared" ref="D38:N38" si="23">D36/D37*1000</f>
        <v>123799.05503186662</v>
      </c>
      <c r="E38" s="24">
        <f t="shared" si="23"/>
        <v>132182.04905053912</v>
      </c>
      <c r="F38" s="24">
        <f t="shared" si="23"/>
        <v>138974.76058236806</v>
      </c>
      <c r="G38" s="24">
        <f t="shared" si="23"/>
        <v>152886.38624300357</v>
      </c>
      <c r="H38" s="24">
        <f t="shared" si="23"/>
        <v>166542.35719992197</v>
      </c>
      <c r="I38" s="24">
        <f t="shared" si="23"/>
        <v>173325.71729850073</v>
      </c>
      <c r="J38" s="24">
        <f t="shared" si="23"/>
        <v>188965.48398599628</v>
      </c>
      <c r="K38" s="24">
        <f t="shared" si="23"/>
        <v>190562.80521491886</v>
      </c>
      <c r="L38" s="24">
        <f t="shared" si="23"/>
        <v>172225.47257924933</v>
      </c>
      <c r="M38" s="24">
        <f t="shared" si="23"/>
        <v>188557.54499667985</v>
      </c>
      <c r="N38" s="24">
        <f t="shared" si="23"/>
        <v>194347.88541981339</v>
      </c>
      <c r="O38" s="24">
        <f t="shared" ref="O38:P38" si="24">O36/O37*1000</f>
        <v>206926.35406937468</v>
      </c>
      <c r="P38" s="24">
        <f t="shared" si="24"/>
        <v>219923.09578054628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BZ38" s="33"/>
      <c r="CA38" s="33"/>
      <c r="CB38" s="33"/>
      <c r="CC38" s="33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</row>
    <row r="39" spans="1:190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84" zoomScaleNormal="84" zoomScaleSheetLayoutView="100" workbookViewId="0">
      <pane xSplit="2" ySplit="5" topLeftCell="C6" activePane="bottomRight" state="frozen"/>
      <selection activeCell="R35" sqref="R35"/>
      <selection pane="topRight" activeCell="R35" sqref="R35"/>
      <selection pane="bottomLeft" activeCell="R35" sqref="R35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9" width="11.28515625" style="2" customWidth="1"/>
    <col min="10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50</v>
      </c>
      <c r="I2" s="2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57</v>
      </c>
      <c r="G4" s="8"/>
      <c r="H4" s="8"/>
      <c r="I4" s="8"/>
    </row>
    <row r="5" spans="1:194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1" t="s">
        <v>65</v>
      </c>
      <c r="H5" s="11" t="s">
        <v>67</v>
      </c>
      <c r="I5" s="11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94" s="29" customFormat="1" ht="15.75" x14ac:dyDescent="0.25">
      <c r="A6" s="25" t="s">
        <v>26</v>
      </c>
      <c r="B6" s="26" t="s">
        <v>2</v>
      </c>
      <c r="C6" s="27">
        <f>SUM(C7:C10)</f>
        <v>6090864.9161639847</v>
      </c>
      <c r="D6" s="27">
        <f t="shared" ref="D6:J6" si="0">SUM(D7:D10)</f>
        <v>6729048.8050115863</v>
      </c>
      <c r="E6" s="27">
        <f t="shared" si="0"/>
        <v>7433188.1509307614</v>
      </c>
      <c r="F6" s="27">
        <f t="shared" si="0"/>
        <v>7459522.9324453343</v>
      </c>
      <c r="G6" s="27">
        <f t="shared" si="0"/>
        <v>7860449.4624519981</v>
      </c>
      <c r="H6" s="27">
        <f t="shared" si="0"/>
        <v>8785913.7620571777</v>
      </c>
      <c r="I6" s="27">
        <f t="shared" si="0"/>
        <v>10002337.667242046</v>
      </c>
      <c r="J6" s="27">
        <f t="shared" si="0"/>
        <v>11348387.146094661</v>
      </c>
      <c r="K6" s="27">
        <f t="shared" ref="K6:P6" si="1">SUM(K7:K10)</f>
        <v>12190044.97105778</v>
      </c>
      <c r="L6" s="27">
        <f t="shared" si="1"/>
        <v>12846747.103979254</v>
      </c>
      <c r="M6" s="27">
        <f t="shared" si="1"/>
        <v>13572315.617548287</v>
      </c>
      <c r="N6" s="27">
        <f t="shared" si="1"/>
        <v>14326410.60013623</v>
      </c>
      <c r="O6" s="27">
        <f t="shared" si="1"/>
        <v>15847015.465896595</v>
      </c>
      <c r="P6" s="27">
        <f t="shared" si="1"/>
        <v>17382310.429622136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L6" s="30"/>
    </row>
    <row r="7" spans="1:194" ht="15.75" x14ac:dyDescent="0.25">
      <c r="A7" s="16">
        <v>1.1000000000000001</v>
      </c>
      <c r="B7" s="17" t="s">
        <v>59</v>
      </c>
      <c r="C7" s="23">
        <v>3765608.7830160875</v>
      </c>
      <c r="D7" s="23">
        <v>4083021.8233962506</v>
      </c>
      <c r="E7" s="23">
        <v>4505638.5282991584</v>
      </c>
      <c r="F7" s="23">
        <v>4108872.7679068563</v>
      </c>
      <c r="G7" s="23">
        <v>4135582.1623011152</v>
      </c>
      <c r="H7" s="23">
        <v>4843052.534065525</v>
      </c>
      <c r="I7" s="23">
        <v>5284342.4919765508</v>
      </c>
      <c r="J7" s="23">
        <v>5554449.2995530516</v>
      </c>
      <c r="K7" s="23">
        <v>5748549.9611396873</v>
      </c>
      <c r="L7" s="23">
        <v>6126282.6075505605</v>
      </c>
      <c r="M7" s="23">
        <v>6142174.9783806326</v>
      </c>
      <c r="N7" s="23">
        <v>6214599.3454699498</v>
      </c>
      <c r="O7" s="23">
        <v>7027112.6804143637</v>
      </c>
      <c r="P7" s="23">
        <v>7553496.6239549508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16">
        <v>1.2</v>
      </c>
      <c r="B8" s="17" t="s">
        <v>60</v>
      </c>
      <c r="C8" s="23">
        <v>1864272.5808010325</v>
      </c>
      <c r="D8" s="23">
        <v>2129231.7181055048</v>
      </c>
      <c r="E8" s="23">
        <v>2446734.4188698614</v>
      </c>
      <c r="F8" s="23">
        <v>2875316.1353829587</v>
      </c>
      <c r="G8" s="23">
        <v>3245451.3014106746</v>
      </c>
      <c r="H8" s="23">
        <v>3548130.0226524444</v>
      </c>
      <c r="I8" s="23">
        <v>4179142.9990826449</v>
      </c>
      <c r="J8" s="23">
        <v>5176366.6850202372</v>
      </c>
      <c r="K8" s="23">
        <v>5829436.5437298203</v>
      </c>
      <c r="L8" s="23">
        <v>6038230.8272873415</v>
      </c>
      <c r="M8" s="23">
        <v>6635678.1498246174</v>
      </c>
      <c r="N8" s="23">
        <v>7182270.3366666641</v>
      </c>
      <c r="O8" s="23">
        <v>7770983.6659339229</v>
      </c>
      <c r="P8" s="23">
        <v>8582225.2026454099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16">
        <v>1.3</v>
      </c>
      <c r="B9" s="17" t="s">
        <v>61</v>
      </c>
      <c r="C9" s="23">
        <v>385230.72434686485</v>
      </c>
      <c r="D9" s="23">
        <v>427732.29670983192</v>
      </c>
      <c r="E9" s="23">
        <v>395816.15591674129</v>
      </c>
      <c r="F9" s="23">
        <v>376987.9692624195</v>
      </c>
      <c r="G9" s="23">
        <v>403986.07651598565</v>
      </c>
      <c r="H9" s="23">
        <v>302708.66365940776</v>
      </c>
      <c r="I9" s="23">
        <v>413980.80781627423</v>
      </c>
      <c r="J9" s="23">
        <v>456743.78792925429</v>
      </c>
      <c r="K9" s="23">
        <v>450758.0382438972</v>
      </c>
      <c r="L9" s="23">
        <v>505470.93268746685</v>
      </c>
      <c r="M9" s="23">
        <v>615395.49976473791</v>
      </c>
      <c r="N9" s="23">
        <v>765306.50525617902</v>
      </c>
      <c r="O9" s="23">
        <v>858313.47454271803</v>
      </c>
      <c r="P9" s="23">
        <v>1003388.7712375039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16">
        <v>1.4</v>
      </c>
      <c r="B10" s="17" t="s">
        <v>62</v>
      </c>
      <c r="C10" s="23">
        <v>75752.827999999994</v>
      </c>
      <c r="D10" s="23">
        <v>89062.966799999995</v>
      </c>
      <c r="E10" s="23">
        <v>84999.047845000008</v>
      </c>
      <c r="F10" s="23">
        <v>98346.059893099999</v>
      </c>
      <c r="G10" s="23">
        <v>75429.922224222406</v>
      </c>
      <c r="H10" s="23">
        <v>92022.541679799993</v>
      </c>
      <c r="I10" s="23">
        <v>124871.3683665768</v>
      </c>
      <c r="J10" s="23">
        <v>160827.37359211687</v>
      </c>
      <c r="K10" s="23">
        <v>161300.427944375</v>
      </c>
      <c r="L10" s="23">
        <v>176762.7364538855</v>
      </c>
      <c r="M10" s="23">
        <v>179066.98957829765</v>
      </c>
      <c r="N10" s="23">
        <v>164234.41274343707</v>
      </c>
      <c r="O10" s="23">
        <v>190605.6450055915</v>
      </c>
      <c r="P10" s="23">
        <v>243199.83178427065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19" t="s">
        <v>31</v>
      </c>
      <c r="B11" s="17" t="s">
        <v>3</v>
      </c>
      <c r="C11" s="23">
        <v>10415.238518400001</v>
      </c>
      <c r="D11" s="23">
        <v>8702.0619244800018</v>
      </c>
      <c r="E11" s="23">
        <v>26240.803642879997</v>
      </c>
      <c r="F11" s="23">
        <v>30040.526810589505</v>
      </c>
      <c r="G11" s="23">
        <v>53299.918790338168</v>
      </c>
      <c r="H11" s="23">
        <v>90696.13778464614</v>
      </c>
      <c r="I11" s="23">
        <v>93428.766743873348</v>
      </c>
      <c r="J11" s="23">
        <v>73448.978037350811</v>
      </c>
      <c r="K11" s="23">
        <v>120346.81872023229</v>
      </c>
      <c r="L11" s="23">
        <v>104161.43313550261</v>
      </c>
      <c r="M11" s="23">
        <v>86083.136322101811</v>
      </c>
      <c r="N11" s="23">
        <v>120440.73852789798</v>
      </c>
      <c r="O11" s="23">
        <v>129502.93321166083</v>
      </c>
      <c r="P11" s="23">
        <v>141913.79042757704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30" customFormat="1" ht="15.75" x14ac:dyDescent="0.25">
      <c r="A12" s="31"/>
      <c r="B12" s="32" t="s">
        <v>28</v>
      </c>
      <c r="C12" s="24">
        <f>C6+C11</f>
        <v>6101280.1546823848</v>
      </c>
      <c r="D12" s="24">
        <f t="shared" ref="D12:N12" si="2">D6+D11</f>
        <v>6737750.8669360662</v>
      </c>
      <c r="E12" s="24">
        <f t="shared" si="2"/>
        <v>7459428.9545736415</v>
      </c>
      <c r="F12" s="24">
        <f t="shared" si="2"/>
        <v>7489563.4592559235</v>
      </c>
      <c r="G12" s="24">
        <f t="shared" si="2"/>
        <v>7913749.3812423367</v>
      </c>
      <c r="H12" s="24">
        <f t="shared" si="2"/>
        <v>8876609.8998418245</v>
      </c>
      <c r="I12" s="24">
        <f t="shared" si="2"/>
        <v>10095766.433985921</v>
      </c>
      <c r="J12" s="24">
        <f t="shared" si="2"/>
        <v>11421836.124132011</v>
      </c>
      <c r="K12" s="24">
        <f t="shared" si="2"/>
        <v>12310391.789778013</v>
      </c>
      <c r="L12" s="24">
        <f t="shared" si="2"/>
        <v>12950908.537114756</v>
      </c>
      <c r="M12" s="24">
        <f t="shared" si="2"/>
        <v>13658398.753870388</v>
      </c>
      <c r="N12" s="24">
        <f t="shared" si="2"/>
        <v>14446851.338664128</v>
      </c>
      <c r="O12" s="24">
        <f t="shared" ref="O12:P12" si="3">O6+O11</f>
        <v>15976518.399108255</v>
      </c>
      <c r="P12" s="24">
        <f t="shared" si="3"/>
        <v>17524224.220049713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29"/>
      <c r="GJ12" s="29"/>
      <c r="GK12" s="29"/>
    </row>
    <row r="13" spans="1:194" s="1" customFormat="1" ht="15.75" x14ac:dyDescent="0.25">
      <c r="A13" s="13" t="s">
        <v>32</v>
      </c>
      <c r="B13" s="14" t="s">
        <v>4</v>
      </c>
      <c r="C13" s="23">
        <v>4454729.1896071015</v>
      </c>
      <c r="D13" s="23">
        <v>5544670.0575827733</v>
      </c>
      <c r="E13" s="23">
        <v>6381730.6281899465</v>
      </c>
      <c r="F13" s="23">
        <v>6706794.2942825044</v>
      </c>
      <c r="G13" s="23">
        <v>7402604.1500081522</v>
      </c>
      <c r="H13" s="23">
        <v>8501088.8979510684</v>
      </c>
      <c r="I13" s="23">
        <v>9402045.0474208668</v>
      </c>
      <c r="J13" s="23">
        <v>11242460.828389151</v>
      </c>
      <c r="K13" s="23">
        <v>10869973.889230041</v>
      </c>
      <c r="L13" s="23">
        <v>10373859.833432242</v>
      </c>
      <c r="M13" s="23">
        <v>13238210.537480228</v>
      </c>
      <c r="N13" s="23">
        <v>13340642.091470195</v>
      </c>
      <c r="O13" s="23">
        <v>14204345.640105693</v>
      </c>
      <c r="P13" s="23">
        <v>15222408.096473668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19" t="s">
        <v>33</v>
      </c>
      <c r="B14" s="17" t="s">
        <v>5</v>
      </c>
      <c r="C14" s="23">
        <v>229047.7702344498</v>
      </c>
      <c r="D14" s="23">
        <v>441582.9721471793</v>
      </c>
      <c r="E14" s="23">
        <v>650693.6804766506</v>
      </c>
      <c r="F14" s="23">
        <v>728449.12369999988</v>
      </c>
      <c r="G14" s="23">
        <v>956883.56810000003</v>
      </c>
      <c r="H14" s="23">
        <v>984835.56</v>
      </c>
      <c r="I14" s="23">
        <v>1267469.5006210296</v>
      </c>
      <c r="J14" s="23">
        <v>1242335.9417028455</v>
      </c>
      <c r="K14" s="23">
        <v>1154045.8218948436</v>
      </c>
      <c r="L14" s="23">
        <v>1078219.6972568857</v>
      </c>
      <c r="M14" s="23">
        <v>1214843.1856963278</v>
      </c>
      <c r="N14" s="23">
        <v>1265938.0528637702</v>
      </c>
      <c r="O14" s="23">
        <v>1346808.2479889118</v>
      </c>
      <c r="P14" s="23">
        <v>1443590.2722491981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19" t="s">
        <v>34</v>
      </c>
      <c r="B15" s="17" t="s">
        <v>6</v>
      </c>
      <c r="C15" s="23">
        <v>2839050.8934830818</v>
      </c>
      <c r="D15" s="23">
        <v>2886392.4295434151</v>
      </c>
      <c r="E15" s="23">
        <v>3355026.9820748647</v>
      </c>
      <c r="F15" s="23">
        <v>3447061.6410700744</v>
      </c>
      <c r="G15" s="23">
        <v>3394041.5840940992</v>
      </c>
      <c r="H15" s="23">
        <v>3694109.8014299734</v>
      </c>
      <c r="I15" s="23">
        <v>4004834.2796780062</v>
      </c>
      <c r="J15" s="23">
        <v>4578641.4991200278</v>
      </c>
      <c r="K15" s="23">
        <v>4609018.2361034751</v>
      </c>
      <c r="L15" s="23">
        <v>4391916.7148186937</v>
      </c>
      <c r="M15" s="23">
        <v>6363574.9048648141</v>
      </c>
      <c r="N15" s="23">
        <v>7273480.973171494</v>
      </c>
      <c r="O15" s="23">
        <v>8122283.7526470711</v>
      </c>
      <c r="P15" s="23">
        <v>8978862.6104485299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30" customFormat="1" ht="15.75" x14ac:dyDescent="0.25">
      <c r="A16" s="31"/>
      <c r="B16" s="32" t="s">
        <v>29</v>
      </c>
      <c r="C16" s="24">
        <f>+C13+C14+C15</f>
        <v>7522827.8533246331</v>
      </c>
      <c r="D16" s="24">
        <f t="shared" ref="D16:K16" si="4">+D13+D14+D15</f>
        <v>8872645.4592733681</v>
      </c>
      <c r="E16" s="24">
        <f t="shared" si="4"/>
        <v>10387451.290741462</v>
      </c>
      <c r="F16" s="24">
        <f t="shared" si="4"/>
        <v>10882305.059052579</v>
      </c>
      <c r="G16" s="24">
        <f t="shared" si="4"/>
        <v>11753529.302202251</v>
      </c>
      <c r="H16" s="24">
        <f t="shared" si="4"/>
        <v>13180034.259381043</v>
      </c>
      <c r="I16" s="24">
        <f t="shared" si="4"/>
        <v>14674348.827719903</v>
      </c>
      <c r="J16" s="24">
        <f t="shared" si="4"/>
        <v>17063438.269212022</v>
      </c>
      <c r="K16" s="24">
        <f t="shared" si="4"/>
        <v>16633037.947228359</v>
      </c>
      <c r="L16" s="24">
        <f t="shared" ref="L16:N16" si="5">+L13+L14+L15</f>
        <v>15843996.245507821</v>
      </c>
      <c r="M16" s="24">
        <f t="shared" si="5"/>
        <v>20816628.628041372</v>
      </c>
      <c r="N16" s="24">
        <f t="shared" si="5"/>
        <v>21880061.117505461</v>
      </c>
      <c r="O16" s="24">
        <f t="shared" ref="O16:P16" si="6">+O13+O14+O15</f>
        <v>23673437.640741676</v>
      </c>
      <c r="P16" s="24">
        <f t="shared" si="6"/>
        <v>25644860.979171395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28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28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29"/>
      <c r="GJ16" s="29"/>
      <c r="GK16" s="29"/>
    </row>
    <row r="17" spans="1:194" s="29" customFormat="1" ht="15.75" x14ac:dyDescent="0.25">
      <c r="A17" s="25" t="s">
        <v>35</v>
      </c>
      <c r="B17" s="26" t="s">
        <v>7</v>
      </c>
      <c r="C17" s="27">
        <f>C18+C19</f>
        <v>3162514.6177373705</v>
      </c>
      <c r="D17" s="27">
        <f t="shared" ref="D17:K17" si="7">D18+D19</f>
        <v>3698448.4702128051</v>
      </c>
      <c r="E17" s="27">
        <f t="shared" si="7"/>
        <v>4117059.5207000002</v>
      </c>
      <c r="F17" s="27">
        <f t="shared" si="7"/>
        <v>4669779.2225000001</v>
      </c>
      <c r="G17" s="27">
        <f t="shared" si="7"/>
        <v>5206157.5076000001</v>
      </c>
      <c r="H17" s="27">
        <f t="shared" si="7"/>
        <v>5890391.8085805038</v>
      </c>
      <c r="I17" s="27">
        <f t="shared" si="7"/>
        <v>6805838.5902618961</v>
      </c>
      <c r="J17" s="27">
        <f t="shared" si="7"/>
        <v>7771598.5863051564</v>
      </c>
      <c r="K17" s="27">
        <f t="shared" si="7"/>
        <v>8462085.2377217915</v>
      </c>
      <c r="L17" s="27">
        <f t="shared" ref="L17:N17" si="8">L18+L19</f>
        <v>6678316.7788188569</v>
      </c>
      <c r="M17" s="27">
        <f t="shared" si="8"/>
        <v>8342832.3552901652</v>
      </c>
      <c r="N17" s="27">
        <f t="shared" si="8"/>
        <v>10177669.019804331</v>
      </c>
      <c r="O17" s="27">
        <f t="shared" ref="O17:P17" si="9">O18+O19</f>
        <v>11168006.37862163</v>
      </c>
      <c r="P17" s="27">
        <f t="shared" si="9"/>
        <v>12356180.012422998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L17" s="30"/>
    </row>
    <row r="18" spans="1:194" ht="15.75" x14ac:dyDescent="0.25">
      <c r="A18" s="16">
        <v>6.1</v>
      </c>
      <c r="B18" s="17" t="s">
        <v>8</v>
      </c>
      <c r="C18" s="23">
        <v>3048636.501429447</v>
      </c>
      <c r="D18" s="23">
        <v>3573675.2559197848</v>
      </c>
      <c r="E18" s="23">
        <v>3984783.8464000002</v>
      </c>
      <c r="F18" s="23">
        <v>4532115.7039999999</v>
      </c>
      <c r="G18" s="23">
        <v>5060315.6667999998</v>
      </c>
      <c r="H18" s="23">
        <v>5730269.1014943635</v>
      </c>
      <c r="I18" s="23">
        <v>6629154.5698744766</v>
      </c>
      <c r="J18" s="23">
        <v>7581387.6322228955</v>
      </c>
      <c r="K18" s="23">
        <v>8255806.2007178785</v>
      </c>
      <c r="L18" s="23">
        <v>6594301.2065252503</v>
      </c>
      <c r="M18" s="23">
        <v>8210063.0615110584</v>
      </c>
      <c r="N18" s="23">
        <v>9944460.7858546413</v>
      </c>
      <c r="O18" s="23">
        <v>10896247.897660604</v>
      </c>
      <c r="P18" s="23">
        <v>12041643.481016122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16">
        <v>6.2</v>
      </c>
      <c r="B19" s="17" t="s">
        <v>9</v>
      </c>
      <c r="C19" s="23">
        <v>113878.11630792353</v>
      </c>
      <c r="D19" s="23">
        <v>124773.2142930204</v>
      </c>
      <c r="E19" s="23">
        <v>132275.67430000001</v>
      </c>
      <c r="F19" s="23">
        <v>137663.51850000001</v>
      </c>
      <c r="G19" s="23">
        <v>145841.84080000001</v>
      </c>
      <c r="H19" s="23">
        <v>160122.70708614</v>
      </c>
      <c r="I19" s="23">
        <v>176684.02038741927</v>
      </c>
      <c r="J19" s="23">
        <v>190210.95408226125</v>
      </c>
      <c r="K19" s="23">
        <v>206279.03700391293</v>
      </c>
      <c r="L19" s="23">
        <v>84015.572293606994</v>
      </c>
      <c r="M19" s="23">
        <v>132769.29377910716</v>
      </c>
      <c r="N19" s="23">
        <v>233208.23394968949</v>
      </c>
      <c r="O19" s="23">
        <v>271758.48096102756</v>
      </c>
      <c r="P19" s="23">
        <v>314536.53140687553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29" customFormat="1" ht="30" x14ac:dyDescent="0.25">
      <c r="A20" s="34" t="s">
        <v>36</v>
      </c>
      <c r="B20" s="35" t="s">
        <v>10</v>
      </c>
      <c r="C20" s="27">
        <f>SUM(C21:C27)</f>
        <v>1497704.3367471136</v>
      </c>
      <c r="D20" s="27">
        <f t="shared" ref="D20:N20" si="10">SUM(D21:D27)</f>
        <v>1708674.596031683</v>
      </c>
      <c r="E20" s="27">
        <f t="shared" si="10"/>
        <v>1878061.275161328</v>
      </c>
      <c r="F20" s="27">
        <f t="shared" si="10"/>
        <v>2111297.0814551255</v>
      </c>
      <c r="G20" s="27">
        <f t="shared" si="10"/>
        <v>2264063.7361485688</v>
      </c>
      <c r="H20" s="27">
        <f t="shared" si="10"/>
        <v>2340397.7204426317</v>
      </c>
      <c r="I20" s="27">
        <f t="shared" si="10"/>
        <v>2313663.4701571418</v>
      </c>
      <c r="J20" s="27">
        <f t="shared" si="10"/>
        <v>2467544.1783457519</v>
      </c>
      <c r="K20" s="27">
        <f t="shared" si="10"/>
        <v>2623360.5826593721</v>
      </c>
      <c r="L20" s="27">
        <f t="shared" si="10"/>
        <v>2489564.8228018805</v>
      </c>
      <c r="M20" s="27">
        <f t="shared" si="10"/>
        <v>3397740.355761928</v>
      </c>
      <c r="N20" s="27">
        <f t="shared" si="10"/>
        <v>3843032.7244114224</v>
      </c>
      <c r="O20" s="27">
        <f t="shared" ref="O20:P20" si="11">SUM(O21:O27)</f>
        <v>4277476.8292860175</v>
      </c>
      <c r="P20" s="27">
        <f t="shared" si="11"/>
        <v>4816794.3811705476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L20" s="30"/>
    </row>
    <row r="21" spans="1:194" ht="15.75" x14ac:dyDescent="0.25">
      <c r="A21" s="16">
        <v>7.1</v>
      </c>
      <c r="B21" s="17" t="s">
        <v>11</v>
      </c>
      <c r="C21" s="23">
        <v>176469.99999999997</v>
      </c>
      <c r="D21" s="23">
        <v>223673.99999999997</v>
      </c>
      <c r="E21" s="23">
        <v>217019</v>
      </c>
      <c r="F21" s="23">
        <v>254067.99999999997</v>
      </c>
      <c r="G21" s="23">
        <v>261754</v>
      </c>
      <c r="H21" s="23">
        <v>237241</v>
      </c>
      <c r="I21" s="23">
        <v>187656.8868361999</v>
      </c>
      <c r="J21" s="23">
        <v>150852.27225893899</v>
      </c>
      <c r="K21" s="23">
        <v>152041</v>
      </c>
      <c r="L21" s="23">
        <v>128726.8618686744</v>
      </c>
      <c r="M21" s="23">
        <v>272076.76115703315</v>
      </c>
      <c r="N21" s="23">
        <v>254947.75929125925</v>
      </c>
      <c r="O21" s="23">
        <v>273037.93094237318</v>
      </c>
      <c r="P21" s="23">
        <v>306562.67577560613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16">
        <v>7.2</v>
      </c>
      <c r="B22" s="17" t="s">
        <v>12</v>
      </c>
      <c r="C22" s="23">
        <v>935221.50923363294</v>
      </c>
      <c r="D22" s="23">
        <v>1060962.0669824553</v>
      </c>
      <c r="E22" s="23">
        <v>1192868.9868760195</v>
      </c>
      <c r="F22" s="23">
        <v>1353076.3854549185</v>
      </c>
      <c r="G22" s="23">
        <v>1431984.5377186006</v>
      </c>
      <c r="H22" s="23">
        <v>1545342.5187917918</v>
      </c>
      <c r="I22" s="23">
        <v>1605279.5013875556</v>
      </c>
      <c r="J22" s="23">
        <v>1770155.5706161223</v>
      </c>
      <c r="K22" s="23">
        <v>1873662.6659588404</v>
      </c>
      <c r="L22" s="23">
        <v>1729933.8130541018</v>
      </c>
      <c r="M22" s="23">
        <v>2344155.2461559693</v>
      </c>
      <c r="N22" s="23">
        <v>2656371.7690960229</v>
      </c>
      <c r="O22" s="23">
        <v>2937213.5144554665</v>
      </c>
      <c r="P22" s="23">
        <v>3297856.9358767401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16">
        <v>7.3</v>
      </c>
      <c r="B23" s="17" t="s">
        <v>13</v>
      </c>
      <c r="C23" s="18"/>
      <c r="D23" s="18"/>
      <c r="E23" s="18"/>
      <c r="F23" s="18"/>
      <c r="G23" s="18"/>
      <c r="H23" s="18"/>
      <c r="I23" s="18"/>
      <c r="J23" s="15"/>
      <c r="K23" s="15"/>
      <c r="L23" s="15"/>
      <c r="M23" s="15"/>
      <c r="N23" s="15"/>
      <c r="O23" s="15"/>
      <c r="P23" s="15"/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16">
        <v>7.4</v>
      </c>
      <c r="B24" s="17" t="s">
        <v>14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0.2004752908829861</v>
      </c>
      <c r="M24" s="23">
        <v>0.11342949137464875</v>
      </c>
      <c r="N24" s="23">
        <v>0.20574260418076024</v>
      </c>
      <c r="O24" s="23">
        <v>0.20593757331740953</v>
      </c>
      <c r="P24" s="23">
        <v>0.20593757331740953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16">
        <v>7.5</v>
      </c>
      <c r="B25" s="17" t="s">
        <v>15</v>
      </c>
      <c r="C25" s="23">
        <v>129626.07708350306</v>
      </c>
      <c r="D25" s="23">
        <v>146460.85262616313</v>
      </c>
      <c r="E25" s="23">
        <v>142665.98872892748</v>
      </c>
      <c r="F25" s="23">
        <v>134907.79910020693</v>
      </c>
      <c r="G25" s="23">
        <v>132942.98212247601</v>
      </c>
      <c r="H25" s="23">
        <v>142334.70163609946</v>
      </c>
      <c r="I25" s="23">
        <v>144301.2654680406</v>
      </c>
      <c r="J25" s="23">
        <v>131398.82999970959</v>
      </c>
      <c r="K25" s="23">
        <v>123520.25941959705</v>
      </c>
      <c r="L25" s="23">
        <v>120505.55780872653</v>
      </c>
      <c r="M25" s="23">
        <v>168444.33065814245</v>
      </c>
      <c r="N25" s="23">
        <v>207274.90212573108</v>
      </c>
      <c r="O25" s="23">
        <v>244635.96285872377</v>
      </c>
      <c r="P25" s="23">
        <v>288501.6814258818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16">
        <v>7.6</v>
      </c>
      <c r="B26" s="17" t="s">
        <v>16</v>
      </c>
      <c r="C26" s="23">
        <v>10261.529576085211</v>
      </c>
      <c r="D26" s="23">
        <v>14303.175999999999</v>
      </c>
      <c r="E26" s="23">
        <v>12164.867256381061</v>
      </c>
      <c r="F26" s="23">
        <v>12825.770399999999</v>
      </c>
      <c r="G26" s="23">
        <v>8724.8680000000004</v>
      </c>
      <c r="H26" s="23">
        <v>10652.588299999999</v>
      </c>
      <c r="I26" s="23">
        <v>19119.024327020961</v>
      </c>
      <c r="J26" s="23">
        <v>24518.212</v>
      </c>
      <c r="K26" s="23">
        <v>30751.451999999994</v>
      </c>
      <c r="L26" s="23">
        <v>31263.224558710852</v>
      </c>
      <c r="M26" s="23">
        <v>21474.780305992852</v>
      </c>
      <c r="N26" s="23">
        <v>27879.325370048817</v>
      </c>
      <c r="O26" s="23">
        <v>25261.41830286906</v>
      </c>
      <c r="P26" s="23">
        <v>28476.860660661136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16">
        <v>7.7</v>
      </c>
      <c r="B27" s="17" t="s">
        <v>17</v>
      </c>
      <c r="C27" s="23">
        <v>246125.2208538925</v>
      </c>
      <c r="D27" s="23">
        <v>263274.50042306463</v>
      </c>
      <c r="E27" s="23">
        <v>313342.43229999999</v>
      </c>
      <c r="F27" s="23">
        <v>356419.12650000001</v>
      </c>
      <c r="G27" s="23">
        <v>428657.34830749227</v>
      </c>
      <c r="H27" s="23">
        <v>404826.91171474056</v>
      </c>
      <c r="I27" s="23">
        <v>357306.79213832482</v>
      </c>
      <c r="J27" s="23">
        <v>390619.29347098107</v>
      </c>
      <c r="K27" s="23">
        <v>443385.20528093423</v>
      </c>
      <c r="L27" s="23">
        <v>479135.16503637627</v>
      </c>
      <c r="M27" s="23">
        <v>591589.12405529898</v>
      </c>
      <c r="N27" s="23">
        <v>696558.76278575649</v>
      </c>
      <c r="O27" s="23">
        <v>797327.79678901145</v>
      </c>
      <c r="P27" s="23">
        <v>895396.02149408497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19" t="s">
        <v>37</v>
      </c>
      <c r="B28" s="17" t="s">
        <v>18</v>
      </c>
      <c r="C28" s="23">
        <v>1147252</v>
      </c>
      <c r="D28" s="23">
        <v>1297982</v>
      </c>
      <c r="E28" s="23">
        <v>1459173</v>
      </c>
      <c r="F28" s="23">
        <v>1646873.9999999998</v>
      </c>
      <c r="G28" s="23">
        <v>1936611.1114231832</v>
      </c>
      <c r="H28" s="23">
        <v>2118334.9108108957</v>
      </c>
      <c r="I28" s="23">
        <v>1925660.1257244034</v>
      </c>
      <c r="J28" s="23">
        <v>2559737.9040360493</v>
      </c>
      <c r="K28" s="23">
        <v>2834086.0426857928</v>
      </c>
      <c r="L28" s="23">
        <v>3175816.5800092672</v>
      </c>
      <c r="M28" s="23">
        <v>3410356.6427931166</v>
      </c>
      <c r="N28" s="23">
        <v>4194813.3836812088</v>
      </c>
      <c r="O28" s="23">
        <v>5039382.9954007752</v>
      </c>
      <c r="P28" s="23">
        <v>5785211.6787200905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19" t="s">
        <v>38</v>
      </c>
      <c r="B29" s="17" t="s">
        <v>19</v>
      </c>
      <c r="C29" s="23">
        <v>3577654.5589088937</v>
      </c>
      <c r="D29" s="23">
        <v>4371606.6600703504</v>
      </c>
      <c r="E29" s="23">
        <v>5492108.7650614912</v>
      </c>
      <c r="F29" s="23">
        <v>6039797.9565185858</v>
      </c>
      <c r="G29" s="23">
        <v>6917452.9175000004</v>
      </c>
      <c r="H29" s="23">
        <v>7918237.8728</v>
      </c>
      <c r="I29" s="23">
        <v>8705246.9117814749</v>
      </c>
      <c r="J29" s="23">
        <v>9668584.9533919487</v>
      </c>
      <c r="K29" s="23">
        <v>10481015.574611802</v>
      </c>
      <c r="L29" s="23">
        <v>10424800.821032044</v>
      </c>
      <c r="M29" s="23">
        <v>12739058.791396102</v>
      </c>
      <c r="N29" s="23">
        <v>15380931.292522969</v>
      </c>
      <c r="O29" s="23">
        <v>17464875.19366964</v>
      </c>
      <c r="P29" s="23">
        <v>19923067.407042559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19" t="s">
        <v>39</v>
      </c>
      <c r="B30" s="17" t="s">
        <v>54</v>
      </c>
      <c r="C30" s="23">
        <v>563445.97006066993</v>
      </c>
      <c r="D30" s="23">
        <v>639584</v>
      </c>
      <c r="E30" s="23">
        <v>693296</v>
      </c>
      <c r="F30" s="23">
        <v>829134</v>
      </c>
      <c r="G30" s="23">
        <v>893037.99999999988</v>
      </c>
      <c r="H30" s="23">
        <v>990669</v>
      </c>
      <c r="I30" s="23">
        <v>1182032</v>
      </c>
      <c r="J30" s="23">
        <v>1273180</v>
      </c>
      <c r="K30" s="23">
        <v>1418946.5309760114</v>
      </c>
      <c r="L30" s="23">
        <v>1463982.2858859412</v>
      </c>
      <c r="M30" s="23">
        <v>1636389</v>
      </c>
      <c r="N30" s="23">
        <v>1811371</v>
      </c>
      <c r="O30" s="23">
        <v>1940278.1221398069</v>
      </c>
      <c r="P30" s="23">
        <v>2089582.5496205706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19" t="s">
        <v>40</v>
      </c>
      <c r="B31" s="17" t="s">
        <v>20</v>
      </c>
      <c r="C31" s="23">
        <v>1196179.4366543719</v>
      </c>
      <c r="D31" s="23">
        <v>1394856.915159496</v>
      </c>
      <c r="E31" s="23">
        <v>1562927.1075127043</v>
      </c>
      <c r="F31" s="23">
        <v>1903224.3559919717</v>
      </c>
      <c r="G31" s="23">
        <v>2104379.9055466177</v>
      </c>
      <c r="H31" s="23">
        <v>2415310.3937772159</v>
      </c>
      <c r="I31" s="23">
        <v>2906745.9199409392</v>
      </c>
      <c r="J31" s="23">
        <v>3170388.9746367317</v>
      </c>
      <c r="K31" s="23">
        <v>3650488.3807892203</v>
      </c>
      <c r="L31" s="23">
        <v>3347177.1937480816</v>
      </c>
      <c r="M31" s="23">
        <v>3825058.8942021006</v>
      </c>
      <c r="N31" s="23">
        <v>4443477.9054306857</v>
      </c>
      <c r="O31" s="23">
        <v>5055825.1278415751</v>
      </c>
      <c r="P31" s="23">
        <v>5844427.6474364605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30" customFormat="1" ht="15.75" x14ac:dyDescent="0.25">
      <c r="A32" s="31"/>
      <c r="B32" s="32" t="s">
        <v>30</v>
      </c>
      <c r="C32" s="24">
        <f>C17+C20+C28+C29+C30+C31</f>
        <v>11144750.920108421</v>
      </c>
      <c r="D32" s="24">
        <f t="shared" ref="D32:K32" si="12">D17+D20+D28+D29+D30+D31</f>
        <v>13111152.641474335</v>
      </c>
      <c r="E32" s="24">
        <f t="shared" si="12"/>
        <v>15202625.668435525</v>
      </c>
      <c r="F32" s="24">
        <f t="shared" si="12"/>
        <v>17200106.61646568</v>
      </c>
      <c r="G32" s="24">
        <f t="shared" si="12"/>
        <v>19321703.178218368</v>
      </c>
      <c r="H32" s="24">
        <f t="shared" si="12"/>
        <v>21673341.706411242</v>
      </c>
      <c r="I32" s="24">
        <f t="shared" si="12"/>
        <v>23839187.017865859</v>
      </c>
      <c r="J32" s="24">
        <f t="shared" si="12"/>
        <v>26911034.596715637</v>
      </c>
      <c r="K32" s="24">
        <f t="shared" si="12"/>
        <v>29469982.349443991</v>
      </c>
      <c r="L32" s="24">
        <f t="shared" ref="L32:M32" si="13">L17+L20+L28+L29+L30+L31</f>
        <v>27579658.482296072</v>
      </c>
      <c r="M32" s="24">
        <f t="shared" si="13"/>
        <v>33351436.039443415</v>
      </c>
      <c r="N32" s="24">
        <f t="shared" ref="N32" si="14">N17+N20+N28+N29+N30+N31</f>
        <v>39851295.325850621</v>
      </c>
      <c r="O32" s="24">
        <f t="shared" ref="O32" si="15">O17+O20+O28+O29+O30+O31</f>
        <v>44945844.646959446</v>
      </c>
      <c r="P32" s="24">
        <f t="shared" ref="P32" si="16">P17+P20+P28+P29+P30+P31</f>
        <v>50815263.676413231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29"/>
      <c r="GJ32" s="29"/>
      <c r="GK32" s="29"/>
    </row>
    <row r="33" spans="1:194" s="29" customFormat="1" ht="15.75" x14ac:dyDescent="0.25">
      <c r="A33" s="25" t="s">
        <v>27</v>
      </c>
      <c r="B33" s="36" t="s">
        <v>51</v>
      </c>
      <c r="C33" s="27">
        <f>C6+C11+C13+C14+C15+C17+C20+C28+C29+C30+C31</f>
        <v>24768858.928115435</v>
      </c>
      <c r="D33" s="27">
        <f t="shared" ref="D33:K33" si="17">D6+D11+D13+D14+D15+D17+D20+D28+D29+D30+D31</f>
        <v>28721548.967683773</v>
      </c>
      <c r="E33" s="27">
        <f t="shared" si="17"/>
        <v>33049505.91375063</v>
      </c>
      <c r="F33" s="27">
        <f t="shared" si="17"/>
        <v>35571975.134774193</v>
      </c>
      <c r="G33" s="27">
        <f t="shared" si="17"/>
        <v>38988981.861662954</v>
      </c>
      <c r="H33" s="27">
        <f t="shared" si="17"/>
        <v>43729985.865634106</v>
      </c>
      <c r="I33" s="27">
        <f t="shared" si="17"/>
        <v>48609302.279571675</v>
      </c>
      <c r="J33" s="27">
        <f t="shared" si="17"/>
        <v>55396308.990059674</v>
      </c>
      <c r="K33" s="27">
        <f t="shared" si="17"/>
        <v>58413412.086450353</v>
      </c>
      <c r="L33" s="27">
        <f t="shared" ref="L33:M33" si="18">L6+L11+L13+L14+L15+L17+L20+L28+L29+L30+L31</f>
        <v>56374563.264918648</v>
      </c>
      <c r="M33" s="27">
        <f t="shared" si="18"/>
        <v>67826463.421355173</v>
      </c>
      <c r="N33" s="27">
        <f t="shared" ref="N33" si="19">N6+N11+N13+N14+N15+N17+N20+N28+N29+N30+N31</f>
        <v>76178207.782020196</v>
      </c>
      <c r="O33" s="27">
        <f t="shared" ref="O33" si="20">O6+O11+O13+O14+O15+O17+O20+O28+O29+O30+O31</f>
        <v>84595800.686809376</v>
      </c>
      <c r="P33" s="27">
        <f t="shared" ref="P33" si="21">P6+P11+P13+P14+P15+P17+P20+P28+P29+P30+P31</f>
        <v>93984348.875634342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L33" s="30"/>
    </row>
    <row r="34" spans="1:194" s="30" customFormat="1" ht="15.75" x14ac:dyDescent="0.25">
      <c r="A34" s="37" t="s">
        <v>43</v>
      </c>
      <c r="B34" s="38" t="s">
        <v>25</v>
      </c>
      <c r="C34" s="24">
        <f>GSVA_cur!C34</f>
        <v>3321210.1401244281</v>
      </c>
      <c r="D34" s="24">
        <f>GSVA_cur!D34</f>
        <v>3894111.2992424876</v>
      </c>
      <c r="E34" s="24">
        <f>GSVA_cur!E34</f>
        <v>4233416</v>
      </c>
      <c r="F34" s="24">
        <f>GSVA_cur!F34</f>
        <v>4777563.9999999991</v>
      </c>
      <c r="G34" s="24">
        <f>GSVA_cur!G34</f>
        <v>6335000</v>
      </c>
      <c r="H34" s="24">
        <f>GSVA_cur!H34</f>
        <v>7690639</v>
      </c>
      <c r="I34" s="24">
        <f>GSVA_cur!I34</f>
        <v>9974203</v>
      </c>
      <c r="J34" s="24">
        <f>GSVA_cur!J34</f>
        <v>8135198.9999999991</v>
      </c>
      <c r="K34" s="24">
        <f>GSVA_cur!K34</f>
        <v>8775086</v>
      </c>
      <c r="L34" s="24">
        <f>GSVA_cur!L34</f>
        <v>9986400.2455331776</v>
      </c>
      <c r="M34" s="24">
        <f>GSVA_cur!M34</f>
        <v>12181426.936550647</v>
      </c>
      <c r="N34" s="24">
        <f>GSVA_cur!N34</f>
        <v>12570135.510951955</v>
      </c>
      <c r="O34" s="24">
        <f>GSVA_cur!O34</f>
        <v>14447770.764691498</v>
      </c>
      <c r="P34" s="24">
        <f>GSVA_cur!P34</f>
        <v>16854966.639299773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</row>
    <row r="35" spans="1:194" s="30" customFormat="1" ht="15.75" x14ac:dyDescent="0.25">
      <c r="A35" s="37" t="s">
        <v>44</v>
      </c>
      <c r="B35" s="38" t="s">
        <v>24</v>
      </c>
      <c r="C35" s="24">
        <f>GSVA_cur!C35</f>
        <v>974820.99999999988</v>
      </c>
      <c r="D35" s="24">
        <f>GSVA_cur!D35</f>
        <v>1180357.9999999998</v>
      </c>
      <c r="E35" s="24">
        <f>GSVA_cur!E35</f>
        <v>1063281</v>
      </c>
      <c r="F35" s="24">
        <f>GSVA_cur!F35</f>
        <v>1054520</v>
      </c>
      <c r="G35" s="24">
        <f>GSVA_cur!G35</f>
        <v>718080</v>
      </c>
      <c r="H35" s="24">
        <f>GSVA_cur!H35</f>
        <v>693010</v>
      </c>
      <c r="I35" s="24">
        <f>GSVA_cur!I35</f>
        <v>615015</v>
      </c>
      <c r="J35" s="24">
        <f>GSVA_cur!J35</f>
        <v>626049</v>
      </c>
      <c r="K35" s="24">
        <f>GSVA_cur!K35</f>
        <v>670826</v>
      </c>
      <c r="L35" s="24">
        <f>GSVA_cur!L35</f>
        <v>1046410.9999999999</v>
      </c>
      <c r="M35" s="24">
        <f>GSVA_cur!M35</f>
        <v>1267598</v>
      </c>
      <c r="N35" s="24">
        <f>GSVA_cur!N35</f>
        <v>1816805.0000000002</v>
      </c>
      <c r="O35" s="24">
        <f>GSVA_cur!O35</f>
        <v>1890149.0000000002</v>
      </c>
      <c r="P35" s="24">
        <f>GSVA_cur!P35</f>
        <v>2112374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</row>
    <row r="36" spans="1:194" s="30" customFormat="1" ht="15.75" x14ac:dyDescent="0.25">
      <c r="A36" s="37" t="s">
        <v>45</v>
      </c>
      <c r="B36" s="38" t="s">
        <v>63</v>
      </c>
      <c r="C36" s="24">
        <f>C33+C34-C35</f>
        <v>27115248.068239864</v>
      </c>
      <c r="D36" s="24">
        <f t="shared" ref="D36:M36" si="22">D33+D34-D35</f>
        <v>31435302.266926263</v>
      </c>
      <c r="E36" s="24">
        <f t="shared" si="22"/>
        <v>36219640.913750634</v>
      </c>
      <c r="F36" s="24">
        <f t="shared" si="22"/>
        <v>39295019.134774193</v>
      </c>
      <c r="G36" s="24">
        <f t="shared" si="22"/>
        <v>44605901.861662954</v>
      </c>
      <c r="H36" s="24">
        <f t="shared" si="22"/>
        <v>50727614.865634106</v>
      </c>
      <c r="I36" s="24">
        <f t="shared" si="22"/>
        <v>57968490.279571675</v>
      </c>
      <c r="J36" s="24">
        <f t="shared" si="22"/>
        <v>62905458.990059674</v>
      </c>
      <c r="K36" s="24">
        <f t="shared" si="22"/>
        <v>66517672.086450353</v>
      </c>
      <c r="L36" s="24">
        <f t="shared" si="22"/>
        <v>65314552.510451823</v>
      </c>
      <c r="M36" s="24">
        <f t="shared" si="22"/>
        <v>78740292.35790582</v>
      </c>
      <c r="N36" s="24">
        <f t="shared" ref="N36" si="23">N33+N34-N35</f>
        <v>86931538.292972147</v>
      </c>
      <c r="O36" s="24">
        <f t="shared" ref="O36" si="24">O33+O34-O35</f>
        <v>97153422.451500878</v>
      </c>
      <c r="P36" s="24">
        <f t="shared" ref="P36" si="25">P33+P34-P35</f>
        <v>108726941.51493412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94" s="30" customFormat="1" ht="15.75" x14ac:dyDescent="0.25">
      <c r="A37" s="37" t="s">
        <v>46</v>
      </c>
      <c r="B37" s="38" t="s">
        <v>42</v>
      </c>
      <c r="C37" s="24">
        <f>GSVA_cur!C37</f>
        <v>255600</v>
      </c>
      <c r="D37" s="24">
        <f>GSVA_cur!D37</f>
        <v>259220</v>
      </c>
      <c r="E37" s="24">
        <f>GSVA_cur!E37</f>
        <v>262900</v>
      </c>
      <c r="F37" s="24">
        <f>GSVA_cur!F37</f>
        <v>266620</v>
      </c>
      <c r="G37" s="24">
        <f>GSVA_cur!G37</f>
        <v>270400</v>
      </c>
      <c r="H37" s="24">
        <f>GSVA_cur!H37</f>
        <v>274230</v>
      </c>
      <c r="I37" s="24">
        <f>GSVA_cur!I37</f>
        <v>278110</v>
      </c>
      <c r="J37" s="24">
        <f>GSVA_cur!J37</f>
        <v>282060</v>
      </c>
      <c r="K37" s="24">
        <f>GSVA_cur!K37</f>
        <v>286060</v>
      </c>
      <c r="L37" s="24">
        <f>GSVA_cur!L37</f>
        <v>290110</v>
      </c>
      <c r="M37" s="24">
        <f>GSVA_cur!M37</f>
        <v>296950</v>
      </c>
      <c r="N37" s="24">
        <f>GSVA_cur!N37</f>
        <v>300580</v>
      </c>
      <c r="O37" s="24">
        <f>GSVA_cur!O37</f>
        <v>304210</v>
      </c>
      <c r="P37" s="24">
        <f>GSVA_cur!P37</f>
        <v>307850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</row>
    <row r="38" spans="1:194" s="30" customFormat="1" ht="15.75" x14ac:dyDescent="0.25">
      <c r="A38" s="37" t="s">
        <v>47</v>
      </c>
      <c r="B38" s="38" t="s">
        <v>64</v>
      </c>
      <c r="C38" s="24">
        <f>C36/C37*1000</f>
        <v>106084.69510265988</v>
      </c>
      <c r="D38" s="24">
        <f t="shared" ref="D38:M38" si="26">D36/D37*1000</f>
        <v>121268.81516444049</v>
      </c>
      <c r="E38" s="24">
        <f t="shared" si="26"/>
        <v>137769.64972898681</v>
      </c>
      <c r="F38" s="24">
        <f t="shared" si="26"/>
        <v>147382.11362528763</v>
      </c>
      <c r="G38" s="24">
        <f t="shared" si="26"/>
        <v>164962.65481384227</v>
      </c>
      <c r="H38" s="24">
        <f t="shared" si="26"/>
        <v>184982.00366711922</v>
      </c>
      <c r="I38" s="24">
        <f t="shared" si="26"/>
        <v>208437.27402672207</v>
      </c>
      <c r="J38" s="24">
        <f t="shared" si="26"/>
        <v>223021.55211678252</v>
      </c>
      <c r="K38" s="24">
        <f t="shared" si="26"/>
        <v>232530.49040918113</v>
      </c>
      <c r="L38" s="24">
        <f t="shared" si="26"/>
        <v>225137.19799542183</v>
      </c>
      <c r="M38" s="24">
        <f t="shared" si="26"/>
        <v>265163.46980267996</v>
      </c>
      <c r="N38" s="24">
        <f t="shared" ref="N38" si="27">N36/N37*1000</f>
        <v>289212.64985352365</v>
      </c>
      <c r="O38" s="24">
        <f t="shared" ref="O38" si="28">O36/O37*1000</f>
        <v>319363.01387693</v>
      </c>
      <c r="P38" s="24">
        <f t="shared" ref="P38" si="29">P36/P37*1000</f>
        <v>353181.55437691772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28"/>
      <c r="CD38" s="33"/>
      <c r="CE38" s="33"/>
      <c r="CF38" s="33"/>
      <c r="CG38" s="33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</row>
    <row r="39" spans="1:19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86" zoomScaleNormal="86" zoomScaleSheetLayoutView="100" workbookViewId="0">
      <pane xSplit="2" ySplit="5" topLeftCell="C6" activePane="bottomRight" state="frozen"/>
      <selection activeCell="R35" sqref="R35"/>
      <selection pane="topRight" activeCell="R35" sqref="R35"/>
      <selection pane="bottomLeft" activeCell="R35" sqref="R35"/>
      <selection pane="bottomRight" activeCell="R35" sqref="R35"/>
    </sheetView>
  </sheetViews>
  <sheetFormatPr defaultColWidth="8.85546875" defaultRowHeight="15" x14ac:dyDescent="0.25"/>
  <cols>
    <col min="1" max="1" width="8.42578125" style="2" customWidth="1"/>
    <col min="2" max="2" width="27.140625" style="2" customWidth="1"/>
    <col min="3" max="9" width="10.5703125" style="2" customWidth="1"/>
    <col min="10" max="16" width="10.570312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6" t="s">
        <v>66</v>
      </c>
      <c r="T1" s="3"/>
    </row>
    <row r="2" spans="1:190" ht="15.75" x14ac:dyDescent="0.25">
      <c r="A2" s="7" t="s">
        <v>52</v>
      </c>
      <c r="I2" s="2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8"/>
      <c r="F4" s="8" t="s">
        <v>57</v>
      </c>
      <c r="G4" s="8"/>
      <c r="H4" s="8"/>
      <c r="I4" s="8"/>
    </row>
    <row r="5" spans="1:190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1" t="s">
        <v>65</v>
      </c>
      <c r="H5" s="11" t="s">
        <v>67</v>
      </c>
      <c r="I5" s="11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90" s="29" customFormat="1" ht="30" x14ac:dyDescent="0.25">
      <c r="A6" s="25" t="s">
        <v>26</v>
      </c>
      <c r="B6" s="26" t="s">
        <v>2</v>
      </c>
      <c r="C6" s="27">
        <f>SUM(C7:C10)</f>
        <v>6090864.9161639884</v>
      </c>
      <c r="D6" s="27">
        <f t="shared" ref="D6:N6" si="0">SUM(D7:D10)</f>
        <v>5935276.7175318152</v>
      </c>
      <c r="E6" s="27">
        <f t="shared" si="0"/>
        <v>6075360.8779922063</v>
      </c>
      <c r="F6" s="27">
        <f t="shared" si="0"/>
        <v>5896830.4306350537</v>
      </c>
      <c r="G6" s="27">
        <f t="shared" si="0"/>
        <v>6124376.6742429063</v>
      </c>
      <c r="H6" s="27">
        <f t="shared" si="0"/>
        <v>6627816.1868084753</v>
      </c>
      <c r="I6" s="27">
        <f t="shared" si="0"/>
        <v>7101971.0123078246</v>
      </c>
      <c r="J6" s="27">
        <f t="shared" si="0"/>
        <v>7748918.000418542</v>
      </c>
      <c r="K6" s="27">
        <f t="shared" si="0"/>
        <v>8156494.7766579473</v>
      </c>
      <c r="L6" s="27">
        <f t="shared" si="0"/>
        <v>7966263.7696388485</v>
      </c>
      <c r="M6" s="27">
        <f t="shared" si="0"/>
        <v>7870605.9256374557</v>
      </c>
      <c r="N6" s="27">
        <f t="shared" si="0"/>
        <v>7870792.3182148188</v>
      </c>
      <c r="O6" s="27">
        <f t="shared" ref="O6:P6" si="1">SUM(O7:O10)</f>
        <v>8379670.7659780309</v>
      </c>
      <c r="P6" s="27">
        <f t="shared" si="1"/>
        <v>8750095.8559843507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H6" s="30"/>
    </row>
    <row r="7" spans="1:190" ht="15.75" x14ac:dyDescent="0.25">
      <c r="A7" s="16">
        <v>1.1000000000000001</v>
      </c>
      <c r="B7" s="17" t="s">
        <v>59</v>
      </c>
      <c r="C7" s="22">
        <v>3765608.7830160912</v>
      </c>
      <c r="D7" s="22">
        <v>3508882.4116156576</v>
      </c>
      <c r="E7" s="22">
        <v>3533449.3505520732</v>
      </c>
      <c r="F7" s="22">
        <v>3185779.9880235889</v>
      </c>
      <c r="G7" s="22">
        <v>3229283.6593437744</v>
      </c>
      <c r="H7" s="22">
        <v>3632329.1214186857</v>
      </c>
      <c r="I7" s="22">
        <v>3735274.4374116715</v>
      </c>
      <c r="J7" s="22">
        <v>3809835.7365465201</v>
      </c>
      <c r="K7" s="22">
        <v>3782328.0757847433</v>
      </c>
      <c r="L7" s="22">
        <v>3727907.1534707868</v>
      </c>
      <c r="M7" s="22">
        <v>3463708.9818730308</v>
      </c>
      <c r="N7" s="22">
        <v>3286143.8103104266</v>
      </c>
      <c r="O7" s="22">
        <v>3628844.7942034611</v>
      </c>
      <c r="P7" s="22">
        <v>3638616.2354945801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16">
        <v>1.2</v>
      </c>
      <c r="B8" s="17" t="s">
        <v>60</v>
      </c>
      <c r="C8" s="22">
        <v>1864272.5808010325</v>
      </c>
      <c r="D8" s="22">
        <v>1973991.3943916804</v>
      </c>
      <c r="E8" s="22">
        <v>2101452.5554975485</v>
      </c>
      <c r="F8" s="22">
        <v>2244856.860514272</v>
      </c>
      <c r="G8" s="22">
        <v>2410504.854283941</v>
      </c>
      <c r="H8" s="22">
        <v>2604325.3810774982</v>
      </c>
      <c r="I8" s="22">
        <v>2890038.7861527693</v>
      </c>
      <c r="J8" s="22">
        <v>3425695.423410885</v>
      </c>
      <c r="K8" s="22">
        <v>3803220.9768788656</v>
      </c>
      <c r="L8" s="22">
        <v>3659920.6689875931</v>
      </c>
      <c r="M8" s="22">
        <v>3811403.3490807954</v>
      </c>
      <c r="N8" s="22">
        <v>3955307.3806938557</v>
      </c>
      <c r="O8" s="22">
        <v>4079355.6363063357</v>
      </c>
      <c r="P8" s="22">
        <v>4395958.1179811899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16">
        <v>1.3</v>
      </c>
      <c r="B9" s="17" t="s">
        <v>61</v>
      </c>
      <c r="C9" s="22">
        <v>385230.72434686485</v>
      </c>
      <c r="D9" s="22">
        <v>372735.10475156963</v>
      </c>
      <c r="E9" s="22">
        <v>363733.88639198139</v>
      </c>
      <c r="F9" s="22">
        <v>386497.56295548048</v>
      </c>
      <c r="G9" s="22">
        <v>395063.94078551471</v>
      </c>
      <c r="H9" s="22">
        <v>285120.69544691819</v>
      </c>
      <c r="I9" s="22">
        <v>334120.69141143764</v>
      </c>
      <c r="J9" s="22">
        <v>370329.09311135754</v>
      </c>
      <c r="K9" s="22">
        <v>425564.24664675142</v>
      </c>
      <c r="L9" s="22">
        <v>419828.24630034738</v>
      </c>
      <c r="M9" s="22">
        <v>434291.02888702636</v>
      </c>
      <c r="N9" s="22">
        <v>461915.29451658844</v>
      </c>
      <c r="O9" s="22">
        <v>498937.31671964063</v>
      </c>
      <c r="P9" s="22">
        <v>530566.83593922236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16">
        <v>1.4</v>
      </c>
      <c r="B10" s="17" t="s">
        <v>62</v>
      </c>
      <c r="C10" s="22">
        <v>75752.827999999994</v>
      </c>
      <c r="D10" s="22">
        <v>79667.80677290837</v>
      </c>
      <c r="E10" s="22">
        <v>76725.085550602525</v>
      </c>
      <c r="F10" s="22">
        <v>79696.019141713521</v>
      </c>
      <c r="G10" s="22">
        <v>89524.219829675421</v>
      </c>
      <c r="H10" s="22">
        <v>106040.98886537377</v>
      </c>
      <c r="I10" s="22">
        <v>142537.09733194663</v>
      </c>
      <c r="J10" s="22">
        <v>143057.74734977959</v>
      </c>
      <c r="K10" s="22">
        <v>145381.47734758645</v>
      </c>
      <c r="L10" s="22">
        <v>158607.70088012138</v>
      </c>
      <c r="M10" s="22">
        <v>161202.56579660301</v>
      </c>
      <c r="N10" s="22">
        <v>167425.83269394829</v>
      </c>
      <c r="O10" s="22">
        <v>172533.0187485934</v>
      </c>
      <c r="P10" s="22">
        <v>184954.66656935791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19" t="s">
        <v>31</v>
      </c>
      <c r="B11" s="17" t="s">
        <v>3</v>
      </c>
      <c r="C11" s="22">
        <v>10415.238518400001</v>
      </c>
      <c r="D11" s="22">
        <v>7944.8106887072554</v>
      </c>
      <c r="E11" s="22">
        <v>23207.62764802192</v>
      </c>
      <c r="F11" s="22">
        <v>28486.425419342355</v>
      </c>
      <c r="G11" s="22">
        <v>60815.860166480481</v>
      </c>
      <c r="H11" s="22">
        <v>105903.44708521591</v>
      </c>
      <c r="I11" s="22">
        <v>98689.954921058204</v>
      </c>
      <c r="J11" s="22">
        <v>66659.467432211444</v>
      </c>
      <c r="K11" s="22">
        <v>111950.12871740801</v>
      </c>
      <c r="L11" s="22">
        <v>100334.69686014109</v>
      </c>
      <c r="M11" s="22">
        <v>60761.119038375509</v>
      </c>
      <c r="N11" s="22">
        <v>76224.88774300566</v>
      </c>
      <c r="O11" s="22">
        <v>83901.047680507079</v>
      </c>
      <c r="P11" s="22">
        <v>92226.134800325191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30" customFormat="1" ht="15.75" x14ac:dyDescent="0.25">
      <c r="A12" s="31"/>
      <c r="B12" s="32" t="s">
        <v>28</v>
      </c>
      <c r="C12" s="24">
        <f>C6+C11</f>
        <v>6101280.1546823885</v>
      </c>
      <c r="D12" s="24">
        <f t="shared" ref="D12:N12" si="2">D6+D11</f>
        <v>5943221.5282205222</v>
      </c>
      <c r="E12" s="24">
        <f t="shared" si="2"/>
        <v>6098568.5056402283</v>
      </c>
      <c r="F12" s="24">
        <f t="shared" si="2"/>
        <v>5925316.8560543964</v>
      </c>
      <c r="G12" s="24">
        <f t="shared" si="2"/>
        <v>6185192.534409387</v>
      </c>
      <c r="H12" s="24">
        <f t="shared" si="2"/>
        <v>6733719.633893691</v>
      </c>
      <c r="I12" s="24">
        <f t="shared" si="2"/>
        <v>7200660.9672288829</v>
      </c>
      <c r="J12" s="24">
        <f t="shared" si="2"/>
        <v>7815577.4678507531</v>
      </c>
      <c r="K12" s="24">
        <f t="shared" si="2"/>
        <v>8268444.9053753549</v>
      </c>
      <c r="L12" s="24">
        <f t="shared" si="2"/>
        <v>8066598.4664989896</v>
      </c>
      <c r="M12" s="24">
        <f t="shared" si="2"/>
        <v>7931367.0446758308</v>
      </c>
      <c r="N12" s="24">
        <f t="shared" si="2"/>
        <v>7947017.2059578244</v>
      </c>
      <c r="O12" s="24">
        <f t="shared" ref="O12:P12" si="3">O6+O11</f>
        <v>8463571.8136585373</v>
      </c>
      <c r="P12" s="24">
        <f t="shared" si="3"/>
        <v>8842321.9907846767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29"/>
      <c r="GF12" s="29"/>
      <c r="GG12" s="29"/>
    </row>
    <row r="13" spans="1:190" s="1" customFormat="1" ht="15.75" x14ac:dyDescent="0.25">
      <c r="A13" s="13" t="s">
        <v>32</v>
      </c>
      <c r="B13" s="14" t="s">
        <v>4</v>
      </c>
      <c r="C13" s="15">
        <v>4454729.1896071006</v>
      </c>
      <c r="D13" s="15">
        <v>5253032.1867405297</v>
      </c>
      <c r="E13" s="15">
        <v>5804854.5287915058</v>
      </c>
      <c r="F13" s="15">
        <v>6095452.0279938774</v>
      </c>
      <c r="G13" s="15">
        <v>7207707.7344098305</v>
      </c>
      <c r="H13" s="15">
        <v>8335397.7791364118</v>
      </c>
      <c r="I13" s="15">
        <v>8502460.4612294845</v>
      </c>
      <c r="J13" s="15">
        <v>9786742.6925091036</v>
      </c>
      <c r="K13" s="15">
        <v>9262143.3838176616</v>
      </c>
      <c r="L13" s="15">
        <v>8675680.2994515821</v>
      </c>
      <c r="M13" s="15">
        <v>10269479.994159535</v>
      </c>
      <c r="N13" s="15">
        <v>9829716.6652667411</v>
      </c>
      <c r="O13" s="15">
        <v>10432721.596159946</v>
      </c>
      <c r="P13" s="15">
        <v>11129519.993044736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19" t="s">
        <v>33</v>
      </c>
      <c r="B14" s="17" t="s">
        <v>5</v>
      </c>
      <c r="C14" s="22">
        <v>229047.77023444977</v>
      </c>
      <c r="D14" s="22">
        <v>138997.84111893724</v>
      </c>
      <c r="E14" s="22">
        <v>120188.36078877957</v>
      </c>
      <c r="F14" s="22">
        <v>134632.1537192947</v>
      </c>
      <c r="G14" s="22">
        <v>121977.29474884429</v>
      </c>
      <c r="H14" s="22">
        <v>146739.4107072422</v>
      </c>
      <c r="I14" s="22">
        <v>182919.15249747998</v>
      </c>
      <c r="J14" s="22">
        <v>174295.27540217049</v>
      </c>
      <c r="K14" s="22">
        <v>194296.51603918499</v>
      </c>
      <c r="L14" s="22">
        <v>171080.74167104147</v>
      </c>
      <c r="M14" s="22">
        <v>196009.29955800576</v>
      </c>
      <c r="N14" s="22">
        <v>226192.50637065171</v>
      </c>
      <c r="O14" s="22">
        <v>250151.21513144078</v>
      </c>
      <c r="P14" s="22">
        <v>291843.49739814072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19" t="s">
        <v>34</v>
      </c>
      <c r="B15" s="17" t="s">
        <v>6</v>
      </c>
      <c r="C15" s="22">
        <v>2839050.8934830818</v>
      </c>
      <c r="D15" s="22">
        <v>2612668.6721345186</v>
      </c>
      <c r="E15" s="22">
        <v>2864570.0587741812</v>
      </c>
      <c r="F15" s="22">
        <v>2815256.1356513822</v>
      </c>
      <c r="G15" s="22">
        <v>2758253.896425765</v>
      </c>
      <c r="H15" s="22">
        <v>2921830.6239604759</v>
      </c>
      <c r="I15" s="22">
        <v>3103562.5354390289</v>
      </c>
      <c r="J15" s="22">
        <v>3365912.5295770098</v>
      </c>
      <c r="K15" s="22">
        <v>3360489.2227037521</v>
      </c>
      <c r="L15" s="22">
        <v>3043930.2399798837</v>
      </c>
      <c r="M15" s="22">
        <v>3968155.7601450565</v>
      </c>
      <c r="N15" s="22">
        <v>4332386.1033680653</v>
      </c>
      <c r="O15" s="22">
        <v>4798868.435104982</v>
      </c>
      <c r="P15" s="22">
        <v>5296348.4004429961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30" customFormat="1" ht="15.75" x14ac:dyDescent="0.25">
      <c r="A16" s="31"/>
      <c r="B16" s="32" t="s">
        <v>29</v>
      </c>
      <c r="C16" s="24">
        <f>+C13+C14+C15</f>
        <v>7522827.8533246322</v>
      </c>
      <c r="D16" s="24">
        <f t="shared" ref="D16:K16" si="4">+D13+D14+D15</f>
        <v>8004698.6999939857</v>
      </c>
      <c r="E16" s="24">
        <f t="shared" si="4"/>
        <v>8789612.9483544659</v>
      </c>
      <c r="F16" s="24">
        <f t="shared" si="4"/>
        <v>9045340.3173645549</v>
      </c>
      <c r="G16" s="24">
        <f t="shared" si="4"/>
        <v>10087938.925584439</v>
      </c>
      <c r="H16" s="24">
        <f t="shared" si="4"/>
        <v>11403967.813804131</v>
      </c>
      <c r="I16" s="24">
        <f t="shared" si="4"/>
        <v>11788942.149165994</v>
      </c>
      <c r="J16" s="24">
        <f t="shared" si="4"/>
        <v>13326950.497488283</v>
      </c>
      <c r="K16" s="24">
        <f t="shared" si="4"/>
        <v>12816929.122560598</v>
      </c>
      <c r="L16" s="24">
        <f t="shared" ref="L16:N16" si="5">+L13+L14+L15</f>
        <v>11890691.281102506</v>
      </c>
      <c r="M16" s="24">
        <f t="shared" si="5"/>
        <v>14433645.053862598</v>
      </c>
      <c r="N16" s="24">
        <f t="shared" si="5"/>
        <v>14388295.27500546</v>
      </c>
      <c r="O16" s="24">
        <f t="shared" ref="O16:P16" si="6">+O13+O14+O15</f>
        <v>15481741.24639637</v>
      </c>
      <c r="P16" s="24">
        <f t="shared" si="6"/>
        <v>16717711.890885871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28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28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28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29"/>
      <c r="GF16" s="29"/>
      <c r="GG16" s="29"/>
    </row>
    <row r="17" spans="1:190" s="29" customFormat="1" ht="30" x14ac:dyDescent="0.25">
      <c r="A17" s="25" t="s">
        <v>35</v>
      </c>
      <c r="B17" s="26" t="s">
        <v>7</v>
      </c>
      <c r="C17" s="27">
        <f>C18+C19</f>
        <v>3162514.617737371</v>
      </c>
      <c r="D17" s="27">
        <f t="shared" ref="D17:K17" si="7">D18+D19</f>
        <v>3451158.6121909968</v>
      </c>
      <c r="E17" s="27">
        <f t="shared" si="7"/>
        <v>3643298.4661615668</v>
      </c>
      <c r="F17" s="27">
        <f t="shared" si="7"/>
        <v>4088483.1106291269</v>
      </c>
      <c r="G17" s="27">
        <f t="shared" si="7"/>
        <v>4745355.7987791523</v>
      </c>
      <c r="H17" s="27">
        <f t="shared" si="7"/>
        <v>5273610.4338371614</v>
      </c>
      <c r="I17" s="27">
        <f t="shared" si="7"/>
        <v>5928505.8554754313</v>
      </c>
      <c r="J17" s="27">
        <f t="shared" si="7"/>
        <v>6503096.6264928011</v>
      </c>
      <c r="K17" s="27">
        <f t="shared" si="7"/>
        <v>6971815.7648447994</v>
      </c>
      <c r="L17" s="27">
        <f t="shared" ref="L17:N17" si="8">L18+L19</f>
        <v>5445962.2887519402</v>
      </c>
      <c r="M17" s="27">
        <f t="shared" si="8"/>
        <v>5990185.8897867827</v>
      </c>
      <c r="N17" s="27">
        <f t="shared" si="8"/>
        <v>6689177.8419690756</v>
      </c>
      <c r="O17" s="27">
        <f t="shared" ref="O17:P17" si="9">O18+O19</f>
        <v>7412370.2228779132</v>
      </c>
      <c r="P17" s="27">
        <f t="shared" si="9"/>
        <v>8043798.2527094213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H17" s="30"/>
    </row>
    <row r="18" spans="1:190" ht="15.75" x14ac:dyDescent="0.25">
      <c r="A18" s="16">
        <v>6.1</v>
      </c>
      <c r="B18" s="17" t="s">
        <v>8</v>
      </c>
      <c r="C18" s="22">
        <v>3048636.5014294474</v>
      </c>
      <c r="D18" s="22">
        <v>3334716.4969201824</v>
      </c>
      <c r="E18" s="22">
        <v>3526527.5582116847</v>
      </c>
      <c r="F18" s="22">
        <v>3968131.4059348232</v>
      </c>
      <c r="G18" s="22">
        <v>4612395.8262662869</v>
      </c>
      <c r="H18" s="22">
        <v>5130292.6881306954</v>
      </c>
      <c r="I18" s="22">
        <v>5774574.3622879842</v>
      </c>
      <c r="J18" s="22">
        <v>6343606.24300576</v>
      </c>
      <c r="K18" s="22">
        <v>6801429.2045100043</v>
      </c>
      <c r="L18" s="22">
        <v>5376664.0777189881</v>
      </c>
      <c r="M18" s="22">
        <v>5894562.7466535103</v>
      </c>
      <c r="N18" s="22">
        <v>6535709.8253161181</v>
      </c>
      <c r="O18" s="22">
        <v>7231684.383919864</v>
      </c>
      <c r="P18" s="22">
        <v>7838621.9610758843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16">
        <v>6.2</v>
      </c>
      <c r="B19" s="17" t="s">
        <v>9</v>
      </c>
      <c r="C19" s="22">
        <v>113878.11630792356</v>
      </c>
      <c r="D19" s="22">
        <v>116442.11527081438</v>
      </c>
      <c r="E19" s="22">
        <v>116770.90794988188</v>
      </c>
      <c r="F19" s="22">
        <v>120351.7046943039</v>
      </c>
      <c r="G19" s="22">
        <v>132959.97251286506</v>
      </c>
      <c r="H19" s="22">
        <v>143317.74570646576</v>
      </c>
      <c r="I19" s="22">
        <v>153931.49318744687</v>
      </c>
      <c r="J19" s="22">
        <v>159490.38348704154</v>
      </c>
      <c r="K19" s="22">
        <v>170386.56033479469</v>
      </c>
      <c r="L19" s="22">
        <v>69298.211032952095</v>
      </c>
      <c r="M19" s="22">
        <v>95623.143133272068</v>
      </c>
      <c r="N19" s="22">
        <v>153468.01665295789</v>
      </c>
      <c r="O19" s="22">
        <v>180685.83895804887</v>
      </c>
      <c r="P19" s="22">
        <v>205176.29163353739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29" customFormat="1" ht="45" x14ac:dyDescent="0.25">
      <c r="A20" s="34" t="s">
        <v>36</v>
      </c>
      <c r="B20" s="35" t="s">
        <v>10</v>
      </c>
      <c r="C20" s="27">
        <f>SUM(C21:C27)</f>
        <v>1497704.3367471136</v>
      </c>
      <c r="D20" s="27">
        <f t="shared" ref="D20:N20" si="10">SUM(D21:D27)</f>
        <v>1629542.6247176081</v>
      </c>
      <c r="E20" s="27">
        <f t="shared" si="10"/>
        <v>1720861.9384916686</v>
      </c>
      <c r="F20" s="27">
        <f t="shared" si="10"/>
        <v>1937766.2253906899</v>
      </c>
      <c r="G20" s="27">
        <f t="shared" si="10"/>
        <v>2074906.5372021659</v>
      </c>
      <c r="H20" s="27">
        <f t="shared" si="10"/>
        <v>2071034.3207691447</v>
      </c>
      <c r="I20" s="27">
        <f t="shared" si="10"/>
        <v>2005975.4053349653</v>
      </c>
      <c r="J20" s="27">
        <f t="shared" si="10"/>
        <v>2022700.2966456774</v>
      </c>
      <c r="K20" s="27">
        <f t="shared" si="10"/>
        <v>2072632.9257620713</v>
      </c>
      <c r="L20" s="27">
        <f t="shared" si="10"/>
        <v>1680483.2296250672</v>
      </c>
      <c r="M20" s="27">
        <f t="shared" si="10"/>
        <v>2058910.5668156827</v>
      </c>
      <c r="N20" s="27">
        <f t="shared" si="10"/>
        <v>2224914.7651486192</v>
      </c>
      <c r="O20" s="27">
        <f t="shared" ref="O20:P20" si="11">SUM(O21:O27)</f>
        <v>2395281.7683524136</v>
      </c>
      <c r="P20" s="27">
        <f t="shared" si="11"/>
        <v>2618670.1622552034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H20" s="30"/>
    </row>
    <row r="21" spans="1:190" ht="15.75" x14ac:dyDescent="0.25">
      <c r="A21" s="16">
        <v>7.1</v>
      </c>
      <c r="B21" s="17" t="s">
        <v>11</v>
      </c>
      <c r="C21" s="22">
        <v>176469.99999999997</v>
      </c>
      <c r="D21" s="22">
        <v>215140</v>
      </c>
      <c r="E21" s="22">
        <v>203421</v>
      </c>
      <c r="F21" s="22">
        <v>222386</v>
      </c>
      <c r="G21" s="22">
        <v>219265</v>
      </c>
      <c r="H21" s="22">
        <v>166126.00000000003</v>
      </c>
      <c r="I21" s="22">
        <v>125210.00872119972</v>
      </c>
      <c r="J21" s="22">
        <v>95966.899329591703</v>
      </c>
      <c r="K21" s="22">
        <v>46122.714409384163</v>
      </c>
      <c r="L21" s="22">
        <v>-5182.7347283302061</v>
      </c>
      <c r="M21" s="22">
        <v>62626.191802473251</v>
      </c>
      <c r="N21" s="22">
        <v>99533.999435177204</v>
      </c>
      <c r="O21" s="22">
        <v>106134.37478565247</v>
      </c>
      <c r="P21" s="22">
        <v>116106.41131869865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16">
        <v>7.2</v>
      </c>
      <c r="B22" s="17" t="s">
        <v>12</v>
      </c>
      <c r="C22" s="22">
        <v>935221.50923363294</v>
      </c>
      <c r="D22" s="22">
        <v>1014242.9560527322</v>
      </c>
      <c r="E22" s="22">
        <v>1091312.8629562722</v>
      </c>
      <c r="F22" s="22">
        <v>1222945.0521860835</v>
      </c>
      <c r="G22" s="22">
        <v>1290277.9769758172</v>
      </c>
      <c r="H22" s="22">
        <v>1361596.2074507312</v>
      </c>
      <c r="I22" s="22">
        <v>1384728.6494411081</v>
      </c>
      <c r="J22" s="22">
        <v>1406878.409329813</v>
      </c>
      <c r="K22" s="22">
        <v>1464579.8420587943</v>
      </c>
      <c r="L22" s="22">
        <v>1173959.9204073271</v>
      </c>
      <c r="M22" s="22">
        <v>1453633.1184957046</v>
      </c>
      <c r="N22" s="22">
        <v>1543955.0944169159</v>
      </c>
      <c r="O22" s="22">
        <v>1654840.0062708687</v>
      </c>
      <c r="P22" s="22">
        <v>1810323.3266579434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16">
        <v>7.3</v>
      </c>
      <c r="B23" s="17" t="s">
        <v>13</v>
      </c>
      <c r="C23" s="18"/>
      <c r="D23" s="18"/>
      <c r="E23" s="18"/>
      <c r="F23" s="18"/>
      <c r="G23" s="18"/>
      <c r="H23" s="18"/>
      <c r="I23" s="18"/>
      <c r="J23" s="15"/>
      <c r="K23" s="15"/>
      <c r="L23" s="15"/>
      <c r="M23" s="15"/>
      <c r="N23" s="15"/>
      <c r="O23" s="15"/>
      <c r="P23" s="15"/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16">
        <v>7.4</v>
      </c>
      <c r="B24" s="17" t="s">
        <v>14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-3.0994551656603919E-2</v>
      </c>
      <c r="M24" s="22">
        <v>-0.10194200590010528</v>
      </c>
      <c r="N24" s="22">
        <v>6.7212464731288502E-2</v>
      </c>
      <c r="O24" s="22">
        <v>6.5935351550472421E-2</v>
      </c>
      <c r="P24" s="22">
        <v>6.4324453483953936E-2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30" x14ac:dyDescent="0.25">
      <c r="A25" s="16">
        <v>7.5</v>
      </c>
      <c r="B25" s="17" t="s">
        <v>15</v>
      </c>
      <c r="C25" s="22">
        <v>129626.07708350306</v>
      </c>
      <c r="D25" s="22">
        <v>140011.49780599994</v>
      </c>
      <c r="E25" s="22">
        <v>141502.78171281115</v>
      </c>
      <c r="F25" s="22">
        <v>164010.51927593516</v>
      </c>
      <c r="G25" s="22">
        <v>171594.26581653979</v>
      </c>
      <c r="H25" s="22">
        <v>182508.24687824928</v>
      </c>
      <c r="I25" s="22">
        <v>185574.74460095484</v>
      </c>
      <c r="J25" s="22">
        <v>191294.9168759608</v>
      </c>
      <c r="K25" s="22">
        <v>202550.31521737971</v>
      </c>
      <c r="L25" s="22">
        <v>195745.01166888053</v>
      </c>
      <c r="M25" s="22">
        <v>196147.83439519533</v>
      </c>
      <c r="N25" s="22">
        <v>207293.08388283872</v>
      </c>
      <c r="O25" s="22">
        <v>223265.94066293965</v>
      </c>
      <c r="P25" s="22">
        <v>243632.99132437655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16">
        <v>7.6</v>
      </c>
      <c r="B26" s="17" t="s">
        <v>16</v>
      </c>
      <c r="C26" s="22">
        <v>10261.529576085211</v>
      </c>
      <c r="D26" s="22">
        <v>10773.217751484981</v>
      </c>
      <c r="E26" s="22">
        <v>10447.167714724055</v>
      </c>
      <c r="F26" s="22">
        <v>9820.0139138120394</v>
      </c>
      <c r="G26" s="22">
        <v>10630.279535248163</v>
      </c>
      <c r="H26" s="22">
        <v>10196.968051804603</v>
      </c>
      <c r="I26" s="22">
        <v>8717.0303957655578</v>
      </c>
      <c r="J26" s="22">
        <v>11278.066399632184</v>
      </c>
      <c r="K26" s="22">
        <v>12083.740219297089</v>
      </c>
      <c r="L26" s="22">
        <v>13256.116162613551</v>
      </c>
      <c r="M26" s="22">
        <v>12780.385006813034</v>
      </c>
      <c r="N26" s="22">
        <v>10504.343420887359</v>
      </c>
      <c r="O26" s="22">
        <v>11128.348648181494</v>
      </c>
      <c r="P26" s="22">
        <v>11462.199107626941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16">
        <v>7.7</v>
      </c>
      <c r="B27" s="17" t="s">
        <v>17</v>
      </c>
      <c r="C27" s="22">
        <v>246125.2208538925</v>
      </c>
      <c r="D27" s="22">
        <v>249374.95310739079</v>
      </c>
      <c r="E27" s="22">
        <v>274178.12610786106</v>
      </c>
      <c r="F27" s="22">
        <v>318604.64001485915</v>
      </c>
      <c r="G27" s="22">
        <v>383139.01487456064</v>
      </c>
      <c r="H27" s="22">
        <v>350606.89838835946</v>
      </c>
      <c r="I27" s="22">
        <v>301744.97217593691</v>
      </c>
      <c r="J27" s="22">
        <v>317282.00471067964</v>
      </c>
      <c r="K27" s="22">
        <v>347296.31385721581</v>
      </c>
      <c r="L27" s="22">
        <v>302704.94710912817</v>
      </c>
      <c r="M27" s="22">
        <v>333723.13905750203</v>
      </c>
      <c r="N27" s="22">
        <v>363628.17678033491</v>
      </c>
      <c r="O27" s="22">
        <v>399913.03204942</v>
      </c>
      <c r="P27" s="22">
        <v>437145.16952210444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19" t="s">
        <v>37</v>
      </c>
      <c r="B28" s="17" t="s">
        <v>18</v>
      </c>
      <c r="C28" s="22">
        <v>1147252</v>
      </c>
      <c r="D28" s="22">
        <v>1272448</v>
      </c>
      <c r="E28" s="22">
        <v>1409245</v>
      </c>
      <c r="F28" s="22">
        <v>1563737</v>
      </c>
      <c r="G28" s="22">
        <v>1796281.1746036415</v>
      </c>
      <c r="H28" s="22">
        <v>1967791</v>
      </c>
      <c r="I28" s="22">
        <v>1660365.2378694594</v>
      </c>
      <c r="J28" s="22">
        <v>2043503.7420389846</v>
      </c>
      <c r="K28" s="22">
        <v>2160857.8701629778</v>
      </c>
      <c r="L28" s="22">
        <v>2406368.9934027721</v>
      </c>
      <c r="M28" s="22">
        <v>2411763.2996769305</v>
      </c>
      <c r="N28" s="22">
        <v>2590584.6328126173</v>
      </c>
      <c r="O28" s="22">
        <v>2806220.8262608722</v>
      </c>
      <c r="P28" s="22">
        <v>3001128.1266676662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45" x14ac:dyDescent="0.25">
      <c r="A29" s="19" t="s">
        <v>38</v>
      </c>
      <c r="B29" s="17" t="s">
        <v>19</v>
      </c>
      <c r="C29" s="22">
        <v>3577654.5589088937</v>
      </c>
      <c r="D29" s="22">
        <v>4048175.574861832</v>
      </c>
      <c r="E29" s="22">
        <v>4736923.0646160273</v>
      </c>
      <c r="F29" s="22">
        <v>4985167.3589459304</v>
      </c>
      <c r="G29" s="22">
        <v>5453910.6981342407</v>
      </c>
      <c r="H29" s="22">
        <v>5932663.2862961609</v>
      </c>
      <c r="I29" s="22">
        <v>6223700.0505553475</v>
      </c>
      <c r="J29" s="22">
        <v>6579634.3127429103</v>
      </c>
      <c r="K29" s="22">
        <v>6784216.2141507547</v>
      </c>
      <c r="L29" s="22">
        <v>6241880.8633635808</v>
      </c>
      <c r="M29" s="22">
        <v>7320479.1884975098</v>
      </c>
      <c r="N29" s="22">
        <v>8256832.0984507734</v>
      </c>
      <c r="O29" s="22">
        <v>8845859.1883639432</v>
      </c>
      <c r="P29" s="22">
        <v>9607922.5851342678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19" t="s">
        <v>39</v>
      </c>
      <c r="B30" s="17" t="s">
        <v>54</v>
      </c>
      <c r="C30" s="22">
        <v>563445.97006066993</v>
      </c>
      <c r="D30" s="22">
        <v>588556.179258305</v>
      </c>
      <c r="E30" s="22">
        <v>588636.44082187128</v>
      </c>
      <c r="F30" s="22">
        <v>667418.49794735573</v>
      </c>
      <c r="G30" s="22">
        <v>691045.42288942204</v>
      </c>
      <c r="H30" s="22">
        <v>734481.76156583638</v>
      </c>
      <c r="I30" s="22">
        <v>841483.59080230654</v>
      </c>
      <c r="J30" s="22">
        <v>880971.49183504004</v>
      </c>
      <c r="K30" s="22">
        <v>941791.9635729983</v>
      </c>
      <c r="L30" s="22">
        <v>917855.70287029399</v>
      </c>
      <c r="M30" s="22">
        <v>971912.75939374778</v>
      </c>
      <c r="N30" s="22">
        <v>1000789.7932148624</v>
      </c>
      <c r="O30" s="22">
        <v>1005647.7100560211</v>
      </c>
      <c r="P30" s="22">
        <v>1026445.1839158996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19" t="s">
        <v>40</v>
      </c>
      <c r="B31" s="17" t="s">
        <v>20</v>
      </c>
      <c r="C31" s="22">
        <v>1196179.4366543719</v>
      </c>
      <c r="D31" s="22">
        <v>1306686.3225678336</v>
      </c>
      <c r="E31" s="22">
        <v>1361177.628153366</v>
      </c>
      <c r="F31" s="22">
        <v>1566156.0395427432</v>
      </c>
      <c r="G31" s="22">
        <v>1635714.3782873789</v>
      </c>
      <c r="H31" s="22">
        <v>1778377.0617873645</v>
      </c>
      <c r="I31" s="22">
        <v>2033307.502465989</v>
      </c>
      <c r="J31" s="22">
        <v>2058974.7472340164</v>
      </c>
      <c r="K31" s="22">
        <v>2208196.6296525723</v>
      </c>
      <c r="L31" s="22">
        <v>1866081.5152310133</v>
      </c>
      <c r="M31" s="22">
        <v>2118651.8605090422</v>
      </c>
      <c r="N31" s="22">
        <v>2274162.3407445978</v>
      </c>
      <c r="O31" s="22">
        <v>2407658.3633501916</v>
      </c>
      <c r="P31" s="22">
        <v>2658471.9554245309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30" customFormat="1" ht="15.75" x14ac:dyDescent="0.25">
      <c r="A32" s="31"/>
      <c r="B32" s="32" t="s">
        <v>30</v>
      </c>
      <c r="C32" s="24">
        <f>C17+C20+C28+C29+C30+C31</f>
        <v>11144750.920108423</v>
      </c>
      <c r="D32" s="24">
        <f t="shared" ref="D32:M32" si="12">D17+D20+D28+D29+D30+D31</f>
        <v>12296567.313596576</v>
      </c>
      <c r="E32" s="24">
        <f t="shared" si="12"/>
        <v>13460142.538244501</v>
      </c>
      <c r="F32" s="24">
        <f t="shared" si="12"/>
        <v>14808728.232455846</v>
      </c>
      <c r="G32" s="24">
        <f t="shared" si="12"/>
        <v>16397214.009896003</v>
      </c>
      <c r="H32" s="24">
        <f t="shared" si="12"/>
        <v>17757957.864255667</v>
      </c>
      <c r="I32" s="24">
        <f t="shared" si="12"/>
        <v>18693337.642503496</v>
      </c>
      <c r="J32" s="24">
        <f t="shared" si="12"/>
        <v>20088881.216989428</v>
      </c>
      <c r="K32" s="24">
        <f t="shared" si="12"/>
        <v>21139511.368146174</v>
      </c>
      <c r="L32" s="24">
        <f t="shared" si="12"/>
        <v>18558632.593244668</v>
      </c>
      <c r="M32" s="24">
        <f t="shared" si="12"/>
        <v>20871903.564679697</v>
      </c>
      <c r="N32" s="24">
        <f t="shared" ref="N32" si="13">N17+N20+N28+N29+N30+N31</f>
        <v>23036461.472340547</v>
      </c>
      <c r="O32" s="24">
        <f t="shared" ref="O32" si="14">O17+O20+O28+O29+O30+O31</f>
        <v>24873038.079261355</v>
      </c>
      <c r="P32" s="24">
        <f t="shared" ref="P32" si="15">P17+P20+P28+P29+P30+P31</f>
        <v>26956436.266106989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29"/>
      <c r="GF32" s="29"/>
      <c r="GG32" s="29"/>
    </row>
    <row r="33" spans="1:190" s="29" customFormat="1" ht="15.75" x14ac:dyDescent="0.25">
      <c r="A33" s="25" t="s">
        <v>27</v>
      </c>
      <c r="B33" s="36" t="s">
        <v>51</v>
      </c>
      <c r="C33" s="27">
        <f>C6+C11+C13+C14+C15+C17+C20+C28+C29+C30+C31</f>
        <v>24768858.928115439</v>
      </c>
      <c r="D33" s="27">
        <f t="shared" ref="D33:M33" si="16">D6+D11+D13+D14+D15+D17+D20+D28+D29+D30+D31</f>
        <v>26244487.541811086</v>
      </c>
      <c r="E33" s="27">
        <f t="shared" si="16"/>
        <v>28348323.992239192</v>
      </c>
      <c r="F33" s="27">
        <f t="shared" si="16"/>
        <v>29779385.405874796</v>
      </c>
      <c r="G33" s="27">
        <f t="shared" si="16"/>
        <v>32670345.469889823</v>
      </c>
      <c r="H33" s="27">
        <f t="shared" si="16"/>
        <v>35895645.311953492</v>
      </c>
      <c r="I33" s="27">
        <f t="shared" si="16"/>
        <v>37682940.758898363</v>
      </c>
      <c r="J33" s="27">
        <f t="shared" si="16"/>
        <v>41231409.18232847</v>
      </c>
      <c r="K33" s="27">
        <f t="shared" si="16"/>
        <v>42224885.396082133</v>
      </c>
      <c r="L33" s="27">
        <f t="shared" si="16"/>
        <v>38515922.340846166</v>
      </c>
      <c r="M33" s="27">
        <f t="shared" si="16"/>
        <v>43236915.663218126</v>
      </c>
      <c r="N33" s="27">
        <f t="shared" ref="N33" si="17">N6+N11+N13+N14+N15+N17+N20+N28+N29+N30+N31</f>
        <v>45371773.953303836</v>
      </c>
      <c r="O33" s="27">
        <f t="shared" ref="O33" si="18">O6+O11+O13+O14+O15+O17+O20+O28+O29+O30+O31</f>
        <v>48818351.139316253</v>
      </c>
      <c r="P33" s="27">
        <f t="shared" ref="P33" si="19">P6+P11+P13+P14+P15+P17+P20+P28+P29+P30+P31</f>
        <v>52516470.147777535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H33" s="30"/>
    </row>
    <row r="34" spans="1:190" s="30" customFormat="1" ht="15.75" x14ac:dyDescent="0.25">
      <c r="A34" s="37" t="s">
        <v>43</v>
      </c>
      <c r="B34" s="38" t="s">
        <v>25</v>
      </c>
      <c r="C34" s="24">
        <f>GSVA_const!C34</f>
        <v>3321210.1401244281</v>
      </c>
      <c r="D34" s="24">
        <f>GSVA_const!D34</f>
        <v>3814472.2858889909</v>
      </c>
      <c r="E34" s="24">
        <f>GSVA_const!E34</f>
        <v>4059076.273805229</v>
      </c>
      <c r="F34" s="24">
        <f>GSVA_const!F34</f>
        <v>4439807.7189423246</v>
      </c>
      <c r="G34" s="24">
        <f>GSVA_const!G34</f>
        <v>5200196.6127654118</v>
      </c>
      <c r="H34" s="24">
        <f>GSVA_const!H34</f>
        <v>5878963.8753235741</v>
      </c>
      <c r="I34" s="24">
        <f>GSVA_const!I34</f>
        <v>6236563.4733767686</v>
      </c>
      <c r="J34" s="24">
        <f>GSVA_const!J34</f>
        <v>7075538.3147022109</v>
      </c>
      <c r="K34" s="24">
        <f>GSVA_const!K34</f>
        <v>7113030.8714634199</v>
      </c>
      <c r="L34" s="24">
        <f>GSVA_const!L34</f>
        <v>6299398.9771404052</v>
      </c>
      <c r="M34" s="24">
        <f>GSVA_const!M34</f>
        <v>7135859.0318026301</v>
      </c>
      <c r="N34" s="24">
        <f>GSVA_const!N34</f>
        <v>7319561.6292803837</v>
      </c>
      <c r="O34" s="24">
        <f>GSVA_const!O34</f>
        <v>7901890.4200173169</v>
      </c>
      <c r="P34" s="24">
        <f>GSVA_const!P34</f>
        <v>8490691.2837871779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</row>
    <row r="35" spans="1:190" s="30" customFormat="1" ht="15.75" x14ac:dyDescent="0.25">
      <c r="A35" s="37" t="s">
        <v>44</v>
      </c>
      <c r="B35" s="38" t="s">
        <v>24</v>
      </c>
      <c r="C35" s="24">
        <f>GSVA_const!C35</f>
        <v>974820.99999999988</v>
      </c>
      <c r="D35" s="24">
        <f>GSVA_const!D35</f>
        <v>1083337.782339615</v>
      </c>
      <c r="E35" s="24">
        <f>GSVA_const!E35</f>
        <v>914280.5835489817</v>
      </c>
      <c r="F35" s="24">
        <f>GSVA_const!F35</f>
        <v>883268.37676105462</v>
      </c>
      <c r="G35" s="24">
        <f>GSVA_const!G35</f>
        <v>600517.57797430432</v>
      </c>
      <c r="H35" s="24">
        <f>GSVA_const!H35</f>
        <v>569147.6780122132</v>
      </c>
      <c r="I35" s="24">
        <f>GSVA_const!I35</f>
        <v>478776.53390597814</v>
      </c>
      <c r="J35" s="24">
        <f>GSVA_const!J35</f>
        <v>468573.56633246137</v>
      </c>
      <c r="K35" s="24">
        <f>GSVA_const!K35</f>
        <v>488953.59558124794</v>
      </c>
      <c r="L35" s="24">
        <f>GSVA_const!L35</f>
        <v>724596.84088736412</v>
      </c>
      <c r="M35" s="24">
        <f>GSVA_const!M35</f>
        <v>819773.28027712042</v>
      </c>
      <c r="N35" s="24">
        <f>GSVA_const!N35</f>
        <v>1093414.0618198474</v>
      </c>
      <c r="O35" s="24">
        <f>GSVA_const!O35</f>
        <v>1105672.2900261683</v>
      </c>
      <c r="P35" s="24">
        <f>GSVA_const!P35</f>
        <v>1196470.8573451187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</row>
    <row r="36" spans="1:190" s="30" customFormat="1" ht="15.75" x14ac:dyDescent="0.25">
      <c r="A36" s="37" t="s">
        <v>45</v>
      </c>
      <c r="B36" s="38" t="s">
        <v>63</v>
      </c>
      <c r="C36" s="24">
        <f>C33+C34-C35</f>
        <v>27115248.068239868</v>
      </c>
      <c r="D36" s="24">
        <f t="shared" ref="D36:O36" si="20">D33+D34-D35</f>
        <v>28975622.045360465</v>
      </c>
      <c r="E36" s="24">
        <f t="shared" si="20"/>
        <v>31493119.682495441</v>
      </c>
      <c r="F36" s="24">
        <f t="shared" si="20"/>
        <v>33335924.748056062</v>
      </c>
      <c r="G36" s="24">
        <f t="shared" si="20"/>
        <v>37270024.504680932</v>
      </c>
      <c r="H36" s="24">
        <f t="shared" si="20"/>
        <v>41205461.509264849</v>
      </c>
      <c r="I36" s="24">
        <f t="shared" si="20"/>
        <v>43440727.698369153</v>
      </c>
      <c r="J36" s="24">
        <f t="shared" si="20"/>
        <v>47838373.930698223</v>
      </c>
      <c r="K36" s="24">
        <f t="shared" si="20"/>
        <v>48848962.671964303</v>
      </c>
      <c r="L36" s="24">
        <f t="shared" si="20"/>
        <v>44090724.477099203</v>
      </c>
      <c r="M36" s="24">
        <f t="shared" si="20"/>
        <v>49553001.41474364</v>
      </c>
      <c r="N36" s="24">
        <f t="shared" si="20"/>
        <v>51597921.520764373</v>
      </c>
      <c r="O36" s="24">
        <f t="shared" si="20"/>
        <v>55614569.269307405</v>
      </c>
      <c r="P36" s="24">
        <f t="shared" ref="P36" si="21">P33+P34-P35</f>
        <v>59810690.574219592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</row>
    <row r="37" spans="1:190" s="30" customFormat="1" ht="15.75" x14ac:dyDescent="0.25">
      <c r="A37" s="37" t="s">
        <v>46</v>
      </c>
      <c r="B37" s="38" t="s">
        <v>42</v>
      </c>
      <c r="C37" s="24">
        <f>GSVA_cur!C37</f>
        <v>255600</v>
      </c>
      <c r="D37" s="24">
        <f>GSVA_cur!D37</f>
        <v>259220</v>
      </c>
      <c r="E37" s="24">
        <f>GSVA_cur!E37</f>
        <v>262900</v>
      </c>
      <c r="F37" s="24">
        <f>GSVA_cur!F37</f>
        <v>266620</v>
      </c>
      <c r="G37" s="24">
        <f>GSVA_cur!G37</f>
        <v>270400</v>
      </c>
      <c r="H37" s="24">
        <f>GSVA_cur!H37</f>
        <v>274230</v>
      </c>
      <c r="I37" s="24">
        <f>GSVA_cur!I37</f>
        <v>278110</v>
      </c>
      <c r="J37" s="24">
        <f>GSVA_cur!J37</f>
        <v>282060</v>
      </c>
      <c r="K37" s="24">
        <f>GSVA_cur!K37</f>
        <v>286060</v>
      </c>
      <c r="L37" s="24">
        <f>GSVA_cur!L37</f>
        <v>290110</v>
      </c>
      <c r="M37" s="24">
        <f>GSVA_cur!M37</f>
        <v>296950</v>
      </c>
      <c r="N37" s="24">
        <f>GSVA_cur!N37</f>
        <v>300580</v>
      </c>
      <c r="O37" s="24">
        <f>GSVA_cur!O37</f>
        <v>304210</v>
      </c>
      <c r="P37" s="24">
        <f>GSVA_cur!P37</f>
        <v>307850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</row>
    <row r="38" spans="1:190" s="30" customFormat="1" ht="15.75" x14ac:dyDescent="0.25">
      <c r="A38" s="37" t="s">
        <v>47</v>
      </c>
      <c r="B38" s="38" t="s">
        <v>64</v>
      </c>
      <c r="C38" s="24">
        <f>C36/C37*1000</f>
        <v>106084.6951026599</v>
      </c>
      <c r="D38" s="24">
        <f t="shared" ref="D38:M38" si="22">D36/D37*1000</f>
        <v>111780.04029534938</v>
      </c>
      <c r="E38" s="24">
        <f t="shared" si="22"/>
        <v>119791.25021869701</v>
      </c>
      <c r="F38" s="24">
        <f t="shared" si="22"/>
        <v>125031.59833491885</v>
      </c>
      <c r="G38" s="24">
        <f t="shared" si="22"/>
        <v>137832.9308605064</v>
      </c>
      <c r="H38" s="24">
        <f t="shared" si="22"/>
        <v>150258.76639778598</v>
      </c>
      <c r="I38" s="24">
        <f t="shared" si="22"/>
        <v>156199.80474765078</v>
      </c>
      <c r="J38" s="24">
        <f t="shared" si="22"/>
        <v>169603.53800857344</v>
      </c>
      <c r="K38" s="24">
        <f t="shared" si="22"/>
        <v>170764.74401162099</v>
      </c>
      <c r="L38" s="24">
        <f t="shared" si="22"/>
        <v>151979.33362207163</v>
      </c>
      <c r="M38" s="24">
        <f t="shared" si="22"/>
        <v>166873.21574252783</v>
      </c>
      <c r="N38" s="24">
        <f t="shared" ref="N38" si="23">N36/N37*1000</f>
        <v>171661.19342858598</v>
      </c>
      <c r="O38" s="24">
        <f t="shared" ref="O38" si="24">O36/O37*1000</f>
        <v>182816.37444300781</v>
      </c>
      <c r="P38" s="24">
        <f t="shared" ref="P38" si="25">P36/P37*1000</f>
        <v>194285.17321494102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BZ38" s="33"/>
      <c r="CA38" s="33"/>
      <c r="CB38" s="33"/>
      <c r="CC38" s="33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</row>
    <row r="39" spans="1:190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2025-08-04T05:44:05Z</dcterms:modified>
</cp:coreProperties>
</file>