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filterPrivacy="1" defaultThemeVersion="124226"/>
  <xr:revisionPtr revIDLastSave="0" documentId="13_ncr:1_{69E2F461-2A9B-429E-9627-34372C7A3046}" xr6:coauthVersionLast="36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SVA_cur" sheetId="10" r:id="rId1"/>
    <sheet name="GSVA_const" sheetId="1" r:id="rId2"/>
    <sheet name="NSVA_cur" sheetId="11" r:id="rId3"/>
    <sheet name="NSVA_const" sheetId="12" r:id="rId4"/>
  </sheets>
  <externalReferences>
    <externalReference r:id="rId5"/>
  </externalReferences>
  <definedNames>
    <definedName name="_xlnm.Print_Titles" localSheetId="1">GSVA_const!$A:$B</definedName>
    <definedName name="_xlnm.Print_Titles" localSheetId="0">GSVA_cur!$A:$B</definedName>
    <definedName name="_xlnm.Print_Titles" localSheetId="3">NSVA_const!$A:$B</definedName>
    <definedName name="_xlnm.Print_Titles" localSheetId="2">NSVA_cur!$A:$B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4" i="12" l="1"/>
  <c r="P35" i="12"/>
  <c r="P37" i="12"/>
  <c r="P34" i="11"/>
  <c r="P35" i="11"/>
  <c r="P37" i="11"/>
  <c r="N37" i="1"/>
  <c r="O37" i="1"/>
  <c r="P37" i="1"/>
  <c r="P20" i="1"/>
  <c r="P20" i="11"/>
  <c r="P20" i="12"/>
  <c r="P20" i="10"/>
  <c r="P16" i="1"/>
  <c r="P17" i="1"/>
  <c r="P16" i="11"/>
  <c r="P17" i="11"/>
  <c r="P16" i="12"/>
  <c r="P17" i="12"/>
  <c r="P16" i="10"/>
  <c r="P17" i="10"/>
  <c r="P6" i="1"/>
  <c r="P6" i="11"/>
  <c r="P12" i="11" s="1"/>
  <c r="P6" i="12"/>
  <c r="P6" i="10"/>
  <c r="P32" i="12" l="1"/>
  <c r="P33" i="12"/>
  <c r="P32" i="11"/>
  <c r="P32" i="1"/>
  <c r="P33" i="1"/>
  <c r="P32" i="10"/>
  <c r="P33" i="10"/>
  <c r="P12" i="10"/>
  <c r="P12" i="12"/>
  <c r="P33" i="11"/>
  <c r="P12" i="1"/>
  <c r="O6" i="12"/>
  <c r="O16" i="12"/>
  <c r="O17" i="12"/>
  <c r="O20" i="12"/>
  <c r="O34" i="12"/>
  <c r="O35" i="12"/>
  <c r="O37" i="12"/>
  <c r="O6" i="11"/>
  <c r="O16" i="11"/>
  <c r="O17" i="11"/>
  <c r="O20" i="11"/>
  <c r="O34" i="11"/>
  <c r="O35" i="11"/>
  <c r="O37" i="11"/>
  <c r="O20" i="1"/>
  <c r="O20" i="10"/>
  <c r="P36" i="12" l="1"/>
  <c r="P36" i="11"/>
  <c r="P38" i="12"/>
  <c r="P36" i="1"/>
  <c r="P38" i="11"/>
  <c r="P36" i="10"/>
  <c r="O32" i="12"/>
  <c r="O33" i="12"/>
  <c r="O36" i="12" s="1"/>
  <c r="O12" i="12"/>
  <c r="O33" i="11"/>
  <c r="O36" i="11" s="1"/>
  <c r="O12" i="11"/>
  <c r="O32" i="11"/>
  <c r="N6" i="1"/>
  <c r="N16" i="1"/>
  <c r="N17" i="1"/>
  <c r="N20" i="1"/>
  <c r="N6" i="11"/>
  <c r="N12" i="11" s="1"/>
  <c r="N16" i="11"/>
  <c r="N17" i="11"/>
  <c r="N20" i="11"/>
  <c r="N34" i="11"/>
  <c r="N35" i="11"/>
  <c r="N37" i="11"/>
  <c r="N6" i="12"/>
  <c r="N12" i="12" s="1"/>
  <c r="N16" i="12"/>
  <c r="N17" i="12"/>
  <c r="N20" i="12"/>
  <c r="N34" i="12"/>
  <c r="N35" i="12"/>
  <c r="N37" i="12"/>
  <c r="N6" i="10"/>
  <c r="N16" i="10"/>
  <c r="N17" i="10"/>
  <c r="N20" i="10"/>
  <c r="P38" i="1" l="1"/>
  <c r="P38" i="10"/>
  <c r="O38" i="12"/>
  <c r="N32" i="11"/>
  <c r="O38" i="11"/>
  <c r="N33" i="10"/>
  <c r="N36" i="10" s="1"/>
  <c r="N32" i="12"/>
  <c r="N33" i="12"/>
  <c r="N32" i="1"/>
  <c r="N33" i="1"/>
  <c r="N36" i="1" s="1"/>
  <c r="N38" i="1" s="1"/>
  <c r="N12" i="1"/>
  <c r="N32" i="10"/>
  <c r="N12" i="10"/>
  <c r="N33" i="11"/>
  <c r="N36" i="12" l="1"/>
  <c r="N38" i="10"/>
  <c r="N36" i="11"/>
  <c r="I2" i="1"/>
  <c r="I2" i="11"/>
  <c r="I2" i="12"/>
  <c r="I2" i="10"/>
  <c r="N38" i="12" l="1"/>
  <c r="N38" i="11"/>
  <c r="M37" i="12"/>
  <c r="M37" i="11"/>
  <c r="M37" i="1"/>
  <c r="M34" i="12"/>
  <c r="M35" i="12"/>
  <c r="M34" i="11"/>
  <c r="M35" i="11"/>
  <c r="O16" i="1"/>
  <c r="O17" i="1"/>
  <c r="O16" i="10"/>
  <c r="O17" i="10"/>
  <c r="O6" i="1"/>
  <c r="O6" i="10"/>
  <c r="O32" i="1" l="1"/>
  <c r="O33" i="1"/>
  <c r="O36" i="1" s="1"/>
  <c r="O38" i="1" s="1"/>
  <c r="O12" i="10"/>
  <c r="O12" i="1"/>
  <c r="O32" i="10"/>
  <c r="O33" i="10"/>
  <c r="D34" i="12"/>
  <c r="E34" i="12"/>
  <c r="F34" i="12"/>
  <c r="G34" i="12"/>
  <c r="H34" i="12"/>
  <c r="I34" i="12"/>
  <c r="J34" i="12"/>
  <c r="K34" i="12"/>
  <c r="L34" i="12"/>
  <c r="D35" i="12"/>
  <c r="E35" i="12"/>
  <c r="F35" i="12"/>
  <c r="G35" i="12"/>
  <c r="H35" i="12"/>
  <c r="I35" i="12"/>
  <c r="J35" i="12"/>
  <c r="K35" i="12"/>
  <c r="L35" i="12"/>
  <c r="D37" i="12"/>
  <c r="E37" i="12"/>
  <c r="F37" i="12"/>
  <c r="G37" i="12"/>
  <c r="H37" i="12"/>
  <c r="I37" i="12"/>
  <c r="J37" i="12"/>
  <c r="K37" i="12"/>
  <c r="L37" i="12"/>
  <c r="D34" i="11"/>
  <c r="E34" i="11"/>
  <c r="F34" i="11"/>
  <c r="G34" i="11"/>
  <c r="H34" i="11"/>
  <c r="I34" i="11"/>
  <c r="J34" i="11"/>
  <c r="K34" i="11"/>
  <c r="L34" i="11"/>
  <c r="D35" i="11"/>
  <c r="E35" i="11"/>
  <c r="F35" i="11"/>
  <c r="G35" i="11"/>
  <c r="H35" i="11"/>
  <c r="I35" i="11"/>
  <c r="J35" i="11"/>
  <c r="K35" i="11"/>
  <c r="L35" i="11"/>
  <c r="D37" i="11"/>
  <c r="E37" i="11"/>
  <c r="F37" i="11"/>
  <c r="G37" i="11"/>
  <c r="H37" i="11"/>
  <c r="I37" i="11"/>
  <c r="J37" i="11"/>
  <c r="K37" i="11"/>
  <c r="L37" i="11"/>
  <c r="D37" i="1"/>
  <c r="E37" i="1"/>
  <c r="F37" i="1"/>
  <c r="G37" i="1"/>
  <c r="H37" i="1"/>
  <c r="I37" i="1"/>
  <c r="J37" i="1"/>
  <c r="K37" i="1"/>
  <c r="L37" i="1"/>
  <c r="O36" i="10" l="1"/>
  <c r="M20" i="1"/>
  <c r="M20" i="11"/>
  <c r="M20" i="12"/>
  <c r="M20" i="10"/>
  <c r="M17" i="1"/>
  <c r="M17" i="11"/>
  <c r="M17" i="12"/>
  <c r="M17" i="10"/>
  <c r="M16" i="1"/>
  <c r="M16" i="11"/>
  <c r="M16" i="12"/>
  <c r="M16" i="10"/>
  <c r="M6" i="1"/>
  <c r="M6" i="11"/>
  <c r="M6" i="12"/>
  <c r="M6" i="10"/>
  <c r="O38" i="10" l="1"/>
  <c r="M12" i="1"/>
  <c r="M12" i="10"/>
  <c r="M32" i="12"/>
  <c r="M32" i="11"/>
  <c r="M12" i="11"/>
  <c r="M33" i="11"/>
  <c r="M12" i="12"/>
  <c r="M33" i="12"/>
  <c r="M32" i="1"/>
  <c r="M33" i="1"/>
  <c r="M32" i="10"/>
  <c r="M33" i="10"/>
  <c r="K20" i="12"/>
  <c r="L20" i="12"/>
  <c r="K17" i="12"/>
  <c r="L17" i="12"/>
  <c r="L17" i="11"/>
  <c r="K17" i="1"/>
  <c r="L17" i="1"/>
  <c r="J17" i="10"/>
  <c r="K17" i="10"/>
  <c r="L17" i="10"/>
  <c r="M36" i="12" l="1"/>
  <c r="M36" i="11"/>
  <c r="M36" i="1"/>
  <c r="M36" i="10"/>
  <c r="C37" i="12"/>
  <c r="C37" i="11"/>
  <c r="C37" i="1"/>
  <c r="M38" i="12" l="1"/>
  <c r="M38" i="11"/>
  <c r="M38" i="1"/>
  <c r="M38" i="10"/>
  <c r="L20" i="1"/>
  <c r="L20" i="11"/>
  <c r="L32" i="12"/>
  <c r="L20" i="10"/>
  <c r="L16" i="1"/>
  <c r="L16" i="11"/>
  <c r="L16" i="12"/>
  <c r="L16" i="10"/>
  <c r="L6" i="1"/>
  <c r="L6" i="11"/>
  <c r="L6" i="12"/>
  <c r="L6" i="10"/>
  <c r="L32" i="11" l="1"/>
  <c r="L33" i="11"/>
  <c r="L33" i="10"/>
  <c r="L33" i="12"/>
  <c r="L33" i="1"/>
  <c r="L12" i="11"/>
  <c r="L12" i="12"/>
  <c r="L12" i="10"/>
  <c r="L12" i="1"/>
  <c r="L32" i="1"/>
  <c r="L32" i="10"/>
  <c r="L36" i="12" l="1"/>
  <c r="L36" i="11"/>
  <c r="L38" i="11" s="1"/>
  <c r="L36" i="1"/>
  <c r="L36" i="10"/>
  <c r="K20" i="1"/>
  <c r="K20" i="11"/>
  <c r="K20" i="10"/>
  <c r="K17" i="11"/>
  <c r="K16" i="1"/>
  <c r="K16" i="11"/>
  <c r="K16" i="12"/>
  <c r="K16" i="10"/>
  <c r="K6" i="1"/>
  <c r="K6" i="11"/>
  <c r="K6" i="12"/>
  <c r="K6" i="10"/>
  <c r="K12" i="10" s="1"/>
  <c r="L38" i="12" l="1"/>
  <c r="L38" i="1"/>
  <c r="K32" i="11"/>
  <c r="K33" i="11"/>
  <c r="K36" i="11" s="1"/>
  <c r="K38" i="11" s="1"/>
  <c r="L38" i="10"/>
  <c r="K12" i="12"/>
  <c r="K32" i="12"/>
  <c r="K33" i="12"/>
  <c r="K36" i="12" s="1"/>
  <c r="K38" i="12" s="1"/>
  <c r="K12" i="11"/>
  <c r="K32" i="1"/>
  <c r="K33" i="1"/>
  <c r="K12" i="1"/>
  <c r="K32" i="10"/>
  <c r="K33" i="10"/>
  <c r="K36" i="1" l="1"/>
  <c r="K38" i="1" s="1"/>
  <c r="K36" i="10"/>
  <c r="K38" i="10" l="1"/>
  <c r="D17" i="1"/>
  <c r="E17" i="1"/>
  <c r="F17" i="1"/>
  <c r="G17" i="1"/>
  <c r="H17" i="1"/>
  <c r="I17" i="1"/>
  <c r="J17" i="1"/>
  <c r="D16" i="1"/>
  <c r="E16" i="1"/>
  <c r="F16" i="1"/>
  <c r="G16" i="1"/>
  <c r="H16" i="1"/>
  <c r="I16" i="1"/>
  <c r="J16" i="1"/>
  <c r="D6" i="1"/>
  <c r="E6" i="1"/>
  <c r="E12" i="1" s="1"/>
  <c r="F6" i="1"/>
  <c r="F12" i="1" s="1"/>
  <c r="G6" i="1"/>
  <c r="G12" i="1" s="1"/>
  <c r="H6" i="1"/>
  <c r="H12" i="1" s="1"/>
  <c r="I6" i="1"/>
  <c r="J6" i="1"/>
  <c r="J12" i="1" s="1"/>
  <c r="D12" i="1" l="1"/>
  <c r="I12" i="1"/>
  <c r="C34" i="12"/>
  <c r="D20" i="1" l="1"/>
  <c r="E20" i="1"/>
  <c r="F20" i="1"/>
  <c r="G20" i="1"/>
  <c r="H20" i="1"/>
  <c r="I20" i="1"/>
  <c r="J20" i="1"/>
  <c r="F33" i="1" l="1"/>
  <c r="F32" i="1"/>
  <c r="E32" i="1"/>
  <c r="E33" i="1"/>
  <c r="G33" i="1"/>
  <c r="G32" i="1"/>
  <c r="D33" i="1"/>
  <c r="D32" i="1"/>
  <c r="I33" i="1"/>
  <c r="I32" i="1"/>
  <c r="J32" i="1"/>
  <c r="J33" i="1"/>
  <c r="H33" i="1"/>
  <c r="H32" i="1"/>
  <c r="C35" i="12"/>
  <c r="C35" i="11"/>
  <c r="C34" i="11"/>
  <c r="J20" i="11"/>
  <c r="J20" i="12"/>
  <c r="J20" i="10"/>
  <c r="J16" i="11"/>
  <c r="J17" i="11"/>
  <c r="J16" i="12"/>
  <c r="J17" i="12"/>
  <c r="J16" i="10"/>
  <c r="J6" i="11"/>
  <c r="J33" i="11" s="1"/>
  <c r="J36" i="11" s="1"/>
  <c r="J38" i="11" s="1"/>
  <c r="J6" i="12"/>
  <c r="J6" i="10"/>
  <c r="J32" i="11" l="1"/>
  <c r="E36" i="1"/>
  <c r="E38" i="1" s="1"/>
  <c r="G36" i="1"/>
  <c r="G38" i="1" s="1"/>
  <c r="F36" i="1"/>
  <c r="F38" i="1" s="1"/>
  <c r="D36" i="1"/>
  <c r="D38" i="1" s="1"/>
  <c r="J32" i="12"/>
  <c r="J36" i="1"/>
  <c r="J38" i="1" s="1"/>
  <c r="H36" i="1"/>
  <c r="H38" i="1" s="1"/>
  <c r="I36" i="1"/>
  <c r="I38" i="1" s="1"/>
  <c r="J12" i="10"/>
  <c r="J33" i="12"/>
  <c r="J36" i="12" s="1"/>
  <c r="J38" i="12" s="1"/>
  <c r="J12" i="12"/>
  <c r="J12" i="11"/>
  <c r="J32" i="10"/>
  <c r="J33" i="10"/>
  <c r="J36" i="10" l="1"/>
  <c r="J38" i="10" l="1"/>
  <c r="I20" i="12" l="1"/>
  <c r="H20" i="12"/>
  <c r="G20" i="12"/>
  <c r="F20" i="12"/>
  <c r="E20" i="12"/>
  <c r="D20" i="12"/>
  <c r="C20" i="12"/>
  <c r="I17" i="12"/>
  <c r="H17" i="12"/>
  <c r="G17" i="12"/>
  <c r="F17" i="12"/>
  <c r="E17" i="12"/>
  <c r="D17" i="12"/>
  <c r="C17" i="12"/>
  <c r="I16" i="12"/>
  <c r="H16" i="12"/>
  <c r="G16" i="12"/>
  <c r="F16" i="12"/>
  <c r="E16" i="12"/>
  <c r="D16" i="12"/>
  <c r="C16" i="12"/>
  <c r="I6" i="12"/>
  <c r="H6" i="12"/>
  <c r="G6" i="12"/>
  <c r="F6" i="12"/>
  <c r="F12" i="12" s="1"/>
  <c r="E6" i="12"/>
  <c r="E12" i="12" s="1"/>
  <c r="D6" i="12"/>
  <c r="C6" i="12"/>
  <c r="I20" i="11"/>
  <c r="H20" i="11"/>
  <c r="G20" i="11"/>
  <c r="F20" i="11"/>
  <c r="E20" i="11"/>
  <c r="D20" i="11"/>
  <c r="C20" i="11"/>
  <c r="I17" i="11"/>
  <c r="H17" i="11"/>
  <c r="G17" i="11"/>
  <c r="F17" i="11"/>
  <c r="E17" i="11"/>
  <c r="D17" i="11"/>
  <c r="C17" i="11"/>
  <c r="I16" i="11"/>
  <c r="H16" i="11"/>
  <c r="G16" i="11"/>
  <c r="F16" i="11"/>
  <c r="E16" i="11"/>
  <c r="D16" i="11"/>
  <c r="C16" i="11"/>
  <c r="I6" i="11"/>
  <c r="H6" i="11"/>
  <c r="G6" i="11"/>
  <c r="F6" i="11"/>
  <c r="E6" i="11"/>
  <c r="D6" i="11"/>
  <c r="C6" i="11"/>
  <c r="C20" i="1"/>
  <c r="C17" i="1"/>
  <c r="C16" i="1"/>
  <c r="C6" i="1"/>
  <c r="I20" i="10"/>
  <c r="H20" i="10"/>
  <c r="G20" i="10"/>
  <c r="F20" i="10"/>
  <c r="E20" i="10"/>
  <c r="D20" i="10"/>
  <c r="C20" i="10"/>
  <c r="I17" i="10"/>
  <c r="H17" i="10"/>
  <c r="G17" i="10"/>
  <c r="F17" i="10"/>
  <c r="E17" i="10"/>
  <c r="D17" i="10"/>
  <c r="C17" i="10"/>
  <c r="I16" i="10"/>
  <c r="H16" i="10"/>
  <c r="G16" i="10"/>
  <c r="F16" i="10"/>
  <c r="E16" i="10"/>
  <c r="D16" i="10"/>
  <c r="C16" i="10"/>
  <c r="I6" i="10"/>
  <c r="H6" i="10"/>
  <c r="G6" i="10"/>
  <c r="F6" i="10"/>
  <c r="E6" i="10"/>
  <c r="D6" i="10"/>
  <c r="C6" i="10"/>
  <c r="H32" i="11" l="1"/>
  <c r="I32" i="11"/>
  <c r="D32" i="11"/>
  <c r="F33" i="11"/>
  <c r="F36" i="11" s="1"/>
  <c r="F38" i="11" s="1"/>
  <c r="E32" i="11"/>
  <c r="E33" i="11"/>
  <c r="E36" i="11" s="1"/>
  <c r="E38" i="11" s="1"/>
  <c r="G33" i="11"/>
  <c r="G36" i="11" s="1"/>
  <c r="G38" i="11" s="1"/>
  <c r="F32" i="11"/>
  <c r="D33" i="11"/>
  <c r="D36" i="11" s="1"/>
  <c r="D38" i="11" s="1"/>
  <c r="G32" i="11"/>
  <c r="H33" i="11"/>
  <c r="H36" i="11" s="1"/>
  <c r="H38" i="11" s="1"/>
  <c r="I33" i="11"/>
  <c r="I36" i="11" s="1"/>
  <c r="I38" i="11" s="1"/>
  <c r="F32" i="12"/>
  <c r="C33" i="12"/>
  <c r="C36" i="12" s="1"/>
  <c r="G12" i="12"/>
  <c r="F32" i="10"/>
  <c r="C32" i="12"/>
  <c r="C33" i="10"/>
  <c r="C33" i="11"/>
  <c r="C36" i="11" s="1"/>
  <c r="D32" i="10"/>
  <c r="D33" i="12"/>
  <c r="D36" i="12" s="1"/>
  <c r="D38" i="12" s="1"/>
  <c r="D32" i="12"/>
  <c r="C32" i="10"/>
  <c r="E33" i="12"/>
  <c r="E36" i="12" s="1"/>
  <c r="E38" i="12" s="1"/>
  <c r="E32" i="12"/>
  <c r="C12" i="12"/>
  <c r="C12" i="10"/>
  <c r="G12" i="11"/>
  <c r="C32" i="1"/>
  <c r="E32" i="10"/>
  <c r="C32" i="11"/>
  <c r="H12" i="12"/>
  <c r="I12" i="11"/>
  <c r="H12" i="11"/>
  <c r="G32" i="12"/>
  <c r="I33" i="12"/>
  <c r="I36" i="12" s="1"/>
  <c r="I38" i="12" s="1"/>
  <c r="I32" i="12"/>
  <c r="H32" i="12"/>
  <c r="I32" i="10"/>
  <c r="G33" i="10"/>
  <c r="H32" i="10"/>
  <c r="I33" i="10"/>
  <c r="H33" i="10"/>
  <c r="G32" i="10"/>
  <c r="H12" i="10"/>
  <c r="G12" i="10"/>
  <c r="I12" i="12"/>
  <c r="F33" i="12"/>
  <c r="F36" i="12" s="1"/>
  <c r="F38" i="12" s="1"/>
  <c r="G33" i="12"/>
  <c r="G36" i="12" s="1"/>
  <c r="G38" i="12" s="1"/>
  <c r="H33" i="12"/>
  <c r="H36" i="12" s="1"/>
  <c r="H38" i="12" s="1"/>
  <c r="D12" i="12"/>
  <c r="C12" i="11"/>
  <c r="D12" i="11"/>
  <c r="E12" i="11"/>
  <c r="F12" i="11"/>
  <c r="C12" i="1"/>
  <c r="C33" i="1"/>
  <c r="D33" i="10"/>
  <c r="E33" i="10"/>
  <c r="I12" i="10"/>
  <c r="F33" i="10"/>
  <c r="D12" i="10"/>
  <c r="E12" i="10"/>
  <c r="F12" i="10"/>
  <c r="C36" i="10" l="1"/>
  <c r="F36" i="10"/>
  <c r="C36" i="1"/>
  <c r="G36" i="10"/>
  <c r="E36" i="10"/>
  <c r="E38" i="10" s="1"/>
  <c r="D36" i="10"/>
  <c r="D38" i="10" s="1"/>
  <c r="H36" i="10"/>
  <c r="I36" i="10"/>
  <c r="C38" i="12"/>
  <c r="C38" i="11"/>
  <c r="C38" i="1" l="1"/>
  <c r="F38" i="10"/>
  <c r="G38" i="10"/>
  <c r="C38" i="10"/>
  <c r="H38" i="10"/>
  <c r="I38" i="10"/>
</calcChain>
</file>

<file path=xl/sharedStrings.xml><?xml version="1.0" encoding="utf-8"?>
<sst xmlns="http://schemas.openxmlformats.org/spreadsheetml/2006/main" count="284" uniqueCount="77">
  <si>
    <t>S.No.</t>
  </si>
  <si>
    <t>Item</t>
  </si>
  <si>
    <t>Agriculture, forestry and fishing</t>
  </si>
  <si>
    <t>Mining and quarrying</t>
  </si>
  <si>
    <t>Manufacturing</t>
  </si>
  <si>
    <t>Electricity, gas, water supply &amp; other utility services</t>
  </si>
  <si>
    <t>Construction</t>
  </si>
  <si>
    <t>Trade, repair, hotels and restaurants</t>
  </si>
  <si>
    <t>Trade &amp; repair services</t>
  </si>
  <si>
    <t>Hotels &amp; restaurants</t>
  </si>
  <si>
    <t>Transport, storage, communication &amp; services related to broadcasting</t>
  </si>
  <si>
    <t>Railways</t>
  </si>
  <si>
    <t>Road transport</t>
  </si>
  <si>
    <t>Water transport</t>
  </si>
  <si>
    <t>Air transport</t>
  </si>
  <si>
    <t>Services incidental to transport</t>
  </si>
  <si>
    <t>Storage</t>
  </si>
  <si>
    <t>Communication &amp; services related to broadcasting</t>
  </si>
  <si>
    <t>Financial services</t>
  </si>
  <si>
    <t>Real estate, ownership of dwelling &amp; professional services</t>
  </si>
  <si>
    <t>Other services</t>
  </si>
  <si>
    <t>2011-12</t>
  </si>
  <si>
    <t>2012-13</t>
  </si>
  <si>
    <t>2013-14</t>
  </si>
  <si>
    <t>Subsidies on products</t>
  </si>
  <si>
    <t>Taxes on Products</t>
  </si>
  <si>
    <t>1.</t>
  </si>
  <si>
    <t>12.</t>
  </si>
  <si>
    <t>Primary</t>
  </si>
  <si>
    <t>Secondary</t>
  </si>
  <si>
    <t>Tertiary</t>
  </si>
  <si>
    <r>
      <t>2.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</si>
  <si>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3.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</si>
  <si>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4.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</si>
  <si>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5.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</si>
  <si>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6.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</si>
  <si>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7.</t>
    </r>
    <r>
      <rPr>
        <sz val="7"/>
        <rFont val="Times New Roman"/>
        <family val="1"/>
      </rPr>
      <t xml:space="preserve">      </t>
    </r>
    <r>
      <rPr>
        <sz val="11"/>
        <rFont val="Times New Roman"/>
        <family val="1"/>
      </rPr>
      <t> </t>
    </r>
  </si>
  <si>
    <r>
      <t>8.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</si>
  <si>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9.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</si>
  <si>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10.</t>
    </r>
    <r>
      <rPr>
        <sz val="7"/>
        <rFont val="Times New Roman"/>
        <family val="1"/>
      </rPr>
      <t xml:space="preserve">  </t>
    </r>
    <r>
      <rPr>
        <sz val="12"/>
        <rFont val="Times New Roman"/>
        <family val="1"/>
      </rPr>
      <t> </t>
    </r>
  </si>
  <si>
    <r>
      <t>11.</t>
    </r>
    <r>
      <rPr>
        <sz val="7"/>
        <rFont val="Times New Roman"/>
        <family val="1"/>
      </rPr>
      <t xml:space="preserve">  </t>
    </r>
    <r>
      <rPr>
        <sz val="12"/>
        <rFont val="Times New Roman"/>
        <family val="1"/>
      </rPr>
      <t> </t>
    </r>
  </si>
  <si>
    <t>TOTAL GSVA at basic prices</t>
  </si>
  <si>
    <t>Population ('00)</t>
  </si>
  <si>
    <t>13.</t>
  </si>
  <si>
    <t>14.</t>
  </si>
  <si>
    <t>15.</t>
  </si>
  <si>
    <t>16.</t>
  </si>
  <si>
    <t>17.</t>
  </si>
  <si>
    <t>Gross State Value Added by economic activity at current prices</t>
  </si>
  <si>
    <t>Gross State Value Added by economic activity at constant (2011-12) prices</t>
  </si>
  <si>
    <t>Net State Value Added by economic activity at current prices</t>
  </si>
  <si>
    <t>TOTAL NSVA at basic prices</t>
  </si>
  <si>
    <t>Net State Value Added by economic activity at constant (2011-12) prices</t>
  </si>
  <si>
    <t>State :</t>
  </si>
  <si>
    <t>Public administration</t>
  </si>
  <si>
    <t>Gross State Domestic Product</t>
  </si>
  <si>
    <t>2014-15</t>
  </si>
  <si>
    <t>(Rs. in lakh)</t>
  </si>
  <si>
    <t>Per Capita GSDP (Rs.)</t>
  </si>
  <si>
    <t>Crops</t>
  </si>
  <si>
    <t>Livestock</t>
  </si>
  <si>
    <t>Forestry and logging</t>
  </si>
  <si>
    <t>Fishing and aquaculture</t>
  </si>
  <si>
    <t>Net State Domestic Product</t>
  </si>
  <si>
    <t>Per Capita NSDP (Rs.)</t>
  </si>
  <si>
    <t>2015-16</t>
  </si>
  <si>
    <t>Puducherry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</si>
  <si>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</si>
  <si>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</si>
  <si>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</si>
  <si>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</si>
  <si>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</si>
  <si>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</si>
  <si>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</si>
  <si>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</si>
  <si>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Source:  Directorate of Economics &amp; Statistics of respective State Governments.</t>
  </si>
  <si>
    <t>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</si>
</sst>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7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7"/>
      <name val="Times New Roman"/>
      <family val="1"/>
    </font>
    <font>
      <sz val="11"/>
      <name val="Times New Roman"/>
      <family val="1"/>
    </font>
    <font>
      <b/>
      <i/>
      <sz val="11"/>
      <name val="Calibri"/>
      <family val="2"/>
      <scheme val="minor"/>
    </font>
    <font>
      <b/>
      <sz val="1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30">
    <xf numFmtId="0" fontId="0" fillId="0" borderId="0"/>
    <xf numFmtId="0" fontId="2" fillId="0" borderId="0"/>
    <xf numFmtId="0" fontId="3" fillId="0" borderId="0"/>
    <xf numFmtId="0" fontId="4" fillId="0" borderId="0"/>
    <xf numFmtId="0" fontId="6" fillId="0" borderId="0"/>
    <xf numFmtId="0" fontId="5" fillId="0" borderId="0"/>
    <xf numFmtId="0" fontId="6" fillId="0" borderId="0"/>
    <xf numFmtId="0" fontId="5" fillId="2" borderId="2" applyNumberFormat="0" applyFont="0" applyAlignment="0" applyProtection="0"/>
    <xf numFmtId="0" fontId="6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8" fillId="2" borderId="2" applyNumberFormat="0" applyFont="0" applyAlignment="0" applyProtection="0"/>
    <xf numFmtId="0" fontId="9" fillId="0" borderId="0"/>
    <xf numFmtId="16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4" fillId="0" borderId="0"/>
  </cellStyleXfs>
  <cellXfs count="47">
    <xf numFmtId="0" fontId="0" fillId="0" borderId="0" xfId="0"/>
    <xf numFmtId="1" fontId="7" fillId="0" borderId="1" xfId="0" applyNumberFormat="1" applyFont="1" applyBorder="1"/>
    <xf numFmtId="0" fontId="7" fillId="0" borderId="0" xfId="0" applyFont="1" applyProtection="1">
      <protection locked="0"/>
    </xf>
    <xf numFmtId="0" fontId="7" fillId="0" borderId="1" xfId="0" applyFont="1" applyBorder="1" applyProtection="1">
      <protection locked="0"/>
    </xf>
    <xf numFmtId="1" fontId="7" fillId="0" borderId="1" xfId="0" applyNumberFormat="1" applyFont="1" applyBorder="1" applyProtection="1">
      <protection locked="0"/>
    </xf>
    <xf numFmtId="0" fontId="7" fillId="0" borderId="1" xfId="0" applyFont="1" applyBorder="1" applyAlignment="1" applyProtection="1">
      <alignment vertical="center" wrapText="1"/>
      <protection locked="0"/>
    </xf>
    <xf numFmtId="0" fontId="7" fillId="0" borderId="0" xfId="0" applyFont="1"/>
    <xf numFmtId="1" fontId="7" fillId="0" borderId="0" xfId="0" applyNumberFormat="1" applyFont="1"/>
    <xf numFmtId="1" fontId="7" fillId="0" borderId="0" xfId="0" applyNumberFormat="1" applyFont="1" applyProtection="1">
      <protection locked="0"/>
    </xf>
    <xf numFmtId="1" fontId="10" fillId="0" borderId="0" xfId="0" applyNumberFormat="1" applyFont="1" applyProtection="1">
      <protection locked="0"/>
    </xf>
    <xf numFmtId="0" fontId="7" fillId="0" borderId="0" xfId="0" quotePrefix="1" applyFont="1" applyProtection="1">
      <protection locked="0"/>
    </xf>
    <xf numFmtId="0" fontId="1" fillId="0" borderId="0" xfId="0" applyFont="1" applyAlignment="1">
      <alignment horizontal="left" vertical="center"/>
    </xf>
    <xf numFmtId="49" fontId="11" fillId="0" borderId="1" xfId="0" applyNumberFormat="1" applyFont="1" applyBorder="1" applyAlignment="1" applyProtection="1">
      <alignment vertical="center" wrapText="1"/>
      <protection locked="0"/>
    </xf>
    <xf numFmtId="0" fontId="11" fillId="0" borderId="1" xfId="0" applyFont="1" applyBorder="1" applyAlignment="1" applyProtection="1">
      <alignment vertical="center" wrapText="1"/>
      <protection locked="0"/>
    </xf>
    <xf numFmtId="49" fontId="12" fillId="0" borderId="1" xfId="0" applyNumberFormat="1" applyFont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49" fontId="12" fillId="0" borderId="1" xfId="0" applyNumberFormat="1" applyFont="1" applyBorder="1" applyAlignment="1" applyProtection="1">
      <alignment horizontal="right" vertical="center" wrapText="1"/>
      <protection locked="0"/>
    </xf>
    <xf numFmtId="0" fontId="7" fillId="0" borderId="1" xfId="0" applyFont="1" applyBorder="1" applyAlignment="1" applyProtection="1">
      <alignment horizontal="left" vertical="center" wrapText="1"/>
      <protection locked="0"/>
    </xf>
    <xf numFmtId="49" fontId="12" fillId="0" borderId="1" xfId="0" applyNumberFormat="1" applyFont="1" applyBorder="1" applyAlignment="1" applyProtection="1">
      <alignment vertical="center" wrapText="1"/>
      <protection locked="0"/>
    </xf>
    <xf numFmtId="49" fontId="12" fillId="0" borderId="1" xfId="0" quotePrefix="1" applyNumberFormat="1" applyFont="1" applyBorder="1" applyAlignment="1">
      <alignment vertical="center" wrapText="1"/>
    </xf>
    <xf numFmtId="0" fontId="7" fillId="0" borderId="1" xfId="0" applyFont="1" applyBorder="1"/>
    <xf numFmtId="0" fontId="16" fillId="0" borderId="0" xfId="0" applyFont="1" applyProtection="1">
      <protection locked="0"/>
    </xf>
    <xf numFmtId="0" fontId="0" fillId="0" borderId="0" xfId="0" applyProtection="1">
      <protection locked="0"/>
    </xf>
    <xf numFmtId="0" fontId="0" fillId="0" borderId="0" xfId="0" quotePrefix="1" applyProtection="1">
      <protection locked="0"/>
    </xf>
    <xf numFmtId="0" fontId="0" fillId="0" borderId="1" xfId="0" applyBorder="1" applyProtection="1">
      <protection locked="0"/>
    </xf>
    <xf numFmtId="1" fontId="0" fillId="0" borderId="1" xfId="0" applyNumberFormat="1" applyBorder="1"/>
    <xf numFmtId="1" fontId="0" fillId="0" borderId="1" xfId="0" applyNumberFormat="1" applyBorder="1" applyProtection="1">
      <protection locked="0"/>
    </xf>
    <xf numFmtId="1" fontId="0" fillId="0" borderId="0" xfId="0" applyNumberFormat="1" applyProtection="1">
      <protection locked="0"/>
    </xf>
    <xf numFmtId="0" fontId="7" fillId="0" borderId="3" xfId="0" applyFont="1" applyBorder="1"/>
    <xf numFmtId="0" fontId="7" fillId="3" borderId="0" xfId="0" applyFont="1" applyFill="1" applyProtection="1">
      <protection locked="0"/>
    </xf>
    <xf numFmtId="49" fontId="12" fillId="3" borderId="1" xfId="0" applyNumberFormat="1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left" vertical="center" wrapText="1"/>
    </xf>
    <xf numFmtId="1" fontId="7" fillId="3" borderId="1" xfId="0" applyNumberFormat="1" applyFont="1" applyFill="1" applyBorder="1"/>
    <xf numFmtId="1" fontId="7" fillId="3" borderId="0" xfId="0" applyNumberFormat="1" applyFont="1" applyFill="1"/>
    <xf numFmtId="0" fontId="7" fillId="3" borderId="0" xfId="0" applyFont="1" applyFill="1"/>
    <xf numFmtId="49" fontId="12" fillId="3" borderId="1" xfId="0" applyNumberFormat="1" applyFont="1" applyFill="1" applyBorder="1" applyAlignment="1" applyProtection="1">
      <alignment vertical="center" wrapText="1"/>
      <protection locked="0"/>
    </xf>
    <xf numFmtId="0" fontId="15" fillId="3" borderId="1" xfId="0" applyFont="1" applyFill="1" applyBorder="1" applyAlignment="1" applyProtection="1">
      <alignment horizontal="left" vertical="center" wrapText="1"/>
      <protection locked="0"/>
    </xf>
    <xf numFmtId="1" fontId="7" fillId="3" borderId="1" xfId="0" applyNumberFormat="1" applyFont="1" applyFill="1" applyBorder="1" applyProtection="1">
      <protection locked="0"/>
    </xf>
    <xf numFmtId="1" fontId="7" fillId="3" borderId="0" xfId="0" applyNumberFormat="1" applyFont="1" applyFill="1" applyProtection="1">
      <protection locked="0"/>
    </xf>
    <xf numFmtId="49" fontId="14" fillId="3" borderId="1" xfId="0" applyNumberFormat="1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left" vertical="top" wrapText="1"/>
    </xf>
    <xf numFmtId="0" fontId="10" fillId="3" borderId="1" xfId="0" applyFont="1" applyFill="1" applyBorder="1" applyAlignment="1">
      <alignment horizontal="left" vertical="center" wrapText="1"/>
    </xf>
    <xf numFmtId="49" fontId="12" fillId="3" borderId="1" xfId="0" quotePrefix="1" applyNumberFormat="1" applyFont="1" applyFill="1" applyBorder="1" applyAlignment="1">
      <alignment vertical="center" wrapText="1"/>
    </xf>
    <xf numFmtId="0" fontId="7" fillId="3" borderId="1" xfId="0" applyFont="1" applyFill="1" applyBorder="1" applyAlignment="1" applyProtection="1">
      <alignment vertical="center" wrapText="1"/>
      <protection locked="0"/>
    </xf>
    <xf numFmtId="0" fontId="7" fillId="3" borderId="1" xfId="0" applyFont="1" applyFill="1" applyBorder="1" applyProtection="1">
      <protection locked="0"/>
    </xf>
    <xf numFmtId="1" fontId="0" fillId="3" borderId="1" xfId="0" applyNumberFormat="1" applyFill="1" applyBorder="1"/>
    <xf numFmtId="1" fontId="0" fillId="3" borderId="1" xfId="0" applyNumberFormat="1" applyFill="1" applyBorder="1" applyProtection="1">
      <protection locked="0"/>
    </xf>
  </cellXfs>
  <cellStyles count="530">
    <cellStyle name="Comma 2" xfId="15" xr:uid="{00000000-0005-0000-0000-000000000000}"/>
    <cellStyle name="Comma 2 2" xfId="528" xr:uid="{00000000-0005-0000-0000-000001000000}"/>
    <cellStyle name="Normal" xfId="0" builtinId="0"/>
    <cellStyle name="Normal 2" xfId="2" xr:uid="{00000000-0005-0000-0000-000003000000}"/>
    <cellStyle name="Normal 2 2" xfId="8" xr:uid="{00000000-0005-0000-0000-000004000000}"/>
    <cellStyle name="Normal 2 2 2" xfId="10" xr:uid="{00000000-0005-0000-0000-000005000000}"/>
    <cellStyle name="Normal 2 2 3" xfId="18" xr:uid="{00000000-0005-0000-0000-000006000000}"/>
    <cellStyle name="Normal 2 3" xfId="5" xr:uid="{00000000-0005-0000-0000-000007000000}"/>
    <cellStyle name="Normal 2 3 2" xfId="529" xr:uid="{00000000-0005-0000-0000-000008000000}"/>
    <cellStyle name="Normal 2 4" xfId="9" xr:uid="{00000000-0005-0000-0000-000009000000}"/>
    <cellStyle name="Normal 2 4 2" xfId="17" xr:uid="{00000000-0005-0000-0000-00000A000000}"/>
    <cellStyle name="Normal 3" xfId="1" xr:uid="{00000000-0005-0000-0000-00000B000000}"/>
    <cellStyle name="Normal 3 2" xfId="6" xr:uid="{00000000-0005-0000-0000-00000C000000}"/>
    <cellStyle name="Normal 3 2 2" xfId="11" xr:uid="{00000000-0005-0000-0000-00000D000000}"/>
    <cellStyle name="Normal 3 3" xfId="16" xr:uid="{00000000-0005-0000-0000-00000E000000}"/>
    <cellStyle name="Normal 4" xfId="3" xr:uid="{00000000-0005-0000-0000-00000F000000}"/>
    <cellStyle name="Normal 5" xfId="4" xr:uid="{00000000-0005-0000-0000-000010000000}"/>
    <cellStyle name="Normal 5 2" xfId="12" xr:uid="{00000000-0005-0000-0000-000011000000}"/>
    <cellStyle name="Normal 6" xfId="14" xr:uid="{00000000-0005-0000-0000-000012000000}"/>
    <cellStyle name="Note 2" xfId="7" xr:uid="{00000000-0005-0000-0000-000013000000}"/>
    <cellStyle name="Note 2 2" xfId="13" xr:uid="{00000000-0005-0000-0000-000014000000}"/>
    <cellStyle name="style1405592468105" xfId="19" xr:uid="{00000000-0005-0000-0000-000015000000}"/>
    <cellStyle name="style1405593752700" xfId="20" xr:uid="{00000000-0005-0000-0000-000016000000}"/>
    <cellStyle name="style1406113848636" xfId="21" xr:uid="{00000000-0005-0000-0000-000017000000}"/>
    <cellStyle name="style1406113848741" xfId="22" xr:uid="{00000000-0005-0000-0000-000018000000}"/>
    <cellStyle name="style1406113848796" xfId="23" xr:uid="{00000000-0005-0000-0000-000019000000}"/>
    <cellStyle name="style1406113848827" xfId="24" xr:uid="{00000000-0005-0000-0000-00001A000000}"/>
    <cellStyle name="style1406113848859" xfId="25" xr:uid="{00000000-0005-0000-0000-00001B000000}"/>
    <cellStyle name="style1406113848891" xfId="26" xr:uid="{00000000-0005-0000-0000-00001C000000}"/>
    <cellStyle name="style1406113848925" xfId="27" xr:uid="{00000000-0005-0000-0000-00001D000000}"/>
    <cellStyle name="style1406113848965" xfId="28" xr:uid="{00000000-0005-0000-0000-00001E000000}"/>
    <cellStyle name="style1406113848998" xfId="29" xr:uid="{00000000-0005-0000-0000-00001F000000}"/>
    <cellStyle name="style1406113849028" xfId="30" xr:uid="{00000000-0005-0000-0000-000020000000}"/>
    <cellStyle name="style1406113849058" xfId="31" xr:uid="{00000000-0005-0000-0000-000021000000}"/>
    <cellStyle name="style1406113849090" xfId="32" xr:uid="{00000000-0005-0000-0000-000022000000}"/>
    <cellStyle name="style1406113849117" xfId="33" xr:uid="{00000000-0005-0000-0000-000023000000}"/>
    <cellStyle name="style1406113849144" xfId="34" xr:uid="{00000000-0005-0000-0000-000024000000}"/>
    <cellStyle name="style1406113849183" xfId="35" xr:uid="{00000000-0005-0000-0000-000025000000}"/>
    <cellStyle name="style1406113849217" xfId="36" xr:uid="{00000000-0005-0000-0000-000026000000}"/>
    <cellStyle name="style1406113849255" xfId="37" xr:uid="{00000000-0005-0000-0000-000027000000}"/>
    <cellStyle name="style1406113849284" xfId="38" xr:uid="{00000000-0005-0000-0000-000028000000}"/>
    <cellStyle name="style1406113849311" xfId="39" xr:uid="{00000000-0005-0000-0000-000029000000}"/>
    <cellStyle name="style1406113849339" xfId="40" xr:uid="{00000000-0005-0000-0000-00002A000000}"/>
    <cellStyle name="style1406113849367" xfId="41" xr:uid="{00000000-0005-0000-0000-00002B000000}"/>
    <cellStyle name="style1406113849389" xfId="42" xr:uid="{00000000-0005-0000-0000-00002C000000}"/>
    <cellStyle name="style1406113849413" xfId="43" xr:uid="{00000000-0005-0000-0000-00002D000000}"/>
    <cellStyle name="style1406113849558" xfId="44" xr:uid="{00000000-0005-0000-0000-00002E000000}"/>
    <cellStyle name="style1406113849582" xfId="45" xr:uid="{00000000-0005-0000-0000-00002F000000}"/>
    <cellStyle name="style1406113849605" xfId="46" xr:uid="{00000000-0005-0000-0000-000030000000}"/>
    <cellStyle name="style1406113849630" xfId="47" xr:uid="{00000000-0005-0000-0000-000031000000}"/>
    <cellStyle name="style1406113849653" xfId="48" xr:uid="{00000000-0005-0000-0000-000032000000}"/>
    <cellStyle name="style1406113849674" xfId="49" xr:uid="{00000000-0005-0000-0000-000033000000}"/>
    <cellStyle name="style1406113849701" xfId="50" xr:uid="{00000000-0005-0000-0000-000034000000}"/>
    <cellStyle name="style1406113849728" xfId="51" xr:uid="{00000000-0005-0000-0000-000035000000}"/>
    <cellStyle name="style1406113849754" xfId="52" xr:uid="{00000000-0005-0000-0000-000036000000}"/>
    <cellStyle name="style1406113849781" xfId="53" xr:uid="{00000000-0005-0000-0000-000037000000}"/>
    <cellStyle name="style1406113849808" xfId="54" xr:uid="{00000000-0005-0000-0000-000038000000}"/>
    <cellStyle name="style1406113849835" xfId="55" xr:uid="{00000000-0005-0000-0000-000039000000}"/>
    <cellStyle name="style1406113849856" xfId="56" xr:uid="{00000000-0005-0000-0000-00003A000000}"/>
    <cellStyle name="style1406113849876" xfId="57" xr:uid="{00000000-0005-0000-0000-00003B000000}"/>
    <cellStyle name="style1406113849898" xfId="58" xr:uid="{00000000-0005-0000-0000-00003C000000}"/>
    <cellStyle name="style1406113849921" xfId="59" xr:uid="{00000000-0005-0000-0000-00003D000000}"/>
    <cellStyle name="style1406113849947" xfId="60" xr:uid="{00000000-0005-0000-0000-00003E000000}"/>
    <cellStyle name="style1406113849975" xfId="61" xr:uid="{00000000-0005-0000-0000-00003F000000}"/>
    <cellStyle name="style1406113850004" xfId="62" xr:uid="{00000000-0005-0000-0000-000040000000}"/>
    <cellStyle name="style1406113850027" xfId="63" xr:uid="{00000000-0005-0000-0000-000041000000}"/>
    <cellStyle name="style1406113850054" xfId="64" xr:uid="{00000000-0005-0000-0000-000042000000}"/>
    <cellStyle name="style1406113850081" xfId="65" xr:uid="{00000000-0005-0000-0000-000043000000}"/>
    <cellStyle name="style1406113850103" xfId="66" xr:uid="{00000000-0005-0000-0000-000044000000}"/>
    <cellStyle name="style1406113850129" xfId="67" xr:uid="{00000000-0005-0000-0000-000045000000}"/>
    <cellStyle name="style1406113850156" xfId="68" xr:uid="{00000000-0005-0000-0000-000046000000}"/>
    <cellStyle name="style1406113850182" xfId="69" xr:uid="{00000000-0005-0000-0000-000047000000}"/>
    <cellStyle name="style1406113850203" xfId="70" xr:uid="{00000000-0005-0000-0000-000048000000}"/>
    <cellStyle name="style1406113850224" xfId="71" xr:uid="{00000000-0005-0000-0000-000049000000}"/>
    <cellStyle name="style1406113850258" xfId="72" xr:uid="{00000000-0005-0000-0000-00004A000000}"/>
    <cellStyle name="style1406113850331" xfId="73" xr:uid="{00000000-0005-0000-0000-00004B000000}"/>
    <cellStyle name="style1406113850358" xfId="74" xr:uid="{00000000-0005-0000-0000-00004C000000}"/>
    <cellStyle name="style1406113850380" xfId="75" xr:uid="{00000000-0005-0000-0000-00004D000000}"/>
    <cellStyle name="style1406113850409" xfId="76" xr:uid="{00000000-0005-0000-0000-00004E000000}"/>
    <cellStyle name="style1406113850431" xfId="77" xr:uid="{00000000-0005-0000-0000-00004F000000}"/>
    <cellStyle name="style1406113850452" xfId="78" xr:uid="{00000000-0005-0000-0000-000050000000}"/>
    <cellStyle name="style1406113850474" xfId="79" xr:uid="{00000000-0005-0000-0000-000051000000}"/>
    <cellStyle name="style1406113850501" xfId="80" xr:uid="{00000000-0005-0000-0000-000052000000}"/>
    <cellStyle name="style1406113850522" xfId="81" xr:uid="{00000000-0005-0000-0000-000053000000}"/>
    <cellStyle name="style1406113850542" xfId="82" xr:uid="{00000000-0005-0000-0000-000054000000}"/>
    <cellStyle name="style1406113850570" xfId="83" xr:uid="{00000000-0005-0000-0000-000055000000}"/>
    <cellStyle name="style1406113850591" xfId="84" xr:uid="{00000000-0005-0000-0000-000056000000}"/>
    <cellStyle name="style1406113850614" xfId="85" xr:uid="{00000000-0005-0000-0000-000057000000}"/>
    <cellStyle name="style1406113850636" xfId="86" xr:uid="{00000000-0005-0000-0000-000058000000}"/>
    <cellStyle name="style1406113850655" xfId="87" xr:uid="{00000000-0005-0000-0000-000059000000}"/>
    <cellStyle name="style1406113850674" xfId="88" xr:uid="{00000000-0005-0000-0000-00005A000000}"/>
    <cellStyle name="style1406113850723" xfId="89" xr:uid="{00000000-0005-0000-0000-00005B000000}"/>
    <cellStyle name="style1406113850767" xfId="90" xr:uid="{00000000-0005-0000-0000-00005C000000}"/>
    <cellStyle name="style1406113850816" xfId="91" xr:uid="{00000000-0005-0000-0000-00005D000000}"/>
    <cellStyle name="style1406114189185" xfId="92" xr:uid="{00000000-0005-0000-0000-00005E000000}"/>
    <cellStyle name="style1406114189213" xfId="93" xr:uid="{00000000-0005-0000-0000-00005F000000}"/>
    <cellStyle name="style1406114189239" xfId="94" xr:uid="{00000000-0005-0000-0000-000060000000}"/>
    <cellStyle name="style1406114189259" xfId="95" xr:uid="{00000000-0005-0000-0000-000061000000}"/>
    <cellStyle name="style1406114189283" xfId="96" xr:uid="{00000000-0005-0000-0000-000062000000}"/>
    <cellStyle name="style1406114189307" xfId="97" xr:uid="{00000000-0005-0000-0000-000063000000}"/>
    <cellStyle name="style1406114189331" xfId="98" xr:uid="{00000000-0005-0000-0000-000064000000}"/>
    <cellStyle name="style1406114189356" xfId="99" xr:uid="{00000000-0005-0000-0000-000065000000}"/>
    <cellStyle name="style1406114189382" xfId="100" xr:uid="{00000000-0005-0000-0000-000066000000}"/>
    <cellStyle name="style1406114189407" xfId="101" xr:uid="{00000000-0005-0000-0000-000067000000}"/>
    <cellStyle name="style1406114189432" xfId="102" xr:uid="{00000000-0005-0000-0000-000068000000}"/>
    <cellStyle name="style1406114189459" xfId="103" xr:uid="{00000000-0005-0000-0000-000069000000}"/>
    <cellStyle name="style1406114189481" xfId="104" xr:uid="{00000000-0005-0000-0000-00006A000000}"/>
    <cellStyle name="style1406114189505" xfId="105" xr:uid="{00000000-0005-0000-0000-00006B000000}"/>
    <cellStyle name="style1406114189535" xfId="106" xr:uid="{00000000-0005-0000-0000-00006C000000}"/>
    <cellStyle name="style1406114189560" xfId="107" xr:uid="{00000000-0005-0000-0000-00006D000000}"/>
    <cellStyle name="style1406114189585" xfId="108" xr:uid="{00000000-0005-0000-0000-00006E000000}"/>
    <cellStyle name="style1406114189616" xfId="109" xr:uid="{00000000-0005-0000-0000-00006F000000}"/>
    <cellStyle name="style1406114189644" xfId="110" xr:uid="{00000000-0005-0000-0000-000070000000}"/>
    <cellStyle name="style1406114189671" xfId="111" xr:uid="{00000000-0005-0000-0000-000071000000}"/>
    <cellStyle name="style1406114189696" xfId="112" xr:uid="{00000000-0005-0000-0000-000072000000}"/>
    <cellStyle name="style1406114189716" xfId="113" xr:uid="{00000000-0005-0000-0000-000073000000}"/>
    <cellStyle name="style1406114189736" xfId="114" xr:uid="{00000000-0005-0000-0000-000074000000}"/>
    <cellStyle name="style1406114189757" xfId="115" xr:uid="{00000000-0005-0000-0000-000075000000}"/>
    <cellStyle name="style1406114189778" xfId="116" xr:uid="{00000000-0005-0000-0000-000076000000}"/>
    <cellStyle name="style1406114189799" xfId="117" xr:uid="{00000000-0005-0000-0000-000077000000}"/>
    <cellStyle name="style1406114189820" xfId="118" xr:uid="{00000000-0005-0000-0000-000078000000}"/>
    <cellStyle name="style1406114189840" xfId="119" xr:uid="{00000000-0005-0000-0000-000079000000}"/>
    <cellStyle name="style1406114189860" xfId="120" xr:uid="{00000000-0005-0000-0000-00007A000000}"/>
    <cellStyle name="style1406114189886" xfId="121" xr:uid="{00000000-0005-0000-0000-00007B000000}"/>
    <cellStyle name="style1406114189911" xfId="122" xr:uid="{00000000-0005-0000-0000-00007C000000}"/>
    <cellStyle name="style1406114189990" xfId="123" xr:uid="{00000000-0005-0000-0000-00007D000000}"/>
    <cellStyle name="style1406114190017" xfId="124" xr:uid="{00000000-0005-0000-0000-00007E000000}"/>
    <cellStyle name="style1406114190044" xfId="125" xr:uid="{00000000-0005-0000-0000-00007F000000}"/>
    <cellStyle name="style1406114190069" xfId="126" xr:uid="{00000000-0005-0000-0000-000080000000}"/>
    <cellStyle name="style1406114190088" xfId="127" xr:uid="{00000000-0005-0000-0000-000081000000}"/>
    <cellStyle name="style1406114190108" xfId="128" xr:uid="{00000000-0005-0000-0000-000082000000}"/>
    <cellStyle name="style1406114190127" xfId="129" xr:uid="{00000000-0005-0000-0000-000083000000}"/>
    <cellStyle name="style1406114190148" xfId="130" xr:uid="{00000000-0005-0000-0000-000084000000}"/>
    <cellStyle name="style1406114190171" xfId="131" xr:uid="{00000000-0005-0000-0000-000085000000}"/>
    <cellStyle name="style1406114190195" xfId="132" xr:uid="{00000000-0005-0000-0000-000086000000}"/>
    <cellStyle name="style1406114190219" xfId="133" xr:uid="{00000000-0005-0000-0000-000087000000}"/>
    <cellStyle name="style1406114190238" xfId="134" xr:uid="{00000000-0005-0000-0000-000088000000}"/>
    <cellStyle name="style1406114190262" xfId="135" xr:uid="{00000000-0005-0000-0000-000089000000}"/>
    <cellStyle name="style1406114190285" xfId="136" xr:uid="{00000000-0005-0000-0000-00008A000000}"/>
    <cellStyle name="style1406114190303" xfId="137" xr:uid="{00000000-0005-0000-0000-00008B000000}"/>
    <cellStyle name="style1406114190327" xfId="138" xr:uid="{00000000-0005-0000-0000-00008C000000}"/>
    <cellStyle name="style1406114190351" xfId="139" xr:uid="{00000000-0005-0000-0000-00008D000000}"/>
    <cellStyle name="style1406114190375" xfId="140" xr:uid="{00000000-0005-0000-0000-00008E000000}"/>
    <cellStyle name="style1406114190395" xfId="141" xr:uid="{00000000-0005-0000-0000-00008F000000}"/>
    <cellStyle name="style1406114190415" xfId="142" xr:uid="{00000000-0005-0000-0000-000090000000}"/>
    <cellStyle name="style1406114190439" xfId="143" xr:uid="{00000000-0005-0000-0000-000091000000}"/>
    <cellStyle name="style1406114190464" xfId="144" xr:uid="{00000000-0005-0000-0000-000092000000}"/>
    <cellStyle name="style1406114190487" xfId="145" xr:uid="{00000000-0005-0000-0000-000093000000}"/>
    <cellStyle name="style1406114190507" xfId="146" xr:uid="{00000000-0005-0000-0000-000094000000}"/>
    <cellStyle name="style1406114190534" xfId="147" xr:uid="{00000000-0005-0000-0000-000095000000}"/>
    <cellStyle name="style1406114190553" xfId="148" xr:uid="{00000000-0005-0000-0000-000096000000}"/>
    <cellStyle name="style1406114190571" xfId="149" xr:uid="{00000000-0005-0000-0000-000097000000}"/>
    <cellStyle name="style1406114190588" xfId="150" xr:uid="{00000000-0005-0000-0000-000098000000}"/>
    <cellStyle name="style1406114190609" xfId="151" xr:uid="{00000000-0005-0000-0000-000099000000}"/>
    <cellStyle name="style1406114190628" xfId="152" xr:uid="{00000000-0005-0000-0000-00009A000000}"/>
    <cellStyle name="style1406114190647" xfId="153" xr:uid="{00000000-0005-0000-0000-00009B000000}"/>
    <cellStyle name="style1406114190666" xfId="154" xr:uid="{00000000-0005-0000-0000-00009C000000}"/>
    <cellStyle name="style1406114190687" xfId="155" xr:uid="{00000000-0005-0000-0000-00009D000000}"/>
    <cellStyle name="style1406114190844" xfId="156" xr:uid="{00000000-0005-0000-0000-00009E000000}"/>
    <cellStyle name="style1406114190863" xfId="157" xr:uid="{00000000-0005-0000-0000-00009F000000}"/>
    <cellStyle name="style1406114190881" xfId="158" xr:uid="{00000000-0005-0000-0000-0000A0000000}"/>
    <cellStyle name="style1406114190900" xfId="159" xr:uid="{00000000-0005-0000-0000-0000A1000000}"/>
    <cellStyle name="style1406114190959" xfId="160" xr:uid="{00000000-0005-0000-0000-0000A2000000}"/>
    <cellStyle name="style1406114191014" xfId="161" xr:uid="{00000000-0005-0000-0000-0000A3000000}"/>
    <cellStyle name="style1406114191303" xfId="162" xr:uid="{00000000-0005-0000-0000-0000A4000000}"/>
    <cellStyle name="style1406114191912" xfId="163" xr:uid="{00000000-0005-0000-0000-0000A5000000}"/>
    <cellStyle name="style1406114345186" xfId="164" xr:uid="{00000000-0005-0000-0000-0000A6000000}"/>
    <cellStyle name="style1406114345361" xfId="165" xr:uid="{00000000-0005-0000-0000-0000A7000000}"/>
    <cellStyle name="style1406114398523" xfId="166" xr:uid="{00000000-0005-0000-0000-0000A8000000}"/>
    <cellStyle name="style1406114398549" xfId="167" xr:uid="{00000000-0005-0000-0000-0000A9000000}"/>
    <cellStyle name="style1406114398571" xfId="168" xr:uid="{00000000-0005-0000-0000-0000AA000000}"/>
    <cellStyle name="style1406114398589" xfId="169" xr:uid="{00000000-0005-0000-0000-0000AB000000}"/>
    <cellStyle name="style1406114398610" xfId="170" xr:uid="{00000000-0005-0000-0000-0000AC000000}"/>
    <cellStyle name="style1406114398632" xfId="171" xr:uid="{00000000-0005-0000-0000-0000AD000000}"/>
    <cellStyle name="style1406114398654" xfId="172" xr:uid="{00000000-0005-0000-0000-0000AE000000}"/>
    <cellStyle name="style1406114398679" xfId="173" xr:uid="{00000000-0005-0000-0000-0000AF000000}"/>
    <cellStyle name="style1406114398703" xfId="174" xr:uid="{00000000-0005-0000-0000-0000B0000000}"/>
    <cellStyle name="style1406114398726" xfId="175" xr:uid="{00000000-0005-0000-0000-0000B1000000}"/>
    <cellStyle name="style1406114398750" xfId="176" xr:uid="{00000000-0005-0000-0000-0000B2000000}"/>
    <cellStyle name="style1406114398774" xfId="177" xr:uid="{00000000-0005-0000-0000-0000B3000000}"/>
    <cellStyle name="style1406114398792" xfId="178" xr:uid="{00000000-0005-0000-0000-0000B4000000}"/>
    <cellStyle name="style1406114398812" xfId="179" xr:uid="{00000000-0005-0000-0000-0000B5000000}"/>
    <cellStyle name="style1406114398835" xfId="180" xr:uid="{00000000-0005-0000-0000-0000B6000000}"/>
    <cellStyle name="style1406114398855" xfId="181" xr:uid="{00000000-0005-0000-0000-0000B7000000}"/>
    <cellStyle name="style1406114398880" xfId="182" xr:uid="{00000000-0005-0000-0000-0000B8000000}"/>
    <cellStyle name="style1406114398898" xfId="183" xr:uid="{00000000-0005-0000-0000-0000B9000000}"/>
    <cellStyle name="style1406114398922" xfId="184" xr:uid="{00000000-0005-0000-0000-0000BA000000}"/>
    <cellStyle name="style1406114398946" xfId="185" xr:uid="{00000000-0005-0000-0000-0000BB000000}"/>
    <cellStyle name="style1406114398972" xfId="186" xr:uid="{00000000-0005-0000-0000-0000BC000000}"/>
    <cellStyle name="style1406114398991" xfId="187" xr:uid="{00000000-0005-0000-0000-0000BD000000}"/>
    <cellStyle name="style1406114399009" xfId="188" xr:uid="{00000000-0005-0000-0000-0000BE000000}"/>
    <cellStyle name="style1406114399027" xfId="189" xr:uid="{00000000-0005-0000-0000-0000BF000000}"/>
    <cellStyle name="style1406114399044" xfId="190" xr:uid="{00000000-0005-0000-0000-0000C0000000}"/>
    <cellStyle name="style1406114399064" xfId="191" xr:uid="{00000000-0005-0000-0000-0000C1000000}"/>
    <cellStyle name="style1406114399083" xfId="192" xr:uid="{00000000-0005-0000-0000-0000C2000000}"/>
    <cellStyle name="style1406114399102" xfId="193" xr:uid="{00000000-0005-0000-0000-0000C3000000}"/>
    <cellStyle name="style1406114399120" xfId="194" xr:uid="{00000000-0005-0000-0000-0000C4000000}"/>
    <cellStyle name="style1406114399144" xfId="195" xr:uid="{00000000-0005-0000-0000-0000C5000000}"/>
    <cellStyle name="style1406114399167" xfId="196" xr:uid="{00000000-0005-0000-0000-0000C6000000}"/>
    <cellStyle name="style1406114399199" xfId="197" xr:uid="{00000000-0005-0000-0000-0000C7000000}"/>
    <cellStyle name="style1406114399226" xfId="198" xr:uid="{00000000-0005-0000-0000-0000C8000000}"/>
    <cellStyle name="style1406114399254" xfId="199" xr:uid="{00000000-0005-0000-0000-0000C9000000}"/>
    <cellStyle name="style1406114399277" xfId="200" xr:uid="{00000000-0005-0000-0000-0000CA000000}"/>
    <cellStyle name="style1406114399294" xfId="201" xr:uid="{00000000-0005-0000-0000-0000CB000000}"/>
    <cellStyle name="style1406114399311" xfId="202" xr:uid="{00000000-0005-0000-0000-0000CC000000}"/>
    <cellStyle name="style1406114399329" xfId="203" xr:uid="{00000000-0005-0000-0000-0000CD000000}"/>
    <cellStyle name="style1406114399348" xfId="204" xr:uid="{00000000-0005-0000-0000-0000CE000000}"/>
    <cellStyle name="style1406114399367" xfId="205" xr:uid="{00000000-0005-0000-0000-0000CF000000}"/>
    <cellStyle name="style1406114399389" xfId="206" xr:uid="{00000000-0005-0000-0000-0000D0000000}"/>
    <cellStyle name="style1406114399411" xfId="207" xr:uid="{00000000-0005-0000-0000-0000D1000000}"/>
    <cellStyle name="style1406114399490" xfId="208" xr:uid="{00000000-0005-0000-0000-0000D2000000}"/>
    <cellStyle name="style1406114399512" xfId="209" xr:uid="{00000000-0005-0000-0000-0000D3000000}"/>
    <cellStyle name="style1406114399534" xfId="210" xr:uid="{00000000-0005-0000-0000-0000D4000000}"/>
    <cellStyle name="style1406114399551" xfId="211" xr:uid="{00000000-0005-0000-0000-0000D5000000}"/>
    <cellStyle name="style1406114399576" xfId="212" xr:uid="{00000000-0005-0000-0000-0000D6000000}"/>
    <cellStyle name="style1406114399599" xfId="213" xr:uid="{00000000-0005-0000-0000-0000D7000000}"/>
    <cellStyle name="style1406114399622" xfId="214" xr:uid="{00000000-0005-0000-0000-0000D8000000}"/>
    <cellStyle name="style1406114399641" xfId="215" xr:uid="{00000000-0005-0000-0000-0000D9000000}"/>
    <cellStyle name="style1406114399662" xfId="216" xr:uid="{00000000-0005-0000-0000-0000DA000000}"/>
    <cellStyle name="style1406114399689" xfId="217" xr:uid="{00000000-0005-0000-0000-0000DB000000}"/>
    <cellStyle name="style1406114399716" xfId="218" xr:uid="{00000000-0005-0000-0000-0000DC000000}"/>
    <cellStyle name="style1406114399740" xfId="219" xr:uid="{00000000-0005-0000-0000-0000DD000000}"/>
    <cellStyle name="style1406114399758" xfId="220" xr:uid="{00000000-0005-0000-0000-0000DE000000}"/>
    <cellStyle name="style1406114399783" xfId="221" xr:uid="{00000000-0005-0000-0000-0000DF000000}"/>
    <cellStyle name="style1406114399802" xfId="222" xr:uid="{00000000-0005-0000-0000-0000E0000000}"/>
    <cellStyle name="style1406114399820" xfId="223" xr:uid="{00000000-0005-0000-0000-0000E1000000}"/>
    <cellStyle name="style1406114399839" xfId="224" xr:uid="{00000000-0005-0000-0000-0000E2000000}"/>
    <cellStyle name="style1406114399860" xfId="225" xr:uid="{00000000-0005-0000-0000-0000E3000000}"/>
    <cellStyle name="style1406114399878" xfId="226" xr:uid="{00000000-0005-0000-0000-0000E4000000}"/>
    <cellStyle name="style1406114399896" xfId="227" xr:uid="{00000000-0005-0000-0000-0000E5000000}"/>
    <cellStyle name="style1406114399914" xfId="228" xr:uid="{00000000-0005-0000-0000-0000E6000000}"/>
    <cellStyle name="style1406114399932" xfId="229" xr:uid="{00000000-0005-0000-0000-0000E7000000}"/>
    <cellStyle name="style1406114399951" xfId="230" xr:uid="{00000000-0005-0000-0000-0000E8000000}"/>
    <cellStyle name="style1406114399969" xfId="231" xr:uid="{00000000-0005-0000-0000-0000E9000000}"/>
    <cellStyle name="style1406114399987" xfId="232" xr:uid="{00000000-0005-0000-0000-0000EA000000}"/>
    <cellStyle name="style1406114400018" xfId="233" xr:uid="{00000000-0005-0000-0000-0000EB000000}"/>
    <cellStyle name="style1406114400104" xfId="234" xr:uid="{00000000-0005-0000-0000-0000EC000000}"/>
    <cellStyle name="style1406114400339" xfId="235" xr:uid="{00000000-0005-0000-0000-0000ED000000}"/>
    <cellStyle name="style1406114400806" xfId="236" xr:uid="{00000000-0005-0000-0000-0000EE000000}"/>
    <cellStyle name="style1406114440149" xfId="237" xr:uid="{00000000-0005-0000-0000-0000EF000000}"/>
    <cellStyle name="style1406114440175" xfId="238" xr:uid="{00000000-0005-0000-0000-0000F0000000}"/>
    <cellStyle name="style1406114440200" xfId="239" xr:uid="{00000000-0005-0000-0000-0000F1000000}"/>
    <cellStyle name="style1406114440219" xfId="240" xr:uid="{00000000-0005-0000-0000-0000F2000000}"/>
    <cellStyle name="style1406114440242" xfId="241" xr:uid="{00000000-0005-0000-0000-0000F3000000}"/>
    <cellStyle name="style1406114440265" xfId="242" xr:uid="{00000000-0005-0000-0000-0000F4000000}"/>
    <cellStyle name="style1406114440288" xfId="243" xr:uid="{00000000-0005-0000-0000-0000F5000000}"/>
    <cellStyle name="style1406114440311" xfId="244" xr:uid="{00000000-0005-0000-0000-0000F6000000}"/>
    <cellStyle name="style1406114440332" xfId="245" xr:uid="{00000000-0005-0000-0000-0000F7000000}"/>
    <cellStyle name="style1406114440354" xfId="246" xr:uid="{00000000-0005-0000-0000-0000F8000000}"/>
    <cellStyle name="style1406114440375" xfId="247" xr:uid="{00000000-0005-0000-0000-0000F9000000}"/>
    <cellStyle name="style1406114440396" xfId="248" xr:uid="{00000000-0005-0000-0000-0000FA000000}"/>
    <cellStyle name="style1406114440413" xfId="249" xr:uid="{00000000-0005-0000-0000-0000FB000000}"/>
    <cellStyle name="style1406114440430" xfId="250" xr:uid="{00000000-0005-0000-0000-0000FC000000}"/>
    <cellStyle name="style1406114440452" xfId="251" xr:uid="{00000000-0005-0000-0000-0000FD000000}"/>
    <cellStyle name="style1406114440470" xfId="252" xr:uid="{00000000-0005-0000-0000-0000FE000000}"/>
    <cellStyle name="style1406114440492" xfId="253" xr:uid="{00000000-0005-0000-0000-0000FF000000}"/>
    <cellStyle name="style1406114440509" xfId="254" xr:uid="{00000000-0005-0000-0000-000000010000}"/>
    <cellStyle name="style1406114440531" xfId="255" xr:uid="{00000000-0005-0000-0000-000001010000}"/>
    <cellStyle name="style1406114440552" xfId="256" xr:uid="{00000000-0005-0000-0000-000002010000}"/>
    <cellStyle name="style1406114440573" xfId="257" xr:uid="{00000000-0005-0000-0000-000003010000}"/>
    <cellStyle name="style1406114440590" xfId="258" xr:uid="{00000000-0005-0000-0000-000004010000}"/>
    <cellStyle name="style1406114440607" xfId="259" xr:uid="{00000000-0005-0000-0000-000005010000}"/>
    <cellStyle name="style1406114440624" xfId="260" xr:uid="{00000000-0005-0000-0000-000006010000}"/>
    <cellStyle name="style1406114440641" xfId="261" xr:uid="{00000000-0005-0000-0000-000007010000}"/>
    <cellStyle name="style1406114440657" xfId="262" xr:uid="{00000000-0005-0000-0000-000008010000}"/>
    <cellStyle name="style1406114440676" xfId="263" xr:uid="{00000000-0005-0000-0000-000009010000}"/>
    <cellStyle name="style1406114440693" xfId="264" xr:uid="{00000000-0005-0000-0000-00000A010000}"/>
    <cellStyle name="style1406114440711" xfId="265" xr:uid="{00000000-0005-0000-0000-00000B010000}"/>
    <cellStyle name="style1406114440733" xfId="266" xr:uid="{00000000-0005-0000-0000-00000C010000}"/>
    <cellStyle name="style1406114440756" xfId="267" xr:uid="{00000000-0005-0000-0000-00000D010000}"/>
    <cellStyle name="style1406114440778" xfId="268" xr:uid="{00000000-0005-0000-0000-00000E010000}"/>
    <cellStyle name="style1406114440801" xfId="269" xr:uid="{00000000-0005-0000-0000-00000F010000}"/>
    <cellStyle name="style1406114440831" xfId="270" xr:uid="{00000000-0005-0000-0000-000010010000}"/>
    <cellStyle name="style1406114440854" xfId="271" xr:uid="{00000000-0005-0000-0000-000011010000}"/>
    <cellStyle name="style1406114440871" xfId="272" xr:uid="{00000000-0005-0000-0000-000012010000}"/>
    <cellStyle name="style1406114440888" xfId="273" xr:uid="{00000000-0005-0000-0000-000013010000}"/>
    <cellStyle name="style1406114440905" xfId="274" xr:uid="{00000000-0005-0000-0000-000014010000}"/>
    <cellStyle name="style1406114440922" xfId="275" xr:uid="{00000000-0005-0000-0000-000015010000}"/>
    <cellStyle name="style1406114440941" xfId="276" xr:uid="{00000000-0005-0000-0000-000016010000}"/>
    <cellStyle name="style1406114440964" xfId="277" xr:uid="{00000000-0005-0000-0000-000017010000}"/>
    <cellStyle name="style1406114440986" xfId="278" xr:uid="{00000000-0005-0000-0000-000018010000}"/>
    <cellStyle name="style1406114441003" xfId="279" xr:uid="{00000000-0005-0000-0000-000019010000}"/>
    <cellStyle name="style1406114441024" xfId="280" xr:uid="{00000000-0005-0000-0000-00001A010000}"/>
    <cellStyle name="style1406114441046" xfId="281" xr:uid="{00000000-0005-0000-0000-00001B010000}"/>
    <cellStyle name="style1406114441063" xfId="282" xr:uid="{00000000-0005-0000-0000-00001C010000}"/>
    <cellStyle name="style1406114441085" xfId="283" xr:uid="{00000000-0005-0000-0000-00001D010000}"/>
    <cellStyle name="style1406114441106" xfId="284" xr:uid="{00000000-0005-0000-0000-00001E010000}"/>
    <cellStyle name="style1406114441127" xfId="285" xr:uid="{00000000-0005-0000-0000-00001F010000}"/>
    <cellStyle name="style1406114441144" xfId="286" xr:uid="{00000000-0005-0000-0000-000020010000}"/>
    <cellStyle name="style1406114441245" xfId="287" xr:uid="{00000000-0005-0000-0000-000021010000}"/>
    <cellStyle name="style1406114441267" xfId="288" xr:uid="{00000000-0005-0000-0000-000022010000}"/>
    <cellStyle name="style1406114441288" xfId="289" xr:uid="{00000000-0005-0000-0000-000023010000}"/>
    <cellStyle name="style1406114441309" xfId="290" xr:uid="{00000000-0005-0000-0000-000024010000}"/>
    <cellStyle name="style1406114441326" xfId="291" xr:uid="{00000000-0005-0000-0000-000025010000}"/>
    <cellStyle name="style1406114441350" xfId="292" xr:uid="{00000000-0005-0000-0000-000026010000}"/>
    <cellStyle name="style1406114441369" xfId="293" xr:uid="{00000000-0005-0000-0000-000027010000}"/>
    <cellStyle name="style1406114441387" xfId="294" xr:uid="{00000000-0005-0000-0000-000028010000}"/>
    <cellStyle name="style1406114441405" xfId="295" xr:uid="{00000000-0005-0000-0000-000029010000}"/>
    <cellStyle name="style1406114441425" xfId="296" xr:uid="{00000000-0005-0000-0000-00002A010000}"/>
    <cellStyle name="style1406114441444" xfId="297" xr:uid="{00000000-0005-0000-0000-00002B010000}"/>
    <cellStyle name="style1406114441462" xfId="298" xr:uid="{00000000-0005-0000-0000-00002C010000}"/>
    <cellStyle name="style1406114441479" xfId="299" xr:uid="{00000000-0005-0000-0000-00002D010000}"/>
    <cellStyle name="style1406114441496" xfId="300" xr:uid="{00000000-0005-0000-0000-00002E010000}"/>
    <cellStyle name="style1406114441514" xfId="301" xr:uid="{00000000-0005-0000-0000-00002F010000}"/>
    <cellStyle name="style1406114441532" xfId="302" xr:uid="{00000000-0005-0000-0000-000030010000}"/>
    <cellStyle name="style1406114441549" xfId="303" xr:uid="{00000000-0005-0000-0000-000031010000}"/>
    <cellStyle name="style1406114441566" xfId="304" xr:uid="{00000000-0005-0000-0000-000032010000}"/>
    <cellStyle name="style1406114441594" xfId="305" xr:uid="{00000000-0005-0000-0000-000033010000}"/>
    <cellStyle name="style1406114441626" xfId="306" xr:uid="{00000000-0005-0000-0000-000034010000}"/>
    <cellStyle name="style1406114442197" xfId="307" xr:uid="{00000000-0005-0000-0000-000035010000}"/>
    <cellStyle name="style1406114490232" xfId="308" xr:uid="{00000000-0005-0000-0000-000036010000}"/>
    <cellStyle name="style1406114490278" xfId="309" xr:uid="{00000000-0005-0000-0000-000037010000}"/>
    <cellStyle name="style1406114490860" xfId="310" xr:uid="{00000000-0005-0000-0000-000038010000}"/>
    <cellStyle name="style1406114491098" xfId="311" xr:uid="{00000000-0005-0000-0000-000039010000}"/>
    <cellStyle name="style1406114491204" xfId="312" xr:uid="{00000000-0005-0000-0000-00003A010000}"/>
    <cellStyle name="style1406114491528" xfId="313" xr:uid="{00000000-0005-0000-0000-00003B010000}"/>
    <cellStyle name="style1406114491549" xfId="314" xr:uid="{00000000-0005-0000-0000-00003C010000}"/>
    <cellStyle name="style1406114491606" xfId="315" xr:uid="{00000000-0005-0000-0000-00003D010000}"/>
    <cellStyle name="style1406114491677" xfId="316" xr:uid="{00000000-0005-0000-0000-00003E010000}"/>
    <cellStyle name="style1406182998088" xfId="317" xr:uid="{00000000-0005-0000-0000-00003F010000}"/>
    <cellStyle name="style1406182998186" xfId="318" xr:uid="{00000000-0005-0000-0000-000040010000}"/>
    <cellStyle name="style1406183036983" xfId="319" xr:uid="{00000000-0005-0000-0000-000041010000}"/>
    <cellStyle name="style1411446450504" xfId="320" xr:uid="{00000000-0005-0000-0000-000042010000}"/>
    <cellStyle name="style1411446450551" xfId="321" xr:uid="{00000000-0005-0000-0000-000043010000}"/>
    <cellStyle name="style1411446450598" xfId="322" xr:uid="{00000000-0005-0000-0000-000044010000}"/>
    <cellStyle name="style1411446450629" xfId="323" xr:uid="{00000000-0005-0000-0000-000045010000}"/>
    <cellStyle name="style1411446450660" xfId="324" xr:uid="{00000000-0005-0000-0000-000046010000}"/>
    <cellStyle name="style1411446450738" xfId="325" xr:uid="{00000000-0005-0000-0000-000047010000}"/>
    <cellStyle name="style1411446450769" xfId="326" xr:uid="{00000000-0005-0000-0000-000048010000}"/>
    <cellStyle name="style1411446450801" xfId="327" xr:uid="{00000000-0005-0000-0000-000049010000}"/>
    <cellStyle name="style1411446450847" xfId="328" xr:uid="{00000000-0005-0000-0000-00004A010000}"/>
    <cellStyle name="style1411446450879" xfId="329" xr:uid="{00000000-0005-0000-0000-00004B010000}"/>
    <cellStyle name="style1411446450910" xfId="330" xr:uid="{00000000-0005-0000-0000-00004C010000}"/>
    <cellStyle name="style1411446450957" xfId="331" xr:uid="{00000000-0005-0000-0000-00004D010000}"/>
    <cellStyle name="style1411446450988" xfId="332" xr:uid="{00000000-0005-0000-0000-00004E010000}"/>
    <cellStyle name="style1411446451019" xfId="333" xr:uid="{00000000-0005-0000-0000-00004F010000}"/>
    <cellStyle name="style1411446451050" xfId="334" xr:uid="{00000000-0005-0000-0000-000050010000}"/>
    <cellStyle name="style1411446451128" xfId="335" xr:uid="{00000000-0005-0000-0000-000051010000}"/>
    <cellStyle name="style1411446451159" xfId="336" xr:uid="{00000000-0005-0000-0000-000052010000}"/>
    <cellStyle name="style1411446451191" xfId="337" xr:uid="{00000000-0005-0000-0000-000053010000}"/>
    <cellStyle name="style1411446451206" xfId="338" xr:uid="{00000000-0005-0000-0000-000054010000}"/>
    <cellStyle name="style1411446451237" xfId="339" xr:uid="{00000000-0005-0000-0000-000055010000}"/>
    <cellStyle name="style1411446451269" xfId="340" xr:uid="{00000000-0005-0000-0000-000056010000}"/>
    <cellStyle name="style1411446451284" xfId="341" xr:uid="{00000000-0005-0000-0000-000057010000}"/>
    <cellStyle name="style1411446451315" xfId="342" xr:uid="{00000000-0005-0000-0000-000058010000}"/>
    <cellStyle name="style1411446451331" xfId="343" xr:uid="{00000000-0005-0000-0000-000059010000}"/>
    <cellStyle name="style1411446451362" xfId="344" xr:uid="{00000000-0005-0000-0000-00005A010000}"/>
    <cellStyle name="style1411446451378" xfId="345" xr:uid="{00000000-0005-0000-0000-00005B010000}"/>
    <cellStyle name="style1411446451409" xfId="346" xr:uid="{00000000-0005-0000-0000-00005C010000}"/>
    <cellStyle name="style1411446451471" xfId="347" xr:uid="{00000000-0005-0000-0000-00005D010000}"/>
    <cellStyle name="style1411446451518" xfId="348" xr:uid="{00000000-0005-0000-0000-00005E010000}"/>
    <cellStyle name="style1411446451549" xfId="349" xr:uid="{00000000-0005-0000-0000-00005F010000}"/>
    <cellStyle name="style1411446451581" xfId="350" xr:uid="{00000000-0005-0000-0000-000060010000}"/>
    <cellStyle name="style1411446451596" xfId="351" xr:uid="{00000000-0005-0000-0000-000061010000}"/>
    <cellStyle name="style1411446451627" xfId="352" xr:uid="{00000000-0005-0000-0000-000062010000}"/>
    <cellStyle name="style1411446451659" xfId="353" xr:uid="{00000000-0005-0000-0000-000063010000}"/>
    <cellStyle name="style1411446451690" xfId="354" xr:uid="{00000000-0005-0000-0000-000064010000}"/>
    <cellStyle name="style1411446451705" xfId="355" xr:uid="{00000000-0005-0000-0000-000065010000}"/>
    <cellStyle name="style1411446451721" xfId="356" xr:uid="{00000000-0005-0000-0000-000066010000}"/>
    <cellStyle name="style1411446451752" xfId="357" xr:uid="{00000000-0005-0000-0000-000067010000}"/>
    <cellStyle name="style1411446451815" xfId="358" xr:uid="{00000000-0005-0000-0000-000068010000}"/>
    <cellStyle name="style1411446451846" xfId="359" xr:uid="{00000000-0005-0000-0000-000069010000}"/>
    <cellStyle name="style1411446451877" xfId="360" xr:uid="{00000000-0005-0000-0000-00006A010000}"/>
    <cellStyle name="style1411446451893" xfId="361" xr:uid="{00000000-0005-0000-0000-00006B010000}"/>
    <cellStyle name="style1411446451924" xfId="362" xr:uid="{00000000-0005-0000-0000-00006C010000}"/>
    <cellStyle name="style1411446451955" xfId="363" xr:uid="{00000000-0005-0000-0000-00006D010000}"/>
    <cellStyle name="style1411446451971" xfId="364" xr:uid="{00000000-0005-0000-0000-00006E010000}"/>
    <cellStyle name="style1411446452002" xfId="365" xr:uid="{00000000-0005-0000-0000-00006F010000}"/>
    <cellStyle name="style1411446452033" xfId="366" xr:uid="{00000000-0005-0000-0000-000070010000}"/>
    <cellStyle name="style1411446452049" xfId="367" xr:uid="{00000000-0005-0000-0000-000071010000}"/>
    <cellStyle name="style1411446452111" xfId="368" xr:uid="{00000000-0005-0000-0000-000072010000}"/>
    <cellStyle name="style1411446452142" xfId="369" xr:uid="{00000000-0005-0000-0000-000073010000}"/>
    <cellStyle name="style1411446452158" xfId="370" xr:uid="{00000000-0005-0000-0000-000074010000}"/>
    <cellStyle name="style1411446452189" xfId="371" xr:uid="{00000000-0005-0000-0000-000075010000}"/>
    <cellStyle name="style1411446452220" xfId="372" xr:uid="{00000000-0005-0000-0000-000076010000}"/>
    <cellStyle name="style1411446452236" xfId="373" xr:uid="{00000000-0005-0000-0000-000077010000}"/>
    <cellStyle name="style1411446452267" xfId="374" xr:uid="{00000000-0005-0000-0000-000078010000}"/>
    <cellStyle name="style1411446452298" xfId="375" xr:uid="{00000000-0005-0000-0000-000079010000}"/>
    <cellStyle name="style1411446452314" xfId="376" xr:uid="{00000000-0005-0000-0000-00007A010000}"/>
    <cellStyle name="style1411446452329" xfId="377" xr:uid="{00000000-0005-0000-0000-00007B010000}"/>
    <cellStyle name="style1411446452361" xfId="378" xr:uid="{00000000-0005-0000-0000-00007C010000}"/>
    <cellStyle name="style1411446452407" xfId="379" xr:uid="{00000000-0005-0000-0000-00007D010000}"/>
    <cellStyle name="style1411446452439" xfId="380" xr:uid="{00000000-0005-0000-0000-00007E010000}"/>
    <cellStyle name="style1411446452454" xfId="381" xr:uid="{00000000-0005-0000-0000-00007F010000}"/>
    <cellStyle name="style1411446452485" xfId="382" xr:uid="{00000000-0005-0000-0000-000080010000}"/>
    <cellStyle name="style1411446452501" xfId="383" xr:uid="{00000000-0005-0000-0000-000081010000}"/>
    <cellStyle name="style1411446452532" xfId="384" xr:uid="{00000000-0005-0000-0000-000082010000}"/>
    <cellStyle name="style1411446452548" xfId="385" xr:uid="{00000000-0005-0000-0000-000083010000}"/>
    <cellStyle name="style1411446452563" xfId="386" xr:uid="{00000000-0005-0000-0000-000084010000}"/>
    <cellStyle name="style1411449801970" xfId="387" xr:uid="{00000000-0005-0000-0000-000085010000}"/>
    <cellStyle name="style1411449802014" xfId="388" xr:uid="{00000000-0005-0000-0000-000086010000}"/>
    <cellStyle name="style1411449802039" xfId="389" xr:uid="{00000000-0005-0000-0000-000087010000}"/>
    <cellStyle name="style1411449802064" xfId="390" xr:uid="{00000000-0005-0000-0000-000088010000}"/>
    <cellStyle name="style1411449802092" xfId="391" xr:uid="{00000000-0005-0000-0000-000089010000}"/>
    <cellStyle name="style1411449802118" xfId="392" xr:uid="{00000000-0005-0000-0000-00008A010000}"/>
    <cellStyle name="style1411449802516" xfId="393" xr:uid="{00000000-0005-0000-0000-00008B010000}"/>
    <cellStyle name="style1411449802578" xfId="394" xr:uid="{00000000-0005-0000-0000-00008C010000}"/>
    <cellStyle name="style1411449802602" xfId="395" xr:uid="{00000000-0005-0000-0000-00008D010000}"/>
    <cellStyle name="style1411449802628" xfId="396" xr:uid="{00000000-0005-0000-0000-00008E010000}"/>
    <cellStyle name="style1411449802695" xfId="397" xr:uid="{00000000-0005-0000-0000-00008F010000}"/>
    <cellStyle name="style1411449802719" xfId="398" xr:uid="{00000000-0005-0000-0000-000090010000}"/>
    <cellStyle name="style1411449802744" xfId="399" xr:uid="{00000000-0005-0000-0000-000091010000}"/>
    <cellStyle name="style1411449802916" xfId="400" xr:uid="{00000000-0005-0000-0000-000092010000}"/>
    <cellStyle name="style1411449802935" xfId="401" xr:uid="{00000000-0005-0000-0000-000093010000}"/>
    <cellStyle name="style1411449802987" xfId="402" xr:uid="{00000000-0005-0000-0000-000094010000}"/>
    <cellStyle name="style1411449803130" xfId="403" xr:uid="{00000000-0005-0000-0000-000095010000}"/>
    <cellStyle name="style1411449803296" xfId="404" xr:uid="{00000000-0005-0000-0000-000096010000}"/>
    <cellStyle name="style1411449803317" xfId="405" xr:uid="{00000000-0005-0000-0000-000097010000}"/>
    <cellStyle name="style1411449803337" xfId="406" xr:uid="{00000000-0005-0000-0000-000098010000}"/>
    <cellStyle name="style1411449803356" xfId="407" xr:uid="{00000000-0005-0000-0000-000099010000}"/>
    <cellStyle name="style1411449803379" xfId="408" xr:uid="{00000000-0005-0000-0000-00009A010000}"/>
    <cellStyle name="style1411449803400" xfId="409" xr:uid="{00000000-0005-0000-0000-00009B010000}"/>
    <cellStyle name="style1411449803420" xfId="410" xr:uid="{00000000-0005-0000-0000-00009C010000}"/>
    <cellStyle name="style1411449803440" xfId="411" xr:uid="{00000000-0005-0000-0000-00009D010000}"/>
    <cellStyle name="style1411449803461" xfId="412" xr:uid="{00000000-0005-0000-0000-00009E010000}"/>
    <cellStyle name="style1411449803483" xfId="413" xr:uid="{00000000-0005-0000-0000-00009F010000}"/>
    <cellStyle name="style1411449803510" xfId="414" xr:uid="{00000000-0005-0000-0000-0000A0010000}"/>
    <cellStyle name="style1411449803534" xfId="415" xr:uid="{00000000-0005-0000-0000-0000A1010000}"/>
    <cellStyle name="style1411449803554" xfId="416" xr:uid="{00000000-0005-0000-0000-0000A2010000}"/>
    <cellStyle name="style1411449803577" xfId="417" xr:uid="{00000000-0005-0000-0000-0000A3010000}"/>
    <cellStyle name="style1411451081406" xfId="418" xr:uid="{00000000-0005-0000-0000-0000A4010000}"/>
    <cellStyle name="style1411451081449" xfId="419" xr:uid="{00000000-0005-0000-0000-0000A5010000}"/>
    <cellStyle name="style1411451081472" xfId="420" xr:uid="{00000000-0005-0000-0000-0000A6010000}"/>
    <cellStyle name="style1411451081497" xfId="421" xr:uid="{00000000-0005-0000-0000-0000A7010000}"/>
    <cellStyle name="style1411451081522" xfId="422" xr:uid="{00000000-0005-0000-0000-0000A8010000}"/>
    <cellStyle name="style1411451081547" xfId="423" xr:uid="{00000000-0005-0000-0000-0000A9010000}"/>
    <cellStyle name="style1411451081953" xfId="424" xr:uid="{00000000-0005-0000-0000-0000AA010000}"/>
    <cellStyle name="style1411451082017" xfId="425" xr:uid="{00000000-0005-0000-0000-0000AB010000}"/>
    <cellStyle name="style1411451082043" xfId="426" xr:uid="{00000000-0005-0000-0000-0000AC010000}"/>
    <cellStyle name="style1411451082068" xfId="427" xr:uid="{00000000-0005-0000-0000-0000AD010000}"/>
    <cellStyle name="style1411451082091" xfId="428" xr:uid="{00000000-0005-0000-0000-0000AE010000}"/>
    <cellStyle name="style1411451082115" xfId="429" xr:uid="{00000000-0005-0000-0000-0000AF010000}"/>
    <cellStyle name="style1411451082188" xfId="430" xr:uid="{00000000-0005-0000-0000-0000B0010000}"/>
    <cellStyle name="style1411451082364" xfId="431" xr:uid="{00000000-0005-0000-0000-0000B1010000}"/>
    <cellStyle name="style1411451082383" xfId="432" xr:uid="{00000000-0005-0000-0000-0000B2010000}"/>
    <cellStyle name="style1411451082433" xfId="433" xr:uid="{00000000-0005-0000-0000-0000B3010000}"/>
    <cellStyle name="style1411451082533" xfId="434" xr:uid="{00000000-0005-0000-0000-0000B4010000}"/>
    <cellStyle name="style1411451082735" xfId="435" xr:uid="{00000000-0005-0000-0000-0000B5010000}"/>
    <cellStyle name="style1411451082754" xfId="436" xr:uid="{00000000-0005-0000-0000-0000B6010000}"/>
    <cellStyle name="style1411451082774" xfId="437" xr:uid="{00000000-0005-0000-0000-0000B7010000}"/>
    <cellStyle name="style1411451082793" xfId="438" xr:uid="{00000000-0005-0000-0000-0000B8010000}"/>
    <cellStyle name="style1411451082814" xfId="439" xr:uid="{00000000-0005-0000-0000-0000B9010000}"/>
    <cellStyle name="style1411451082834" xfId="440" xr:uid="{00000000-0005-0000-0000-0000BA010000}"/>
    <cellStyle name="style1411451082853" xfId="441" xr:uid="{00000000-0005-0000-0000-0000BB010000}"/>
    <cellStyle name="style1411451082873" xfId="442" xr:uid="{00000000-0005-0000-0000-0000BC010000}"/>
    <cellStyle name="style1411451082893" xfId="443" xr:uid="{00000000-0005-0000-0000-0000BD010000}"/>
    <cellStyle name="style1411451082912" xfId="444" xr:uid="{00000000-0005-0000-0000-0000BE010000}"/>
    <cellStyle name="style1411451082933" xfId="445" xr:uid="{00000000-0005-0000-0000-0000BF010000}"/>
    <cellStyle name="style1411451082954" xfId="446" xr:uid="{00000000-0005-0000-0000-0000C0010000}"/>
    <cellStyle name="style1411451082974" xfId="447" xr:uid="{00000000-0005-0000-0000-0000C1010000}"/>
    <cellStyle name="style1411451082993" xfId="448" xr:uid="{00000000-0005-0000-0000-0000C2010000}"/>
    <cellStyle name="style1411451083012" xfId="449" xr:uid="{00000000-0005-0000-0000-0000C3010000}"/>
    <cellStyle name="style1411542382001" xfId="450" xr:uid="{00000000-0005-0000-0000-0000C4010000}"/>
    <cellStyle name="style1411542382059" xfId="451" xr:uid="{00000000-0005-0000-0000-0000C5010000}"/>
    <cellStyle name="style1411542382094" xfId="452" xr:uid="{00000000-0005-0000-0000-0000C6010000}"/>
    <cellStyle name="style1411542382123" xfId="453" xr:uid="{00000000-0005-0000-0000-0000C7010000}"/>
    <cellStyle name="style1411542382156" xfId="454" xr:uid="{00000000-0005-0000-0000-0000C8010000}"/>
    <cellStyle name="style1411542382190" xfId="455" xr:uid="{00000000-0005-0000-0000-0000C9010000}"/>
    <cellStyle name="style1411542382225" xfId="456" xr:uid="{00000000-0005-0000-0000-0000CA010000}"/>
    <cellStyle name="style1411542382311" xfId="457" xr:uid="{00000000-0005-0000-0000-0000CB010000}"/>
    <cellStyle name="style1411542382346" xfId="458" xr:uid="{00000000-0005-0000-0000-0000CC010000}"/>
    <cellStyle name="style1411542382378" xfId="459" xr:uid="{00000000-0005-0000-0000-0000CD010000}"/>
    <cellStyle name="style1411542382409" xfId="460" xr:uid="{00000000-0005-0000-0000-0000CE010000}"/>
    <cellStyle name="style1411542382440" xfId="461" xr:uid="{00000000-0005-0000-0000-0000CF010000}"/>
    <cellStyle name="style1411542382466" xfId="462" xr:uid="{00000000-0005-0000-0000-0000D0010000}"/>
    <cellStyle name="style1411542382491" xfId="463" xr:uid="{00000000-0005-0000-0000-0000D1010000}"/>
    <cellStyle name="style1411542382523" xfId="464" xr:uid="{00000000-0005-0000-0000-0000D2010000}"/>
    <cellStyle name="style1411542382556" xfId="465" xr:uid="{00000000-0005-0000-0000-0000D3010000}"/>
    <cellStyle name="style1411542382585" xfId="466" xr:uid="{00000000-0005-0000-0000-0000D4010000}"/>
    <cellStyle name="style1411542382613" xfId="467" xr:uid="{00000000-0005-0000-0000-0000D5010000}"/>
    <cellStyle name="style1411542382701" xfId="468" xr:uid="{00000000-0005-0000-0000-0000D6010000}"/>
    <cellStyle name="style1411542382751" xfId="469" xr:uid="{00000000-0005-0000-0000-0000D7010000}"/>
    <cellStyle name="style1411542382774" xfId="470" xr:uid="{00000000-0005-0000-0000-0000D8010000}"/>
    <cellStyle name="style1411542382797" xfId="471" xr:uid="{00000000-0005-0000-0000-0000D9010000}"/>
    <cellStyle name="style1411542382821" xfId="472" xr:uid="{00000000-0005-0000-0000-0000DA010000}"/>
    <cellStyle name="style1411542382844" xfId="473" xr:uid="{00000000-0005-0000-0000-0000DB010000}"/>
    <cellStyle name="style1411542382872" xfId="474" xr:uid="{00000000-0005-0000-0000-0000DC010000}"/>
    <cellStyle name="style1411542382898" xfId="475" xr:uid="{00000000-0005-0000-0000-0000DD010000}"/>
    <cellStyle name="style1411542382921" xfId="476" xr:uid="{00000000-0005-0000-0000-0000DE010000}"/>
    <cellStyle name="style1411542382949" xfId="477" xr:uid="{00000000-0005-0000-0000-0000DF010000}"/>
    <cellStyle name="style1411542382977" xfId="478" xr:uid="{00000000-0005-0000-0000-0000E0010000}"/>
    <cellStyle name="style1411542383005" xfId="479" xr:uid="{00000000-0005-0000-0000-0000E1010000}"/>
    <cellStyle name="style1411542383036" xfId="480" xr:uid="{00000000-0005-0000-0000-0000E2010000}"/>
    <cellStyle name="style1411542383066" xfId="481" xr:uid="{00000000-0005-0000-0000-0000E3010000}"/>
    <cellStyle name="style1411542383094" xfId="482" xr:uid="{00000000-0005-0000-0000-0000E4010000}"/>
    <cellStyle name="style1411542383116" xfId="483" xr:uid="{00000000-0005-0000-0000-0000E5010000}"/>
    <cellStyle name="style1411542383137" xfId="484" xr:uid="{00000000-0005-0000-0000-0000E6010000}"/>
    <cellStyle name="style1411542383160" xfId="485" xr:uid="{00000000-0005-0000-0000-0000E7010000}"/>
    <cellStyle name="style1411542383184" xfId="486" xr:uid="{00000000-0005-0000-0000-0000E8010000}"/>
    <cellStyle name="style1411542383249" xfId="487" xr:uid="{00000000-0005-0000-0000-0000E9010000}"/>
    <cellStyle name="style1411542383276" xfId="488" xr:uid="{00000000-0005-0000-0000-0000EA010000}"/>
    <cellStyle name="style1411542383303" xfId="489" xr:uid="{00000000-0005-0000-0000-0000EB010000}"/>
    <cellStyle name="style1411542383332" xfId="490" xr:uid="{00000000-0005-0000-0000-0000EC010000}"/>
    <cellStyle name="style1411542383355" xfId="491" xr:uid="{00000000-0005-0000-0000-0000ED010000}"/>
    <cellStyle name="style1411542383382" xfId="492" xr:uid="{00000000-0005-0000-0000-0000EE010000}"/>
    <cellStyle name="style1411542383409" xfId="493" xr:uid="{00000000-0005-0000-0000-0000EF010000}"/>
    <cellStyle name="style1411542383430" xfId="494" xr:uid="{00000000-0005-0000-0000-0000F0010000}"/>
    <cellStyle name="style1411542383457" xfId="495" xr:uid="{00000000-0005-0000-0000-0000F1010000}"/>
    <cellStyle name="style1411542383483" xfId="496" xr:uid="{00000000-0005-0000-0000-0000F2010000}"/>
    <cellStyle name="style1411542383510" xfId="497" xr:uid="{00000000-0005-0000-0000-0000F3010000}"/>
    <cellStyle name="style1411542383530" xfId="498" xr:uid="{00000000-0005-0000-0000-0000F4010000}"/>
    <cellStyle name="style1411542383552" xfId="499" xr:uid="{00000000-0005-0000-0000-0000F5010000}"/>
    <cellStyle name="style1411542383579" xfId="500" xr:uid="{00000000-0005-0000-0000-0000F6010000}"/>
    <cellStyle name="style1411542383606" xfId="501" xr:uid="{00000000-0005-0000-0000-0000F7010000}"/>
    <cellStyle name="style1411542383632" xfId="502" xr:uid="{00000000-0005-0000-0000-0000F8010000}"/>
    <cellStyle name="style1411542383654" xfId="503" xr:uid="{00000000-0005-0000-0000-0000F9010000}"/>
    <cellStyle name="style1411542383684" xfId="504" xr:uid="{00000000-0005-0000-0000-0000FA010000}"/>
    <cellStyle name="style1411542383710" xfId="505" xr:uid="{00000000-0005-0000-0000-0000FB010000}"/>
    <cellStyle name="style1411542383732" xfId="506" xr:uid="{00000000-0005-0000-0000-0000FC010000}"/>
    <cellStyle name="style1411542383756" xfId="507" xr:uid="{00000000-0005-0000-0000-0000FD010000}"/>
    <cellStyle name="style1411542383790" xfId="508" xr:uid="{00000000-0005-0000-0000-0000FE010000}"/>
    <cellStyle name="style1411542383813" xfId="509" xr:uid="{00000000-0005-0000-0000-0000FF010000}"/>
    <cellStyle name="style1411542383835" xfId="510" xr:uid="{00000000-0005-0000-0000-000000020000}"/>
    <cellStyle name="style1411542383858" xfId="511" xr:uid="{00000000-0005-0000-0000-000001020000}"/>
    <cellStyle name="style1411542383881" xfId="512" xr:uid="{00000000-0005-0000-0000-000002020000}"/>
    <cellStyle name="style1411542383904" xfId="513" xr:uid="{00000000-0005-0000-0000-000003020000}"/>
    <cellStyle name="style1411542383967" xfId="514" xr:uid="{00000000-0005-0000-0000-000004020000}"/>
    <cellStyle name="style1411542383989" xfId="515" xr:uid="{00000000-0005-0000-0000-000005020000}"/>
    <cellStyle name="style1411542384009" xfId="516" xr:uid="{00000000-0005-0000-0000-000006020000}"/>
    <cellStyle name="style1411542384030" xfId="517" xr:uid="{00000000-0005-0000-0000-000007020000}"/>
    <cellStyle name="style1411542384052" xfId="518" xr:uid="{00000000-0005-0000-0000-000008020000}"/>
    <cellStyle name="style1411542384115" xfId="519" xr:uid="{00000000-0005-0000-0000-000009020000}"/>
    <cellStyle name="style1411542384148" xfId="520" xr:uid="{00000000-0005-0000-0000-00000A020000}"/>
    <cellStyle name="style1411542384169" xfId="521" xr:uid="{00000000-0005-0000-0000-00000B020000}"/>
    <cellStyle name="style1411542384188" xfId="522" xr:uid="{00000000-0005-0000-0000-00000C020000}"/>
    <cellStyle name="style1411542384208" xfId="523" xr:uid="{00000000-0005-0000-0000-00000D020000}"/>
    <cellStyle name="style1411542384227" xfId="524" xr:uid="{00000000-0005-0000-0000-00000E020000}"/>
    <cellStyle name="style1411542384246" xfId="525" xr:uid="{00000000-0005-0000-0000-00000F020000}"/>
    <cellStyle name="style1411542384273" xfId="526" xr:uid="{00000000-0005-0000-0000-000010020000}"/>
    <cellStyle name="style1411542384293" xfId="527" xr:uid="{00000000-0005-0000-0000-000011020000}"/>
  </cellStyles>
  <dxfs count="0"/>
  <tableStyles count="0" defaultTableStyle="TableStyleMedium2" defaultPivotStyle="PivotStyleMedium9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ndhra%20Pradesh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SVA_cur"/>
      <sheetName val="GSVA_const"/>
      <sheetName val="NSVA_cur"/>
      <sheetName val="NSVA_const"/>
    </sheetNames>
    <sheetDataSet>
      <sheetData sheetId="0">
        <row r="3">
          <cell r="I3" t="str">
            <v>01.08.2025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K39"/>
  <sheetViews>
    <sheetView tabSelected="1" zoomScale="96" zoomScaleNormal="96" zoomScaleSheetLayoutView="100" workbookViewId="0">
      <pane xSplit="2" ySplit="5" topLeftCell="C16" activePane="bottomRight" state="frozen"/>
      <selection activeCell="Q41" sqref="Q41"/>
      <selection pane="topRight" activeCell="Q41" sqref="Q41"/>
      <selection pane="bottomLeft" activeCell="Q41" sqref="Q41"/>
      <selection pane="bottomRight" activeCell="Q25" sqref="Q25"/>
    </sheetView>
  </sheetViews>
  <sheetFormatPr defaultColWidth="8.85546875" defaultRowHeight="15" x14ac:dyDescent="0.25"/>
  <cols>
    <col min="1" max="1" width="11" style="2" customWidth="1"/>
    <col min="2" max="2" width="33" style="2" customWidth="1"/>
    <col min="3" max="6" width="10.7109375" style="2" customWidth="1"/>
    <col min="7" max="16" width="11.85546875" style="6" customWidth="1"/>
    <col min="17" max="18" width="9.140625" style="2" customWidth="1"/>
    <col min="19" max="19" width="11.85546875" style="2" customWidth="1"/>
    <col min="20" max="20" width="11.28515625" style="2" customWidth="1"/>
    <col min="21" max="21" width="11.7109375" style="6" customWidth="1"/>
    <col min="22" max="22" width="9.140625" style="2" customWidth="1"/>
    <col min="23" max="23" width="10.85546875" style="2" customWidth="1"/>
    <col min="24" max="24" width="10.85546875" style="6" customWidth="1"/>
    <col min="25" max="25" width="11" style="2" customWidth="1"/>
    <col min="26" max="28" width="11.42578125" style="2" customWidth="1"/>
    <col min="29" max="56" width="9.140625" style="2" customWidth="1"/>
    <col min="57" max="57" width="12.42578125" style="2" customWidth="1"/>
    <col min="58" max="79" width="9.140625" style="2" customWidth="1"/>
    <col min="80" max="80" width="12.140625" style="2" customWidth="1"/>
    <col min="81" max="84" width="9.140625" style="2" customWidth="1"/>
    <col min="85" max="89" width="9.140625" style="2" hidden="1" customWidth="1"/>
    <col min="90" max="90" width="9.140625" style="2" customWidth="1"/>
    <col min="91" max="95" width="9.140625" style="2" hidden="1" customWidth="1"/>
    <col min="96" max="96" width="9.140625" style="2" customWidth="1"/>
    <col min="97" max="101" width="9.140625" style="2" hidden="1" customWidth="1"/>
    <col min="102" max="102" width="9.140625" style="2" customWidth="1"/>
    <col min="103" max="107" width="9.140625" style="2" hidden="1" customWidth="1"/>
    <col min="108" max="108" width="9.140625" style="2" customWidth="1"/>
    <col min="109" max="113" width="9.140625" style="2" hidden="1" customWidth="1"/>
    <col min="114" max="114" width="9.140625" style="6" customWidth="1"/>
    <col min="115" max="119" width="9.140625" style="6" hidden="1" customWidth="1"/>
    <col min="120" max="120" width="9.140625" style="6" customWidth="1"/>
    <col min="121" max="125" width="9.140625" style="6" hidden="1" customWidth="1"/>
    <col min="126" max="126" width="9.140625" style="6" customWidth="1"/>
    <col min="127" max="131" width="9.140625" style="6" hidden="1" customWidth="1"/>
    <col min="132" max="132" width="9.140625" style="6" customWidth="1"/>
    <col min="133" max="162" width="9.140625" style="2" customWidth="1"/>
    <col min="163" max="163" width="9.140625" style="2" hidden="1" customWidth="1"/>
    <col min="164" max="171" width="9.140625" style="2" customWidth="1"/>
    <col min="172" max="172" width="9.140625" style="2" hidden="1" customWidth="1"/>
    <col min="173" max="177" width="9.140625" style="2" customWidth="1"/>
    <col min="178" max="178" width="9.140625" style="2" hidden="1" customWidth="1"/>
    <col min="179" max="188" width="9.140625" style="2" customWidth="1"/>
    <col min="189" max="192" width="8.85546875" style="2"/>
    <col min="193" max="193" width="12.7109375" style="2" bestFit="1" customWidth="1"/>
    <col min="194" max="16384" width="8.85546875" style="2"/>
  </cols>
  <sheetData>
    <row r="1" spans="1:193" ht="18.75" x14ac:dyDescent="0.3">
      <c r="A1" s="2" t="s">
        <v>53</v>
      </c>
      <c r="B1" s="21" t="s">
        <v>66</v>
      </c>
      <c r="W1" s="7"/>
    </row>
    <row r="2" spans="1:193" ht="15.75" x14ac:dyDescent="0.25">
      <c r="A2" s="11" t="s">
        <v>48</v>
      </c>
      <c r="I2" s="6" t="str">
        <f>[1]GSVA_cur!$I$3</f>
        <v>01.08.2025</v>
      </c>
    </row>
    <row r="3" spans="1:193" ht="15.75" x14ac:dyDescent="0.25">
      <c r="A3" s="11"/>
      <c r="B3" s="29"/>
    </row>
    <row r="4" spans="1:193" ht="15.75" x14ac:dyDescent="0.25">
      <c r="A4" s="11"/>
      <c r="E4" s="10"/>
      <c r="F4" s="10" t="s">
        <v>57</v>
      </c>
    </row>
    <row r="5" spans="1:193" ht="15.75" x14ac:dyDescent="0.25">
      <c r="A5" s="12" t="s">
        <v>0</v>
      </c>
      <c r="B5" s="13" t="s">
        <v>1</v>
      </c>
      <c r="C5" s="3" t="s">
        <v>21</v>
      </c>
      <c r="D5" s="3" t="s">
        <v>22</v>
      </c>
      <c r="E5" s="3" t="s">
        <v>23</v>
      </c>
      <c r="F5" s="3" t="s">
        <v>56</v>
      </c>
      <c r="G5" s="20" t="s">
        <v>65</v>
      </c>
      <c r="H5" s="20" t="s">
        <v>67</v>
      </c>
      <c r="I5" s="20" t="s">
        <v>68</v>
      </c>
      <c r="J5" s="20" t="s">
        <v>69</v>
      </c>
      <c r="K5" s="20" t="s">
        <v>70</v>
      </c>
      <c r="L5" s="20" t="s">
        <v>71</v>
      </c>
      <c r="M5" s="28" t="s">
        <v>72</v>
      </c>
      <c r="N5" s="28" t="s">
        <v>73</v>
      </c>
      <c r="O5" s="28" t="s">
        <v>74</v>
      </c>
      <c r="P5" s="28" t="s">
        <v>76</v>
      </c>
    </row>
    <row r="6" spans="1:193" s="34" customFormat="1" ht="15.75" x14ac:dyDescent="0.25">
      <c r="A6" s="30" t="s">
        <v>26</v>
      </c>
      <c r="B6" s="31" t="s">
        <v>2</v>
      </c>
      <c r="C6" s="32">
        <f>SUM(C7:C10)</f>
        <v>75378</v>
      </c>
      <c r="D6" s="32">
        <f t="shared" ref="D6:O6" si="0">SUM(D7:D10)</f>
        <v>90421</v>
      </c>
      <c r="E6" s="32">
        <f t="shared" si="0"/>
        <v>97627</v>
      </c>
      <c r="F6" s="32">
        <f t="shared" si="0"/>
        <v>114680.3207</v>
      </c>
      <c r="G6" s="32">
        <f t="shared" si="0"/>
        <v>120037.8711</v>
      </c>
      <c r="H6" s="32">
        <f t="shared" si="0"/>
        <v>128811.52230000001</v>
      </c>
      <c r="I6" s="32">
        <f t="shared" si="0"/>
        <v>132105.02429999999</v>
      </c>
      <c r="J6" s="32">
        <f t="shared" si="0"/>
        <v>146330.00884594108</v>
      </c>
      <c r="K6" s="32">
        <f t="shared" si="0"/>
        <v>158075.45139274563</v>
      </c>
      <c r="L6" s="32">
        <f t="shared" si="0"/>
        <v>153723.1094071072</v>
      </c>
      <c r="M6" s="32">
        <f t="shared" si="0"/>
        <v>161529.69600484008</v>
      </c>
      <c r="N6" s="32">
        <f t="shared" ref="N6" si="1">SUM(N7:N10)</f>
        <v>153846.66285845102</v>
      </c>
      <c r="O6" s="32">
        <f t="shared" si="0"/>
        <v>185776.17214005184</v>
      </c>
      <c r="P6" s="32">
        <f t="shared" ref="P6" si="2">SUM(P7:P10)</f>
        <v>230281.12527577172</v>
      </c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K6" s="29"/>
    </row>
    <row r="7" spans="1:193" ht="15.75" x14ac:dyDescent="0.25">
      <c r="A7" s="16">
        <v>1.1000000000000001</v>
      </c>
      <c r="B7" s="17" t="s">
        <v>59</v>
      </c>
      <c r="C7" s="4">
        <v>20453</v>
      </c>
      <c r="D7" s="4">
        <v>30492</v>
      </c>
      <c r="E7" s="4">
        <v>32407</v>
      </c>
      <c r="F7" s="4">
        <v>40210.178800000002</v>
      </c>
      <c r="G7" s="4">
        <v>37944.764999999999</v>
      </c>
      <c r="H7" s="4">
        <v>39340.892999999996</v>
      </c>
      <c r="I7" s="4">
        <v>43047.285300000003</v>
      </c>
      <c r="J7" s="4">
        <v>49079.066400000003</v>
      </c>
      <c r="K7" s="4">
        <v>55577.447393059992</v>
      </c>
      <c r="L7" s="4">
        <v>48946.825095621178</v>
      </c>
      <c r="M7" s="4">
        <v>49984.988111903702</v>
      </c>
      <c r="N7" s="4">
        <v>39423.947399999997</v>
      </c>
      <c r="O7" s="4">
        <v>52209.509241551044</v>
      </c>
      <c r="P7" s="4">
        <v>69213.351990376861</v>
      </c>
      <c r="Q7" s="8"/>
      <c r="R7" s="8"/>
      <c r="S7" s="8"/>
      <c r="T7" s="8"/>
      <c r="U7" s="7"/>
      <c r="V7" s="8"/>
      <c r="W7" s="8"/>
      <c r="X7" s="7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6"/>
      <c r="GI7" s="6"/>
      <c r="GJ7" s="6"/>
    </row>
    <row r="8" spans="1:193" ht="15.75" x14ac:dyDescent="0.25">
      <c r="A8" s="16">
        <v>1.2</v>
      </c>
      <c r="B8" s="17" t="s">
        <v>60</v>
      </c>
      <c r="C8" s="4">
        <v>32214</v>
      </c>
      <c r="D8" s="4">
        <v>36707</v>
      </c>
      <c r="E8" s="4">
        <v>39975</v>
      </c>
      <c r="F8" s="4">
        <v>45630.750899999999</v>
      </c>
      <c r="G8" s="4">
        <v>48411.688499999997</v>
      </c>
      <c r="H8" s="4">
        <v>51499.237500000003</v>
      </c>
      <c r="I8" s="4">
        <v>54144.0726</v>
      </c>
      <c r="J8" s="4">
        <v>55677.267</v>
      </c>
      <c r="K8" s="4">
        <v>55967.994156405111</v>
      </c>
      <c r="L8" s="4">
        <v>63857.733118720324</v>
      </c>
      <c r="M8" s="4">
        <v>68696.467998649983</v>
      </c>
      <c r="N8" s="4">
        <v>73821.105036773821</v>
      </c>
      <c r="O8" s="4">
        <v>76150.580257922513</v>
      </c>
      <c r="P8" s="4">
        <v>78546.221876450945</v>
      </c>
      <c r="Q8" s="8"/>
      <c r="R8" s="8"/>
      <c r="S8" s="8"/>
      <c r="T8" s="8"/>
      <c r="U8" s="7"/>
      <c r="V8" s="8"/>
      <c r="W8" s="8"/>
      <c r="X8" s="7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6"/>
      <c r="GI8" s="6"/>
      <c r="GJ8" s="6"/>
    </row>
    <row r="9" spans="1:193" ht="15.75" x14ac:dyDescent="0.25">
      <c r="A9" s="16">
        <v>1.3</v>
      </c>
      <c r="B9" s="17" t="s">
        <v>61</v>
      </c>
      <c r="C9" s="4">
        <v>3319</v>
      </c>
      <c r="D9" s="4">
        <v>3388.0000000000005</v>
      </c>
      <c r="E9" s="4">
        <v>3331</v>
      </c>
      <c r="F9" s="4">
        <v>4174.8576999999996</v>
      </c>
      <c r="G9" s="4">
        <v>4245.1967999999997</v>
      </c>
      <c r="H9" s="4">
        <v>8330.3212000000003</v>
      </c>
      <c r="I9" s="4">
        <v>6136.5443999999998</v>
      </c>
      <c r="J9" s="4">
        <v>6774.9226443105417</v>
      </c>
      <c r="K9" s="4">
        <v>6854.7671707927375</v>
      </c>
      <c r="L9" s="4">
        <v>6846.1494154931079</v>
      </c>
      <c r="M9" s="4">
        <v>7051.052245376356</v>
      </c>
      <c r="N9" s="4">
        <v>7831.3319542685567</v>
      </c>
      <c r="O9" s="4">
        <v>8176.3067029651029</v>
      </c>
      <c r="P9" s="4">
        <v>8535.9258091355423</v>
      </c>
      <c r="Q9" s="8"/>
      <c r="R9" s="8"/>
      <c r="S9" s="8"/>
      <c r="T9" s="8"/>
      <c r="U9" s="7"/>
      <c r="V9" s="8"/>
      <c r="W9" s="8"/>
      <c r="X9" s="7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6"/>
      <c r="GI9" s="6"/>
      <c r="GJ9" s="6"/>
    </row>
    <row r="10" spans="1:193" ht="15.75" x14ac:dyDescent="0.25">
      <c r="A10" s="16">
        <v>1.4</v>
      </c>
      <c r="B10" s="17" t="s">
        <v>62</v>
      </c>
      <c r="C10" s="4">
        <v>19392</v>
      </c>
      <c r="D10" s="4">
        <v>19834</v>
      </c>
      <c r="E10" s="4">
        <v>21914</v>
      </c>
      <c r="F10" s="4">
        <v>24664.533299999999</v>
      </c>
      <c r="G10" s="4">
        <v>29436.220799999999</v>
      </c>
      <c r="H10" s="4">
        <v>29641.070599999999</v>
      </c>
      <c r="I10" s="4">
        <v>28777.121999999999</v>
      </c>
      <c r="J10" s="4">
        <v>34798.75280163053</v>
      </c>
      <c r="K10" s="4">
        <v>39675.242672487795</v>
      </c>
      <c r="L10" s="4">
        <v>34072.4017772726</v>
      </c>
      <c r="M10" s="4">
        <v>35797.187648910032</v>
      </c>
      <c r="N10" s="4">
        <v>32770.278467408643</v>
      </c>
      <c r="O10" s="4">
        <v>49239.775937613194</v>
      </c>
      <c r="P10" s="4">
        <v>73985.625599808351</v>
      </c>
      <c r="Q10" s="8"/>
      <c r="R10" s="8"/>
      <c r="S10" s="8"/>
      <c r="T10" s="8"/>
      <c r="U10" s="7"/>
      <c r="V10" s="8"/>
      <c r="W10" s="8"/>
      <c r="X10" s="7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6"/>
      <c r="GI10" s="6"/>
      <c r="GJ10" s="6"/>
    </row>
    <row r="11" spans="1:193" ht="15.75" x14ac:dyDescent="0.25">
      <c r="A11" s="18" t="s">
        <v>31</v>
      </c>
      <c r="B11" s="17" t="s">
        <v>3</v>
      </c>
      <c r="C11" s="4">
        <v>25362</v>
      </c>
      <c r="D11" s="4">
        <v>36566</v>
      </c>
      <c r="E11" s="4">
        <v>43924</v>
      </c>
      <c r="F11" s="4">
        <v>33312.659399999997</v>
      </c>
      <c r="G11" s="4">
        <v>38307.724000000002</v>
      </c>
      <c r="H11" s="4">
        <v>52437.457799999996</v>
      </c>
      <c r="I11" s="4">
        <v>67493.418900000004</v>
      </c>
      <c r="J11" s="4">
        <v>55014.368999999999</v>
      </c>
      <c r="K11" s="4">
        <v>53912.985798231013</v>
      </c>
      <c r="L11" s="4">
        <v>47775.961035034517</v>
      </c>
      <c r="M11" s="4">
        <v>51194.531184269472</v>
      </c>
      <c r="N11" s="4">
        <v>46713.437962185177</v>
      </c>
      <c r="O11" s="4">
        <v>41891.768500597544</v>
      </c>
      <c r="P11" s="4">
        <v>37534.164857123564</v>
      </c>
      <c r="Q11" s="8"/>
      <c r="R11" s="8"/>
      <c r="S11" s="8"/>
      <c r="T11" s="8"/>
      <c r="U11" s="7"/>
      <c r="V11" s="8"/>
      <c r="W11" s="8"/>
      <c r="X11" s="7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6"/>
      <c r="GI11" s="6"/>
      <c r="GJ11" s="6"/>
    </row>
    <row r="12" spans="1:193" s="29" customFormat="1" ht="15.75" x14ac:dyDescent="0.25">
      <c r="A12" s="35"/>
      <c r="B12" s="36" t="s">
        <v>28</v>
      </c>
      <c r="C12" s="37">
        <f>C6+C11</f>
        <v>100740</v>
      </c>
      <c r="D12" s="37">
        <f t="shared" ref="D12:P12" si="3">D6+D11</f>
        <v>126987</v>
      </c>
      <c r="E12" s="37">
        <f t="shared" si="3"/>
        <v>141551</v>
      </c>
      <c r="F12" s="37">
        <f t="shared" si="3"/>
        <v>147992.98009999999</v>
      </c>
      <c r="G12" s="37">
        <f t="shared" si="3"/>
        <v>158345.59510000001</v>
      </c>
      <c r="H12" s="37">
        <f t="shared" si="3"/>
        <v>181248.98010000002</v>
      </c>
      <c r="I12" s="37">
        <f t="shared" si="3"/>
        <v>199598.44319999998</v>
      </c>
      <c r="J12" s="37">
        <f t="shared" si="3"/>
        <v>201344.37784594108</v>
      </c>
      <c r="K12" s="37">
        <f t="shared" si="3"/>
        <v>211988.43719097663</v>
      </c>
      <c r="L12" s="37">
        <f t="shared" si="3"/>
        <v>201499.07044214173</v>
      </c>
      <c r="M12" s="37">
        <f t="shared" si="3"/>
        <v>212724.22718910954</v>
      </c>
      <c r="N12" s="37">
        <f t="shared" ref="N12" si="4">N6+N11</f>
        <v>200560.1008206362</v>
      </c>
      <c r="O12" s="37">
        <f t="shared" si="3"/>
        <v>227667.94064064938</v>
      </c>
      <c r="P12" s="37">
        <f t="shared" si="3"/>
        <v>267815.29013289529</v>
      </c>
      <c r="Q12" s="8"/>
      <c r="R12" s="8"/>
      <c r="S12" s="8"/>
      <c r="T12" s="8"/>
      <c r="U12" s="7"/>
      <c r="V12" s="8"/>
      <c r="W12" s="8"/>
      <c r="X12" s="7"/>
      <c r="Y12" s="8"/>
      <c r="Z12" s="8"/>
      <c r="AA12" s="8"/>
      <c r="AB12" s="8"/>
      <c r="AC12" s="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  <c r="EY12" s="38"/>
      <c r="EZ12" s="38"/>
      <c r="FA12" s="38"/>
      <c r="FB12" s="38"/>
      <c r="FC12" s="38"/>
      <c r="FD12" s="38"/>
      <c r="FE12" s="38"/>
      <c r="FF12" s="38"/>
      <c r="FG12" s="38"/>
      <c r="FH12" s="38"/>
      <c r="FI12" s="38"/>
      <c r="FJ12" s="38"/>
      <c r="FK12" s="38"/>
      <c r="FL12" s="38"/>
      <c r="FM12" s="38"/>
      <c r="FN12" s="38"/>
      <c r="FO12" s="38"/>
      <c r="FP12" s="38"/>
      <c r="FQ12" s="38"/>
      <c r="FR12" s="38"/>
      <c r="FS12" s="38"/>
      <c r="FT12" s="38"/>
      <c r="FU12" s="38"/>
      <c r="FV12" s="38"/>
      <c r="FW12" s="38"/>
      <c r="FX12" s="38"/>
      <c r="FY12" s="38"/>
      <c r="FZ12" s="38"/>
      <c r="GA12" s="38"/>
      <c r="GB12" s="38"/>
      <c r="GC12" s="38"/>
      <c r="GD12" s="38"/>
      <c r="GE12" s="38"/>
      <c r="GF12" s="38"/>
      <c r="GG12" s="38"/>
      <c r="GH12" s="34"/>
      <c r="GI12" s="34"/>
      <c r="GJ12" s="34"/>
    </row>
    <row r="13" spans="1:193" s="6" customFormat="1" ht="15.75" x14ac:dyDescent="0.25">
      <c r="A13" s="14" t="s">
        <v>32</v>
      </c>
      <c r="B13" s="15" t="s">
        <v>4</v>
      </c>
      <c r="C13" s="1">
        <v>427827.00000000006</v>
      </c>
      <c r="D13" s="1">
        <v>437889.99999999994</v>
      </c>
      <c r="E13" s="1">
        <v>580331</v>
      </c>
      <c r="F13" s="1">
        <v>472372.67820000002</v>
      </c>
      <c r="G13" s="1">
        <v>707212.54029999999</v>
      </c>
      <c r="H13" s="1">
        <v>769595.81220000004</v>
      </c>
      <c r="I13" s="1">
        <v>807417.67200000002</v>
      </c>
      <c r="J13" s="1">
        <v>929672.49600000004</v>
      </c>
      <c r="K13" s="1">
        <v>936496.02383980504</v>
      </c>
      <c r="L13" s="1">
        <v>1049780.0511981153</v>
      </c>
      <c r="M13" s="1">
        <v>909066.41722012439</v>
      </c>
      <c r="N13" s="1">
        <v>852646.38790547801</v>
      </c>
      <c r="O13" s="1">
        <v>943675.51994487725</v>
      </c>
      <c r="P13" s="1">
        <v>1038043.0719393651</v>
      </c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K13" s="2"/>
    </row>
    <row r="14" spans="1:193" ht="30" x14ac:dyDescent="0.25">
      <c r="A14" s="18" t="s">
        <v>33</v>
      </c>
      <c r="B14" s="17" t="s">
        <v>5</v>
      </c>
      <c r="C14" s="4">
        <v>22711</v>
      </c>
      <c r="D14" s="4">
        <v>26802</v>
      </c>
      <c r="E14" s="4">
        <v>29739</v>
      </c>
      <c r="F14" s="4">
        <v>51148.154000000002</v>
      </c>
      <c r="G14" s="4">
        <v>21461.315200000001</v>
      </c>
      <c r="H14" s="4">
        <v>25897.9725</v>
      </c>
      <c r="I14" s="4">
        <v>30787.370800000001</v>
      </c>
      <c r="J14" s="4">
        <v>44305.323600000003</v>
      </c>
      <c r="K14" s="1">
        <v>50431.573615551402</v>
      </c>
      <c r="L14" s="1">
        <v>46336.626681674068</v>
      </c>
      <c r="M14" s="1">
        <v>49593.972495065929</v>
      </c>
      <c r="N14" s="1">
        <v>50014.132256459561</v>
      </c>
      <c r="O14" s="4">
        <v>53008.642387965636</v>
      </c>
      <c r="P14" s="4">
        <v>55221.13238422748</v>
      </c>
      <c r="Q14" s="8"/>
      <c r="R14" s="8"/>
      <c r="S14" s="8"/>
      <c r="T14" s="8"/>
      <c r="U14" s="7"/>
      <c r="V14" s="8"/>
      <c r="W14" s="8"/>
      <c r="X14" s="7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7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7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7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6"/>
      <c r="GI14" s="6"/>
      <c r="GJ14" s="6"/>
    </row>
    <row r="15" spans="1:193" ht="15.75" x14ac:dyDescent="0.25">
      <c r="A15" s="18" t="s">
        <v>34</v>
      </c>
      <c r="B15" s="17" t="s">
        <v>6</v>
      </c>
      <c r="C15" s="4">
        <v>244130.00000000003</v>
      </c>
      <c r="D15" s="4">
        <v>245390</v>
      </c>
      <c r="E15" s="4">
        <v>297167</v>
      </c>
      <c r="F15" s="4">
        <v>319326.19199999998</v>
      </c>
      <c r="G15" s="4">
        <v>325189.1226</v>
      </c>
      <c r="H15" s="4">
        <v>358939.0834</v>
      </c>
      <c r="I15" s="4">
        <v>395582.73090000002</v>
      </c>
      <c r="J15" s="4">
        <v>447810.94400000002</v>
      </c>
      <c r="K15" s="1">
        <v>451182.13797826821</v>
      </c>
      <c r="L15" s="1">
        <v>432399.75844655151</v>
      </c>
      <c r="M15" s="1">
        <v>580239.91531023895</v>
      </c>
      <c r="N15" s="1">
        <v>617238.78203221899</v>
      </c>
      <c r="O15" s="4">
        <v>678714.21998851746</v>
      </c>
      <c r="P15" s="4">
        <v>744379.82207787421</v>
      </c>
      <c r="Q15" s="8"/>
      <c r="R15" s="8"/>
      <c r="S15" s="8"/>
      <c r="T15" s="8"/>
      <c r="U15" s="7"/>
      <c r="V15" s="8"/>
      <c r="W15" s="8"/>
      <c r="X15" s="7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7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7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7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6"/>
      <c r="GI15" s="6"/>
      <c r="GJ15" s="6"/>
    </row>
    <row r="16" spans="1:193" s="29" customFormat="1" ht="15.75" x14ac:dyDescent="0.25">
      <c r="A16" s="35"/>
      <c r="B16" s="36" t="s">
        <v>29</v>
      </c>
      <c r="C16" s="37">
        <f>+C13+C14+C15</f>
        <v>694668.00000000012</v>
      </c>
      <c r="D16" s="37">
        <f t="shared" ref="D16:I16" si="5">+D13+D14+D15</f>
        <v>710082</v>
      </c>
      <c r="E16" s="37">
        <f t="shared" si="5"/>
        <v>907237</v>
      </c>
      <c r="F16" s="37">
        <f t="shared" si="5"/>
        <v>842847.02419999999</v>
      </c>
      <c r="G16" s="37">
        <f t="shared" si="5"/>
        <v>1053862.9780999999</v>
      </c>
      <c r="H16" s="37">
        <f t="shared" si="5"/>
        <v>1154432.8681000001</v>
      </c>
      <c r="I16" s="37">
        <f t="shared" si="5"/>
        <v>1233787.7737</v>
      </c>
      <c r="J16" s="37">
        <f t="shared" ref="J16:M16" si="6">+J13+J14+J15</f>
        <v>1421788.7636000002</v>
      </c>
      <c r="K16" s="37">
        <f t="shared" si="6"/>
        <v>1438109.7354336246</v>
      </c>
      <c r="L16" s="37">
        <f t="shared" si="6"/>
        <v>1528516.4363263408</v>
      </c>
      <c r="M16" s="37">
        <f t="shared" si="6"/>
        <v>1538900.3050254292</v>
      </c>
      <c r="N16" s="37">
        <f t="shared" ref="N16" si="7">+N13+N14+N15</f>
        <v>1519899.3021941567</v>
      </c>
      <c r="O16" s="37">
        <f t="shared" ref="O16:P16" si="8">+O13+O14+O15</f>
        <v>1675398.3823213603</v>
      </c>
      <c r="P16" s="37">
        <f t="shared" si="8"/>
        <v>1837644.0264014667</v>
      </c>
      <c r="Q16" s="8"/>
      <c r="R16" s="8"/>
      <c r="S16" s="8"/>
      <c r="T16" s="8"/>
      <c r="U16" s="7"/>
      <c r="V16" s="8"/>
      <c r="W16" s="8"/>
      <c r="X16" s="7"/>
      <c r="Y16" s="8"/>
      <c r="Z16" s="8"/>
      <c r="AA16" s="8"/>
      <c r="AB16" s="8"/>
      <c r="AC16" s="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3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3"/>
      <c r="EU16" s="38"/>
      <c r="EV16" s="38"/>
      <c r="EW16" s="38"/>
      <c r="EX16" s="38"/>
      <c r="EY16" s="38"/>
      <c r="EZ16" s="38"/>
      <c r="FA16" s="38"/>
      <c r="FB16" s="38"/>
      <c r="FC16" s="38"/>
      <c r="FD16" s="38"/>
      <c r="FE16" s="38"/>
      <c r="FF16" s="38"/>
      <c r="FG16" s="38"/>
      <c r="FH16" s="38"/>
      <c r="FI16" s="38"/>
      <c r="FJ16" s="38"/>
      <c r="FK16" s="38"/>
      <c r="FL16" s="38"/>
      <c r="FM16" s="38"/>
      <c r="FN16" s="38"/>
      <c r="FO16" s="38"/>
      <c r="FP16" s="38"/>
      <c r="FQ16" s="38"/>
      <c r="FR16" s="33"/>
      <c r="FS16" s="38"/>
      <c r="FT16" s="38"/>
      <c r="FU16" s="38"/>
      <c r="FV16" s="38"/>
      <c r="FW16" s="38"/>
      <c r="FX16" s="38"/>
      <c r="FY16" s="38"/>
      <c r="FZ16" s="38"/>
      <c r="GA16" s="38"/>
      <c r="GB16" s="38"/>
      <c r="GC16" s="38"/>
      <c r="GD16" s="38"/>
      <c r="GE16" s="38"/>
      <c r="GF16" s="38"/>
      <c r="GG16" s="38"/>
      <c r="GH16" s="34"/>
      <c r="GI16" s="34"/>
      <c r="GJ16" s="34"/>
    </row>
    <row r="17" spans="1:193" s="34" customFormat="1" ht="30" x14ac:dyDescent="0.25">
      <c r="A17" s="30" t="s">
        <v>35</v>
      </c>
      <c r="B17" s="31" t="s">
        <v>7</v>
      </c>
      <c r="C17" s="32">
        <f>C18+C19</f>
        <v>147477</v>
      </c>
      <c r="D17" s="32">
        <f t="shared" ref="D17:M17" si="9">D18+D19</f>
        <v>188941</v>
      </c>
      <c r="E17" s="32">
        <f t="shared" si="9"/>
        <v>190310</v>
      </c>
      <c r="F17" s="32">
        <f t="shared" si="9"/>
        <v>202934.23699999999</v>
      </c>
      <c r="G17" s="32">
        <f t="shared" si="9"/>
        <v>224168.6262</v>
      </c>
      <c r="H17" s="32">
        <f t="shared" si="9"/>
        <v>249619.5545</v>
      </c>
      <c r="I17" s="32">
        <f t="shared" si="9"/>
        <v>279204.717</v>
      </c>
      <c r="J17" s="32">
        <f t="shared" si="9"/>
        <v>323369.84770000004</v>
      </c>
      <c r="K17" s="32">
        <f t="shared" si="9"/>
        <v>346061.19486609462</v>
      </c>
      <c r="L17" s="32">
        <f t="shared" si="9"/>
        <v>268580.09854435234</v>
      </c>
      <c r="M17" s="32">
        <f t="shared" si="9"/>
        <v>335129.01252443239</v>
      </c>
      <c r="N17" s="32">
        <f t="shared" ref="N17" si="10">N18+N19</f>
        <v>411353.71648338932</v>
      </c>
      <c r="O17" s="32">
        <f t="shared" ref="O17:P17" si="11">O18+O19</f>
        <v>444350.32045634236</v>
      </c>
      <c r="P17" s="32">
        <f t="shared" si="11"/>
        <v>481495.70366646664</v>
      </c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/>
      <c r="EQ17" s="33"/>
      <c r="ER17" s="33"/>
      <c r="ES17" s="33"/>
      <c r="ET17" s="33"/>
      <c r="EU17" s="33"/>
      <c r="EV17" s="33"/>
      <c r="EW17" s="33"/>
      <c r="EX17" s="33"/>
      <c r="EY17" s="33"/>
      <c r="EZ17" s="33"/>
      <c r="FA17" s="33"/>
      <c r="FB17" s="33"/>
      <c r="FC17" s="33"/>
      <c r="FD17" s="33"/>
      <c r="FE17" s="33"/>
      <c r="FF17" s="33"/>
      <c r="FG17" s="33"/>
      <c r="FH17" s="33"/>
      <c r="FI17" s="33"/>
      <c r="FJ17" s="33"/>
      <c r="FK17" s="33"/>
      <c r="FL17" s="33"/>
      <c r="FM17" s="33"/>
      <c r="FN17" s="33"/>
      <c r="FO17" s="33"/>
      <c r="FP17" s="33"/>
      <c r="FQ17" s="33"/>
      <c r="FR17" s="33"/>
      <c r="FS17" s="33"/>
      <c r="FT17" s="33"/>
      <c r="FU17" s="33"/>
      <c r="FV17" s="33"/>
      <c r="FW17" s="33"/>
      <c r="FX17" s="33"/>
      <c r="FY17" s="33"/>
      <c r="FZ17" s="33"/>
      <c r="GA17" s="33"/>
      <c r="GB17" s="33"/>
      <c r="GC17" s="33"/>
      <c r="GD17" s="33"/>
      <c r="GE17" s="33"/>
      <c r="GF17" s="33"/>
      <c r="GG17" s="33"/>
      <c r="GK17" s="29"/>
    </row>
    <row r="18" spans="1:193" ht="15.75" x14ac:dyDescent="0.25">
      <c r="A18" s="16">
        <v>6.1</v>
      </c>
      <c r="B18" s="17" t="s">
        <v>8</v>
      </c>
      <c r="C18" s="4">
        <v>127194</v>
      </c>
      <c r="D18" s="4">
        <v>166686</v>
      </c>
      <c r="E18" s="4">
        <v>166269</v>
      </c>
      <c r="F18" s="4">
        <v>177530.2402</v>
      </c>
      <c r="G18" s="4">
        <v>196346.1678</v>
      </c>
      <c r="H18" s="4">
        <v>219037.962</v>
      </c>
      <c r="I18" s="4">
        <v>245426.16450000001</v>
      </c>
      <c r="J18" s="4">
        <v>284502.32770000002</v>
      </c>
      <c r="K18" s="4">
        <v>304018.92527116853</v>
      </c>
      <c r="L18" s="4">
        <v>246500.89832908669</v>
      </c>
      <c r="M18" s="4">
        <v>301586.97499567922</v>
      </c>
      <c r="N18" s="4">
        <v>352731.345588002</v>
      </c>
      <c r="O18" s="4">
        <v>375659.88509623148</v>
      </c>
      <c r="P18" s="4">
        <v>400935.37843896059</v>
      </c>
      <c r="Q18" s="8"/>
      <c r="R18" s="8"/>
      <c r="S18" s="8"/>
      <c r="T18" s="8"/>
      <c r="U18" s="7"/>
      <c r="V18" s="8"/>
      <c r="W18" s="8"/>
      <c r="X18" s="7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6"/>
      <c r="GI18" s="6"/>
      <c r="GJ18" s="6"/>
    </row>
    <row r="19" spans="1:193" ht="15.75" x14ac:dyDescent="0.25">
      <c r="A19" s="16">
        <v>6.2</v>
      </c>
      <c r="B19" s="17" t="s">
        <v>9</v>
      </c>
      <c r="C19" s="4">
        <v>20283</v>
      </c>
      <c r="D19" s="4">
        <v>22255</v>
      </c>
      <c r="E19" s="4">
        <v>24041</v>
      </c>
      <c r="F19" s="4">
        <v>25403.996800000001</v>
      </c>
      <c r="G19" s="4">
        <v>27822.4584</v>
      </c>
      <c r="H19" s="4">
        <v>30581.592499999999</v>
      </c>
      <c r="I19" s="4">
        <v>33778.552499999998</v>
      </c>
      <c r="J19" s="4">
        <v>38867.519999999997</v>
      </c>
      <c r="K19" s="4">
        <v>42042.269594926096</v>
      </c>
      <c r="L19" s="4">
        <v>22079.200215265664</v>
      </c>
      <c r="M19" s="4">
        <v>33542.037528753157</v>
      </c>
      <c r="N19" s="4">
        <v>58622.370895387336</v>
      </c>
      <c r="O19" s="4">
        <v>68690.435360110903</v>
      </c>
      <c r="P19" s="4">
        <v>80560.325227506037</v>
      </c>
      <c r="Q19" s="8"/>
      <c r="R19" s="8"/>
      <c r="S19" s="8"/>
      <c r="T19" s="8"/>
      <c r="U19" s="7"/>
      <c r="V19" s="8"/>
      <c r="W19" s="8"/>
      <c r="X19" s="7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6"/>
      <c r="GI19" s="6"/>
      <c r="GJ19" s="6"/>
    </row>
    <row r="20" spans="1:193" s="34" customFormat="1" ht="30" x14ac:dyDescent="0.25">
      <c r="A20" s="39" t="s">
        <v>36</v>
      </c>
      <c r="B20" s="40" t="s">
        <v>10</v>
      </c>
      <c r="C20" s="32">
        <f>SUM(C21:C27)</f>
        <v>67419</v>
      </c>
      <c r="D20" s="32">
        <f t="shared" ref="D20:M20" si="12">SUM(D21:D27)</f>
        <v>76048</v>
      </c>
      <c r="E20" s="32">
        <f t="shared" si="12"/>
        <v>83063</v>
      </c>
      <c r="F20" s="32">
        <f t="shared" si="12"/>
        <v>86773.6342</v>
      </c>
      <c r="G20" s="32">
        <f t="shared" si="12"/>
        <v>92789.600900000005</v>
      </c>
      <c r="H20" s="32">
        <f t="shared" si="12"/>
        <v>104378.27600000001</v>
      </c>
      <c r="I20" s="32">
        <f t="shared" si="12"/>
        <v>108985.1651</v>
      </c>
      <c r="J20" s="32">
        <f t="shared" si="12"/>
        <v>122867.07200057543</v>
      </c>
      <c r="K20" s="32">
        <f t="shared" si="12"/>
        <v>131821.4534214036</v>
      </c>
      <c r="L20" s="32">
        <f t="shared" si="12"/>
        <v>108476.86683240959</v>
      </c>
      <c r="M20" s="32">
        <f t="shared" si="12"/>
        <v>142860.43313119153</v>
      </c>
      <c r="N20" s="32">
        <f t="shared" ref="N20:P20" si="13">SUM(N21:N27)</f>
        <v>160669.41824044261</v>
      </c>
      <c r="O20" s="32">
        <f t="shared" si="13"/>
        <v>170058.1622480654</v>
      </c>
      <c r="P20" s="32">
        <f t="shared" si="13"/>
        <v>180440.21190730558</v>
      </c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3"/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3"/>
      <c r="DJ20" s="33"/>
      <c r="DK20" s="33"/>
      <c r="DL20" s="33"/>
      <c r="DM20" s="33"/>
      <c r="DN20" s="33"/>
      <c r="DO20" s="33"/>
      <c r="DP20" s="33"/>
      <c r="DQ20" s="33"/>
      <c r="DR20" s="33"/>
      <c r="DS20" s="33"/>
      <c r="DT20" s="33"/>
      <c r="DU20" s="33"/>
      <c r="DV20" s="33"/>
      <c r="DW20" s="33"/>
      <c r="DX20" s="33"/>
      <c r="DY20" s="33"/>
      <c r="DZ20" s="33"/>
      <c r="EA20" s="33"/>
      <c r="EB20" s="33"/>
      <c r="EC20" s="33"/>
      <c r="ED20" s="33"/>
      <c r="EE20" s="33"/>
      <c r="EF20" s="33"/>
      <c r="EG20" s="33"/>
      <c r="EH20" s="33"/>
      <c r="EI20" s="33"/>
      <c r="EJ20" s="33"/>
      <c r="EK20" s="33"/>
      <c r="EL20" s="33"/>
      <c r="EM20" s="33"/>
      <c r="EN20" s="33"/>
      <c r="EO20" s="33"/>
      <c r="EP20" s="33"/>
      <c r="EQ20" s="33"/>
      <c r="ER20" s="33"/>
      <c r="ES20" s="33"/>
      <c r="ET20" s="33"/>
      <c r="EU20" s="33"/>
      <c r="EV20" s="33"/>
      <c r="EW20" s="33"/>
      <c r="EX20" s="33"/>
      <c r="EY20" s="33"/>
      <c r="EZ20" s="33"/>
      <c r="FA20" s="33"/>
      <c r="FB20" s="33"/>
      <c r="FC20" s="33"/>
      <c r="FD20" s="33"/>
      <c r="FE20" s="33"/>
      <c r="FF20" s="33"/>
      <c r="FG20" s="33"/>
      <c r="FH20" s="33"/>
      <c r="FI20" s="33"/>
      <c r="FJ20" s="33"/>
      <c r="FK20" s="33"/>
      <c r="FL20" s="33"/>
      <c r="FM20" s="33"/>
      <c r="FN20" s="33"/>
      <c r="FO20" s="33"/>
      <c r="FP20" s="33"/>
      <c r="FQ20" s="33"/>
      <c r="FR20" s="33"/>
      <c r="FS20" s="33"/>
      <c r="FT20" s="33"/>
      <c r="FU20" s="33"/>
      <c r="FV20" s="33"/>
      <c r="FW20" s="33"/>
      <c r="FX20" s="33"/>
      <c r="FY20" s="33"/>
      <c r="FZ20" s="33"/>
      <c r="GA20" s="33"/>
      <c r="GB20" s="33"/>
      <c r="GC20" s="33"/>
      <c r="GD20" s="33"/>
      <c r="GE20" s="33"/>
      <c r="GF20" s="33"/>
      <c r="GG20" s="33"/>
      <c r="GK20" s="29"/>
    </row>
    <row r="21" spans="1:193" ht="15.75" x14ac:dyDescent="0.25">
      <c r="A21" s="16">
        <v>7.1</v>
      </c>
      <c r="B21" s="17" t="s">
        <v>11</v>
      </c>
      <c r="C21" s="4">
        <v>200</v>
      </c>
      <c r="D21" s="4">
        <v>202.99999999999997</v>
      </c>
      <c r="E21" s="4">
        <v>225.99999999999997</v>
      </c>
      <c r="F21" s="4">
        <v>270</v>
      </c>
      <c r="G21" s="4">
        <v>307.67129999999997</v>
      </c>
      <c r="H21" s="4">
        <v>337</v>
      </c>
      <c r="I21" s="4">
        <v>430</v>
      </c>
      <c r="J21" s="4">
        <v>415</v>
      </c>
      <c r="K21" s="4">
        <v>454</v>
      </c>
      <c r="L21" s="4">
        <v>114</v>
      </c>
      <c r="M21" s="4">
        <v>242</v>
      </c>
      <c r="N21" s="4">
        <v>304</v>
      </c>
      <c r="O21" s="4">
        <v>325</v>
      </c>
      <c r="P21" s="4">
        <v>347.45065789473682</v>
      </c>
      <c r="Q21" s="8"/>
      <c r="R21" s="8"/>
      <c r="S21" s="8"/>
      <c r="T21" s="8"/>
      <c r="U21" s="7"/>
      <c r="V21" s="8"/>
      <c r="W21" s="8"/>
      <c r="X21" s="7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6"/>
      <c r="GI21" s="6"/>
      <c r="GJ21" s="6"/>
    </row>
    <row r="22" spans="1:193" ht="15.75" x14ac:dyDescent="0.25">
      <c r="A22" s="16">
        <v>7.2</v>
      </c>
      <c r="B22" s="17" t="s">
        <v>12</v>
      </c>
      <c r="C22" s="4">
        <v>41200</v>
      </c>
      <c r="D22" s="4">
        <v>47180</v>
      </c>
      <c r="E22" s="4">
        <v>49118</v>
      </c>
      <c r="F22" s="4">
        <v>49858</v>
      </c>
      <c r="G22" s="4">
        <v>51580.999199999998</v>
      </c>
      <c r="H22" s="4">
        <v>57231.317900000002</v>
      </c>
      <c r="I22" s="4">
        <v>61051.020799999998</v>
      </c>
      <c r="J22" s="4">
        <v>71747.778699999995</v>
      </c>
      <c r="K22" s="4">
        <v>71459.647383163479</v>
      </c>
      <c r="L22" s="4">
        <v>52368.577564132669</v>
      </c>
      <c r="M22" s="4">
        <v>78086.250002601984</v>
      </c>
      <c r="N22" s="4">
        <v>80709.466091294264</v>
      </c>
      <c r="O22" s="4">
        <v>82365.741252201507</v>
      </c>
      <c r="P22" s="4">
        <v>84140.353380322718</v>
      </c>
      <c r="Q22" s="8"/>
      <c r="R22" s="8"/>
      <c r="S22" s="8"/>
      <c r="T22" s="8"/>
      <c r="U22" s="7"/>
      <c r="V22" s="8"/>
      <c r="W22" s="8"/>
      <c r="X22" s="7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6"/>
      <c r="GI22" s="6"/>
      <c r="GJ22" s="6"/>
    </row>
    <row r="23" spans="1:193" ht="15.75" x14ac:dyDescent="0.25">
      <c r="A23" s="16">
        <v>7.3</v>
      </c>
      <c r="B23" s="17" t="s">
        <v>13</v>
      </c>
      <c r="C23" s="4">
        <v>3968</v>
      </c>
      <c r="D23" s="4">
        <v>3989</v>
      </c>
      <c r="E23" s="4">
        <v>3161</v>
      </c>
      <c r="F23" s="4">
        <v>2630</v>
      </c>
      <c r="G23" s="4">
        <v>2352.1188000000002</v>
      </c>
      <c r="H23" s="4">
        <v>5745.7317999999996</v>
      </c>
      <c r="I23" s="4">
        <v>5389.2608</v>
      </c>
      <c r="J23" s="4">
        <v>6987.11</v>
      </c>
      <c r="K23" s="4">
        <v>8144.8482144950876</v>
      </c>
      <c r="L23" s="4">
        <v>6411.979050738908</v>
      </c>
      <c r="M23" s="4">
        <v>6691.8021412335102</v>
      </c>
      <c r="N23" s="4">
        <v>12374.285428190298</v>
      </c>
      <c r="O23" s="4">
        <v>14502.133420041368</v>
      </c>
      <c r="P23" s="4">
        <v>17012.93516419936</v>
      </c>
      <c r="Q23" s="8"/>
      <c r="R23" s="8"/>
      <c r="S23" s="8"/>
      <c r="T23" s="8"/>
      <c r="U23" s="7"/>
      <c r="V23" s="8"/>
      <c r="W23" s="8"/>
      <c r="X23" s="7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6"/>
      <c r="GI23" s="6"/>
      <c r="GJ23" s="6"/>
    </row>
    <row r="24" spans="1:193" ht="15.75" x14ac:dyDescent="0.25">
      <c r="A24" s="16">
        <v>7.4</v>
      </c>
      <c r="B24" s="17" t="s">
        <v>14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253.29920000000001</v>
      </c>
      <c r="J24" s="4">
        <v>320.81659999999999</v>
      </c>
      <c r="K24" s="4">
        <v>449.92090342369818</v>
      </c>
      <c r="L24" s="4">
        <v>1.9593518871623858</v>
      </c>
      <c r="M24" s="4">
        <v>5.9553454512764468</v>
      </c>
      <c r="N24" s="4">
        <v>420.58312257033009</v>
      </c>
      <c r="O24" s="4">
        <v>399.65359249618962</v>
      </c>
      <c r="P24" s="4">
        <v>380.14666513966228</v>
      </c>
      <c r="Q24" s="8"/>
      <c r="R24" s="8"/>
      <c r="S24" s="8"/>
      <c r="T24" s="8"/>
      <c r="U24" s="7"/>
      <c r="V24" s="8"/>
      <c r="W24" s="8"/>
      <c r="X24" s="7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6"/>
      <c r="GI24" s="6"/>
      <c r="GJ24" s="6"/>
    </row>
    <row r="25" spans="1:193" ht="15.75" x14ac:dyDescent="0.25">
      <c r="A25" s="16">
        <v>7.5</v>
      </c>
      <c r="B25" s="17" t="s">
        <v>15</v>
      </c>
      <c r="C25" s="4">
        <v>689</v>
      </c>
      <c r="D25" s="4">
        <v>793</v>
      </c>
      <c r="E25" s="4">
        <v>949</v>
      </c>
      <c r="F25" s="4">
        <v>500</v>
      </c>
      <c r="G25" s="4">
        <v>549.09059999999999</v>
      </c>
      <c r="H25" s="4">
        <v>2487.9749000000002</v>
      </c>
      <c r="I25" s="4">
        <v>2501.4528</v>
      </c>
      <c r="J25" s="4">
        <v>867.97619999999995</v>
      </c>
      <c r="K25" s="4">
        <v>2983.0641955663141</v>
      </c>
      <c r="L25" s="4">
        <v>1395.0585436596186</v>
      </c>
      <c r="M25" s="4">
        <v>1168.5489923428643</v>
      </c>
      <c r="N25" s="4">
        <v>2395.8984903167202</v>
      </c>
      <c r="O25" s="4">
        <v>2725.6933391976982</v>
      </c>
      <c r="P25" s="4">
        <v>3103.9960183503081</v>
      </c>
      <c r="Q25" s="8"/>
      <c r="R25" s="8"/>
      <c r="S25" s="8"/>
      <c r="T25" s="8"/>
      <c r="U25" s="7"/>
      <c r="V25" s="8"/>
      <c r="W25" s="8"/>
      <c r="X25" s="7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6"/>
      <c r="GI25" s="6"/>
      <c r="GJ25" s="6"/>
    </row>
    <row r="26" spans="1:193" ht="15.75" x14ac:dyDescent="0.25">
      <c r="A26" s="16">
        <v>7.6</v>
      </c>
      <c r="B26" s="17" t="s">
        <v>16</v>
      </c>
      <c r="C26" s="4">
        <v>51</v>
      </c>
      <c r="D26" s="4">
        <v>45</v>
      </c>
      <c r="E26" s="4">
        <v>28.999999999999996</v>
      </c>
      <c r="F26" s="4">
        <v>30.6342</v>
      </c>
      <c r="G26" s="4">
        <v>30.721</v>
      </c>
      <c r="H26" s="4">
        <v>181.61779999999999</v>
      </c>
      <c r="I26" s="4">
        <v>18.971499999999999</v>
      </c>
      <c r="J26" s="4">
        <v>61.955000575424599</v>
      </c>
      <c r="K26" s="4">
        <v>61.972724755003377</v>
      </c>
      <c r="L26" s="4">
        <v>13.974125220869446</v>
      </c>
      <c r="M26" s="4">
        <v>20.932817794217506</v>
      </c>
      <c r="N26" s="4">
        <v>52.670797785804126</v>
      </c>
      <c r="O26" s="4">
        <v>35.161185904325578</v>
      </c>
      <c r="P26" s="4">
        <v>23.461985409762868</v>
      </c>
      <c r="Q26" s="8"/>
      <c r="R26" s="8"/>
      <c r="S26" s="8"/>
      <c r="T26" s="8"/>
      <c r="U26" s="7"/>
      <c r="V26" s="8"/>
      <c r="W26" s="8"/>
      <c r="X26" s="7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6"/>
      <c r="GI26" s="6"/>
      <c r="GJ26" s="6"/>
    </row>
    <row r="27" spans="1:193" ht="30" x14ac:dyDescent="0.25">
      <c r="A27" s="16">
        <v>7.7</v>
      </c>
      <c r="B27" s="17" t="s">
        <v>17</v>
      </c>
      <c r="C27" s="4">
        <v>21311</v>
      </c>
      <c r="D27" s="4">
        <v>23838</v>
      </c>
      <c r="E27" s="4">
        <v>29580</v>
      </c>
      <c r="F27" s="4">
        <v>33485</v>
      </c>
      <c r="G27" s="4">
        <v>37969</v>
      </c>
      <c r="H27" s="4">
        <v>38394.633600000001</v>
      </c>
      <c r="I27" s="4">
        <v>39341.160000000003</v>
      </c>
      <c r="J27" s="4">
        <v>42466.4355</v>
      </c>
      <c r="K27" s="4">
        <v>48268</v>
      </c>
      <c r="L27" s="4">
        <v>48171.318196770371</v>
      </c>
      <c r="M27" s="4">
        <v>56644.943831767683</v>
      </c>
      <c r="N27" s="4">
        <v>64412.514310285209</v>
      </c>
      <c r="O27" s="4">
        <v>69704.779458224308</v>
      </c>
      <c r="P27" s="4">
        <v>75431.868035989028</v>
      </c>
      <c r="Q27" s="8"/>
      <c r="R27" s="8"/>
      <c r="S27" s="8"/>
      <c r="T27" s="8"/>
      <c r="U27" s="7"/>
      <c r="V27" s="8"/>
      <c r="W27" s="8"/>
      <c r="X27" s="7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6"/>
      <c r="GI27" s="6"/>
      <c r="GJ27" s="6"/>
    </row>
    <row r="28" spans="1:193" ht="15.75" x14ac:dyDescent="0.25">
      <c r="A28" s="18" t="s">
        <v>37</v>
      </c>
      <c r="B28" s="17" t="s">
        <v>18</v>
      </c>
      <c r="C28" s="4">
        <v>59157.000000000007</v>
      </c>
      <c r="D28" s="4">
        <v>63963</v>
      </c>
      <c r="E28" s="4">
        <v>68944</v>
      </c>
      <c r="F28" s="4">
        <v>73148</v>
      </c>
      <c r="G28" s="4">
        <v>83634</v>
      </c>
      <c r="H28" s="4">
        <v>87792</v>
      </c>
      <c r="I28" s="4">
        <v>101399</v>
      </c>
      <c r="J28" s="4">
        <v>97888</v>
      </c>
      <c r="K28" s="4">
        <v>111402</v>
      </c>
      <c r="L28" s="4">
        <v>122248</v>
      </c>
      <c r="M28" s="4">
        <v>127453</v>
      </c>
      <c r="N28" s="4">
        <v>151297.18</v>
      </c>
      <c r="O28" s="4">
        <v>161761.62</v>
      </c>
      <c r="P28" s="4">
        <v>172949.83095537144</v>
      </c>
      <c r="Q28" s="8"/>
      <c r="R28" s="8"/>
      <c r="S28" s="8"/>
      <c r="T28" s="8"/>
      <c r="U28" s="7"/>
      <c r="V28" s="8"/>
      <c r="W28" s="8"/>
      <c r="X28" s="7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6"/>
      <c r="GI28" s="6"/>
      <c r="GJ28" s="6"/>
    </row>
    <row r="29" spans="1:193" ht="30" x14ac:dyDescent="0.25">
      <c r="A29" s="18" t="s">
        <v>38</v>
      </c>
      <c r="B29" s="17" t="s">
        <v>19</v>
      </c>
      <c r="C29" s="4">
        <v>144860</v>
      </c>
      <c r="D29" s="4">
        <v>170936</v>
      </c>
      <c r="E29" s="4">
        <v>206980.00000000003</v>
      </c>
      <c r="F29" s="4">
        <v>239927.74400000001</v>
      </c>
      <c r="G29" s="4">
        <v>272710.84399999998</v>
      </c>
      <c r="H29" s="4">
        <v>313278.84899999999</v>
      </c>
      <c r="I29" s="4">
        <v>342331.63099999999</v>
      </c>
      <c r="J29" s="4">
        <v>374182.26</v>
      </c>
      <c r="K29" s="4">
        <v>407793.96533037431</v>
      </c>
      <c r="L29" s="4">
        <v>408243.95810344041</v>
      </c>
      <c r="M29" s="4">
        <v>460241.29630194267</v>
      </c>
      <c r="N29" s="4">
        <v>504924.25874596025</v>
      </c>
      <c r="O29" s="4">
        <v>537298.98349897901</v>
      </c>
      <c r="P29" s="4">
        <v>571697.19299644907</v>
      </c>
      <c r="Q29" s="8"/>
      <c r="R29" s="8"/>
      <c r="S29" s="8"/>
      <c r="T29" s="8"/>
      <c r="U29" s="7"/>
      <c r="V29" s="8"/>
      <c r="W29" s="8"/>
      <c r="X29" s="7"/>
      <c r="Y29" s="9"/>
      <c r="Z29" s="9"/>
      <c r="AA29" s="9"/>
      <c r="AB29" s="9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6"/>
      <c r="GI29" s="6"/>
      <c r="GJ29" s="6"/>
    </row>
    <row r="30" spans="1:193" ht="15.75" x14ac:dyDescent="0.25">
      <c r="A30" s="18" t="s">
        <v>39</v>
      </c>
      <c r="B30" s="17" t="s">
        <v>54</v>
      </c>
      <c r="C30" s="4">
        <v>80270</v>
      </c>
      <c r="D30" s="4">
        <v>87479</v>
      </c>
      <c r="E30" s="4">
        <v>74652</v>
      </c>
      <c r="F30" s="4">
        <v>97623</v>
      </c>
      <c r="G30" s="4">
        <v>108140</v>
      </c>
      <c r="H30" s="4">
        <v>112035</v>
      </c>
      <c r="I30" s="4">
        <v>112625</v>
      </c>
      <c r="J30" s="4">
        <v>126552</v>
      </c>
      <c r="K30" s="4">
        <v>129203</v>
      </c>
      <c r="L30" s="4">
        <v>144649</v>
      </c>
      <c r="M30" s="4">
        <v>149550.37208718352</v>
      </c>
      <c r="N30" s="4">
        <v>157060.57039816506</v>
      </c>
      <c r="O30" s="4">
        <v>171060.40487201346</v>
      </c>
      <c r="P30" s="4">
        <v>186308.13603182376</v>
      </c>
      <c r="Q30" s="8"/>
      <c r="R30" s="8"/>
      <c r="S30" s="8"/>
      <c r="T30" s="8"/>
      <c r="U30" s="7"/>
      <c r="V30" s="8"/>
      <c r="W30" s="8"/>
      <c r="X30" s="7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6"/>
      <c r="GI30" s="6"/>
      <c r="GJ30" s="6"/>
    </row>
    <row r="31" spans="1:193" ht="15.75" x14ac:dyDescent="0.25">
      <c r="A31" s="18" t="s">
        <v>40</v>
      </c>
      <c r="B31" s="17" t="s">
        <v>20</v>
      </c>
      <c r="C31" s="4">
        <v>186610</v>
      </c>
      <c r="D31" s="4">
        <v>222709</v>
      </c>
      <c r="E31" s="4">
        <v>246164</v>
      </c>
      <c r="F31" s="4">
        <v>288126.6666</v>
      </c>
      <c r="G31" s="4">
        <v>323953.14640000003</v>
      </c>
      <c r="H31" s="4">
        <v>371352.38</v>
      </c>
      <c r="I31" s="4">
        <v>420993.56400000001</v>
      </c>
      <c r="J31" s="4">
        <v>455281.9252</v>
      </c>
      <c r="K31" s="4">
        <v>524460.3187477449</v>
      </c>
      <c r="L31" s="4">
        <v>487451.67491658649</v>
      </c>
      <c r="M31" s="4">
        <v>589898.4635676418</v>
      </c>
      <c r="N31" s="4">
        <v>688144.66286854143</v>
      </c>
      <c r="O31" s="4">
        <v>803703.25231317955</v>
      </c>
      <c r="P31" s="4">
        <v>939125.7201381519</v>
      </c>
      <c r="Q31" s="8"/>
      <c r="R31" s="8"/>
      <c r="S31" s="8"/>
      <c r="T31" s="8"/>
      <c r="U31" s="7"/>
      <c r="V31" s="8"/>
      <c r="W31" s="8"/>
      <c r="X31" s="7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6"/>
      <c r="GI31" s="6"/>
      <c r="GJ31" s="6"/>
    </row>
    <row r="32" spans="1:193" s="29" customFormat="1" ht="15.75" x14ac:dyDescent="0.25">
      <c r="A32" s="35"/>
      <c r="B32" s="36" t="s">
        <v>30</v>
      </c>
      <c r="C32" s="37">
        <f>C17+C20+C28+C29+C30+C31</f>
        <v>685793</v>
      </c>
      <c r="D32" s="37">
        <f t="shared" ref="D32:I32" si="14">D17+D20+D28+D29+D30+D31</f>
        <v>810076</v>
      </c>
      <c r="E32" s="37">
        <f t="shared" si="14"/>
        <v>870113</v>
      </c>
      <c r="F32" s="37">
        <f t="shared" si="14"/>
        <v>988533.2818</v>
      </c>
      <c r="G32" s="37">
        <f t="shared" si="14"/>
        <v>1105396.2175</v>
      </c>
      <c r="H32" s="37">
        <f t="shared" si="14"/>
        <v>1238456.0595</v>
      </c>
      <c r="I32" s="37">
        <f t="shared" si="14"/>
        <v>1365539.0770999999</v>
      </c>
      <c r="J32" s="37">
        <f t="shared" ref="J32:K32" si="15">J17+J20+J28+J29+J30+J31</f>
        <v>1500141.1049005755</v>
      </c>
      <c r="K32" s="37">
        <f t="shared" si="15"/>
        <v>1650741.9323656172</v>
      </c>
      <c r="L32" s="37">
        <f t="shared" ref="L32:M32" si="16">L17+L20+L28+L29+L30+L31</f>
        <v>1539649.5983967888</v>
      </c>
      <c r="M32" s="37">
        <f t="shared" si="16"/>
        <v>1805132.5776123919</v>
      </c>
      <c r="N32" s="37">
        <f t="shared" ref="N32" si="17">N17+N20+N28+N29+N30+N31</f>
        <v>2073449.8067364986</v>
      </c>
      <c r="O32" s="37">
        <f t="shared" ref="O32:P32" si="18">O17+O20+O28+O29+O30+O31</f>
        <v>2288232.7433885797</v>
      </c>
      <c r="P32" s="37">
        <f t="shared" si="18"/>
        <v>2532016.7956955684</v>
      </c>
      <c r="Q32" s="8"/>
      <c r="R32" s="8"/>
      <c r="S32" s="8"/>
      <c r="T32" s="8"/>
      <c r="U32" s="7"/>
      <c r="V32" s="8"/>
      <c r="W32" s="8"/>
      <c r="X32" s="7"/>
      <c r="Y32" s="8"/>
      <c r="Z32" s="8"/>
      <c r="AA32" s="8"/>
      <c r="AB32" s="8"/>
      <c r="AC32" s="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38"/>
      <c r="BM32" s="38"/>
      <c r="BN32" s="38"/>
      <c r="BO32" s="38"/>
      <c r="BP32" s="38"/>
      <c r="BQ32" s="38"/>
      <c r="BR32" s="38"/>
      <c r="BS32" s="38"/>
      <c r="BT32" s="38"/>
      <c r="BU32" s="38"/>
      <c r="BV32" s="38"/>
      <c r="BW32" s="38"/>
      <c r="BX32" s="38"/>
      <c r="BY32" s="38"/>
      <c r="BZ32" s="38"/>
      <c r="CA32" s="38"/>
      <c r="CB32" s="38"/>
      <c r="CC32" s="38"/>
      <c r="CD32" s="38"/>
      <c r="CE32" s="38"/>
      <c r="CF32" s="38"/>
      <c r="CG32" s="38"/>
      <c r="CH32" s="38"/>
      <c r="CI32" s="38"/>
      <c r="CJ32" s="38"/>
      <c r="CK32" s="38"/>
      <c r="CL32" s="38"/>
      <c r="CM32" s="38"/>
      <c r="CN32" s="38"/>
      <c r="CO32" s="38"/>
      <c r="CP32" s="38"/>
      <c r="CQ32" s="38"/>
      <c r="CR32" s="38"/>
      <c r="CS32" s="38"/>
      <c r="CT32" s="38"/>
      <c r="CU32" s="38"/>
      <c r="CV32" s="38"/>
      <c r="CW32" s="38"/>
      <c r="CX32" s="38"/>
      <c r="CY32" s="38"/>
      <c r="CZ32" s="38"/>
      <c r="DA32" s="38"/>
      <c r="DB32" s="38"/>
      <c r="DC32" s="38"/>
      <c r="DD32" s="38"/>
      <c r="DE32" s="38"/>
      <c r="DF32" s="38"/>
      <c r="DG32" s="38"/>
      <c r="DH32" s="38"/>
      <c r="DI32" s="38"/>
      <c r="DJ32" s="33"/>
      <c r="DK32" s="33"/>
      <c r="DL32" s="33"/>
      <c r="DM32" s="33"/>
      <c r="DN32" s="33"/>
      <c r="DO32" s="33"/>
      <c r="DP32" s="33"/>
      <c r="DQ32" s="33"/>
      <c r="DR32" s="33"/>
      <c r="DS32" s="33"/>
      <c r="DT32" s="33"/>
      <c r="DU32" s="33"/>
      <c r="DV32" s="33"/>
      <c r="DW32" s="33"/>
      <c r="DX32" s="33"/>
      <c r="DY32" s="33"/>
      <c r="DZ32" s="33"/>
      <c r="EA32" s="33"/>
      <c r="EB32" s="33"/>
      <c r="EC32" s="38"/>
      <c r="ED32" s="38"/>
      <c r="EE32" s="38"/>
      <c r="EF32" s="38"/>
      <c r="EG32" s="38"/>
      <c r="EH32" s="38"/>
      <c r="EI32" s="38"/>
      <c r="EJ32" s="38"/>
      <c r="EK32" s="38"/>
      <c r="EL32" s="38"/>
      <c r="EM32" s="38"/>
      <c r="EN32" s="38"/>
      <c r="EO32" s="38"/>
      <c r="EP32" s="38"/>
      <c r="EQ32" s="38"/>
      <c r="ER32" s="38"/>
      <c r="ES32" s="38"/>
      <c r="ET32" s="38"/>
      <c r="EU32" s="38"/>
      <c r="EV32" s="38"/>
      <c r="EW32" s="38"/>
      <c r="EX32" s="38"/>
      <c r="EY32" s="38"/>
      <c r="EZ32" s="38"/>
      <c r="FA32" s="38"/>
      <c r="FB32" s="38"/>
      <c r="FC32" s="38"/>
      <c r="FD32" s="38"/>
      <c r="FE32" s="38"/>
      <c r="FF32" s="38"/>
      <c r="FG32" s="38"/>
      <c r="FH32" s="38"/>
      <c r="FI32" s="38"/>
      <c r="FJ32" s="38"/>
      <c r="FK32" s="38"/>
      <c r="FL32" s="38"/>
      <c r="FM32" s="38"/>
      <c r="FN32" s="38"/>
      <c r="FO32" s="38"/>
      <c r="FP32" s="38"/>
      <c r="FQ32" s="38"/>
      <c r="FR32" s="38"/>
      <c r="FS32" s="38"/>
      <c r="FT32" s="38"/>
      <c r="FU32" s="38"/>
      <c r="FV32" s="38"/>
      <c r="FW32" s="38"/>
      <c r="FX32" s="38"/>
      <c r="FY32" s="38"/>
      <c r="FZ32" s="38"/>
      <c r="GA32" s="38"/>
      <c r="GB32" s="38"/>
      <c r="GC32" s="38"/>
      <c r="GD32" s="38"/>
      <c r="GE32" s="38"/>
      <c r="GF32" s="38"/>
      <c r="GG32" s="38"/>
      <c r="GH32" s="34"/>
      <c r="GI32" s="34"/>
      <c r="GJ32" s="34"/>
    </row>
    <row r="33" spans="1:193" s="34" customFormat="1" ht="15.75" x14ac:dyDescent="0.25">
      <c r="A33" s="30" t="s">
        <v>27</v>
      </c>
      <c r="B33" s="41" t="s">
        <v>41</v>
      </c>
      <c r="C33" s="32">
        <f t="shared" ref="C33:I33" si="19">C6+C11+C13+C14+C15+C17+C20+C28+C29+C30+C31</f>
        <v>1481201</v>
      </c>
      <c r="D33" s="32">
        <f t="shared" si="19"/>
        <v>1647145</v>
      </c>
      <c r="E33" s="32">
        <f t="shared" si="19"/>
        <v>1918901</v>
      </c>
      <c r="F33" s="32">
        <f t="shared" si="19"/>
        <v>1979373.2860999997</v>
      </c>
      <c r="G33" s="32">
        <f t="shared" si="19"/>
        <v>2317604.7907000002</v>
      </c>
      <c r="H33" s="32">
        <f t="shared" si="19"/>
        <v>2574137.9077000003</v>
      </c>
      <c r="I33" s="32">
        <f t="shared" si="19"/>
        <v>2798925.2939999998</v>
      </c>
      <c r="J33" s="32">
        <f t="shared" ref="J33:K33" si="20">J6+J11+J13+J14+J15+J17+J20+J28+J29+J30+J31</f>
        <v>3123274.246346517</v>
      </c>
      <c r="K33" s="32">
        <f t="shared" si="20"/>
        <v>3300840.1049902192</v>
      </c>
      <c r="L33" s="32">
        <f t="shared" ref="L33:M33" si="21">L6+L11+L13+L14+L15+L17+L20+L28+L29+L30+L31</f>
        <v>3269665.1051652711</v>
      </c>
      <c r="M33" s="32">
        <f t="shared" si="21"/>
        <v>3556757.1098269308</v>
      </c>
      <c r="N33" s="32">
        <f t="shared" ref="N33" si="22">N6+N11+N13+N14+N15+N17+N20+N28+N29+N30+N31</f>
        <v>3793909.2097512912</v>
      </c>
      <c r="O33" s="32">
        <f t="shared" ref="O33:P33" si="23">O6+O11+O13+O14+O15+O17+O20+O28+O29+O30+O31</f>
        <v>4191299.066350589</v>
      </c>
      <c r="P33" s="32">
        <f t="shared" si="23"/>
        <v>4637476.1122299302</v>
      </c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3"/>
      <c r="CF33" s="33"/>
      <c r="CG33" s="33"/>
      <c r="CH33" s="33"/>
      <c r="CI33" s="33"/>
      <c r="CJ33" s="33"/>
      <c r="CK33" s="33"/>
      <c r="CL33" s="33"/>
      <c r="CM33" s="33"/>
      <c r="CN33" s="33"/>
      <c r="CO33" s="33"/>
      <c r="CP33" s="33"/>
      <c r="CQ33" s="33"/>
      <c r="CR33" s="33"/>
      <c r="CS33" s="33"/>
      <c r="CT33" s="33"/>
      <c r="CU33" s="33"/>
      <c r="CV33" s="33"/>
      <c r="CW33" s="33"/>
      <c r="CX33" s="33"/>
      <c r="CY33" s="33"/>
      <c r="CZ33" s="33"/>
      <c r="DA33" s="33"/>
      <c r="DB33" s="33"/>
      <c r="DC33" s="33"/>
      <c r="DD33" s="33"/>
      <c r="DE33" s="33"/>
      <c r="DF33" s="33"/>
      <c r="DG33" s="33"/>
      <c r="DH33" s="33"/>
      <c r="DI33" s="33"/>
      <c r="DJ33" s="33"/>
      <c r="DK33" s="33"/>
      <c r="DL33" s="33"/>
      <c r="DM33" s="33"/>
      <c r="DN33" s="33"/>
      <c r="DO33" s="33"/>
      <c r="DP33" s="33"/>
      <c r="DQ33" s="33"/>
      <c r="DR33" s="33"/>
      <c r="DS33" s="33"/>
      <c r="DT33" s="33"/>
      <c r="DU33" s="33"/>
      <c r="DV33" s="33"/>
      <c r="DW33" s="33"/>
      <c r="DX33" s="33"/>
      <c r="DY33" s="33"/>
      <c r="DZ33" s="33"/>
      <c r="EA33" s="33"/>
      <c r="EB33" s="33"/>
      <c r="EC33" s="33"/>
      <c r="ED33" s="33"/>
      <c r="EE33" s="33"/>
      <c r="EF33" s="33"/>
      <c r="EG33" s="33"/>
      <c r="EH33" s="33"/>
      <c r="EI33" s="33"/>
      <c r="EJ33" s="33"/>
      <c r="EK33" s="33"/>
      <c r="EL33" s="33"/>
      <c r="EM33" s="33"/>
      <c r="EN33" s="33"/>
      <c r="EO33" s="33"/>
      <c r="EP33" s="33"/>
      <c r="EQ33" s="33"/>
      <c r="ER33" s="33"/>
      <c r="ES33" s="33"/>
      <c r="ET33" s="33"/>
      <c r="EU33" s="33"/>
      <c r="EV33" s="33"/>
      <c r="EW33" s="33"/>
      <c r="EX33" s="33"/>
      <c r="EY33" s="33"/>
      <c r="EZ33" s="33"/>
      <c r="FA33" s="33"/>
      <c r="FB33" s="33"/>
      <c r="FC33" s="33"/>
      <c r="FD33" s="33"/>
      <c r="FE33" s="33"/>
      <c r="FF33" s="33"/>
      <c r="FG33" s="33"/>
      <c r="FH33" s="33"/>
      <c r="FI33" s="33"/>
      <c r="FJ33" s="33"/>
      <c r="FK33" s="33"/>
      <c r="FL33" s="33"/>
      <c r="FM33" s="33"/>
      <c r="FN33" s="33"/>
      <c r="FO33" s="33"/>
      <c r="FP33" s="33"/>
      <c r="FQ33" s="33"/>
      <c r="FR33" s="33"/>
      <c r="FS33" s="33"/>
      <c r="FT33" s="33"/>
      <c r="FU33" s="33"/>
      <c r="FV33" s="33"/>
      <c r="FW33" s="33"/>
      <c r="FX33" s="33"/>
      <c r="FY33" s="33"/>
      <c r="FZ33" s="33"/>
      <c r="GA33" s="33"/>
      <c r="GB33" s="33"/>
      <c r="GC33" s="33"/>
      <c r="GD33" s="33"/>
      <c r="GE33" s="33"/>
      <c r="GF33" s="33"/>
      <c r="GG33" s="33"/>
      <c r="GK33" s="29"/>
    </row>
    <row r="34" spans="1:193" ht="15.75" x14ac:dyDescent="0.25">
      <c r="A34" s="19" t="s">
        <v>43</v>
      </c>
      <c r="B34" s="5" t="s">
        <v>25</v>
      </c>
      <c r="C34" s="3">
        <v>249800</v>
      </c>
      <c r="D34" s="3">
        <v>297500</v>
      </c>
      <c r="E34" s="3">
        <v>321410</v>
      </c>
      <c r="F34" s="3">
        <v>318095</v>
      </c>
      <c r="G34" s="3">
        <v>365547</v>
      </c>
      <c r="H34" s="3">
        <v>402401</v>
      </c>
      <c r="I34" s="3">
        <v>435513</v>
      </c>
      <c r="J34" s="3">
        <v>315418</v>
      </c>
      <c r="K34" s="4">
        <v>426864</v>
      </c>
      <c r="L34" s="4">
        <v>378301</v>
      </c>
      <c r="M34" s="4">
        <v>569486</v>
      </c>
      <c r="N34" s="4">
        <v>477612</v>
      </c>
      <c r="O34" s="3">
        <v>537122</v>
      </c>
      <c r="P34" s="3">
        <v>620719</v>
      </c>
      <c r="Q34" s="8"/>
      <c r="R34" s="8"/>
      <c r="S34" s="8"/>
      <c r="T34" s="8"/>
      <c r="U34" s="7"/>
      <c r="V34" s="8"/>
      <c r="W34" s="8"/>
      <c r="X34" s="7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</row>
    <row r="35" spans="1:193" ht="15.75" x14ac:dyDescent="0.25">
      <c r="A35" s="19" t="s">
        <v>44</v>
      </c>
      <c r="B35" s="5" t="s">
        <v>24</v>
      </c>
      <c r="C35" s="3">
        <v>49200</v>
      </c>
      <c r="D35" s="3">
        <v>57100</v>
      </c>
      <c r="E35" s="3">
        <v>53299</v>
      </c>
      <c r="F35" s="3">
        <v>40072</v>
      </c>
      <c r="G35" s="3">
        <v>21498</v>
      </c>
      <c r="H35" s="3">
        <v>19273</v>
      </c>
      <c r="I35" s="3">
        <v>21558</v>
      </c>
      <c r="J35" s="3">
        <v>21620</v>
      </c>
      <c r="K35" s="4">
        <v>27830</v>
      </c>
      <c r="L35" s="4">
        <v>30008</v>
      </c>
      <c r="M35" s="4">
        <v>35951</v>
      </c>
      <c r="N35" s="4">
        <v>39992</v>
      </c>
      <c r="O35" s="3">
        <v>33923</v>
      </c>
      <c r="P35" s="3">
        <v>41928</v>
      </c>
      <c r="Q35" s="8"/>
      <c r="R35" s="8"/>
      <c r="S35" s="8"/>
      <c r="T35" s="8"/>
      <c r="U35" s="7"/>
      <c r="V35" s="8"/>
      <c r="W35" s="8"/>
      <c r="X35" s="7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</row>
    <row r="36" spans="1:193" s="29" customFormat="1" ht="15.75" x14ac:dyDescent="0.25">
      <c r="A36" s="42" t="s">
        <v>45</v>
      </c>
      <c r="B36" s="43" t="s">
        <v>55</v>
      </c>
      <c r="C36" s="37">
        <f>C33+C34-C35</f>
        <v>1681801</v>
      </c>
      <c r="D36" s="37">
        <f t="shared" ref="D36:P36" si="24">D33+D34-D35</f>
        <v>1887545</v>
      </c>
      <c r="E36" s="37">
        <f t="shared" si="24"/>
        <v>2187012</v>
      </c>
      <c r="F36" s="37">
        <f t="shared" si="24"/>
        <v>2257396.2860999997</v>
      </c>
      <c r="G36" s="37">
        <f t="shared" si="24"/>
        <v>2661653.7907000002</v>
      </c>
      <c r="H36" s="37">
        <f t="shared" si="24"/>
        <v>2957265.9077000003</v>
      </c>
      <c r="I36" s="37">
        <f t="shared" si="24"/>
        <v>3212880.2939999998</v>
      </c>
      <c r="J36" s="37">
        <f t="shared" si="24"/>
        <v>3417072.246346517</v>
      </c>
      <c r="K36" s="37">
        <f t="shared" si="24"/>
        <v>3699874.1049902192</v>
      </c>
      <c r="L36" s="37">
        <f t="shared" si="24"/>
        <v>3617958.1051652711</v>
      </c>
      <c r="M36" s="37">
        <f t="shared" si="24"/>
        <v>4090292.1098269308</v>
      </c>
      <c r="N36" s="37">
        <f t="shared" ref="N36" si="25">N33+N34-N35</f>
        <v>4231529.2097512912</v>
      </c>
      <c r="O36" s="37">
        <f t="shared" si="24"/>
        <v>4694498.0663505886</v>
      </c>
      <c r="P36" s="37">
        <f t="shared" si="24"/>
        <v>5216267.1122299302</v>
      </c>
      <c r="Q36" s="8"/>
      <c r="R36" s="8"/>
      <c r="S36" s="8"/>
      <c r="T36" s="8"/>
      <c r="U36" s="7"/>
      <c r="V36" s="8"/>
      <c r="W36" s="8"/>
      <c r="X36" s="7"/>
      <c r="Y36" s="8"/>
      <c r="Z36" s="8"/>
      <c r="AA36" s="8"/>
      <c r="AB36" s="8"/>
      <c r="AC36" s="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  <c r="BO36" s="38"/>
      <c r="BP36" s="38"/>
      <c r="BQ36" s="38"/>
      <c r="BR36" s="38"/>
      <c r="BS36" s="38"/>
      <c r="BT36" s="38"/>
      <c r="BU36" s="38"/>
      <c r="BV36" s="38"/>
      <c r="BW36" s="38"/>
      <c r="BX36" s="38"/>
      <c r="BY36" s="38"/>
      <c r="BZ36" s="38"/>
      <c r="CA36" s="38"/>
      <c r="CB36" s="38"/>
      <c r="CC36" s="38"/>
      <c r="CD36" s="38"/>
      <c r="CE36" s="38"/>
      <c r="CF36" s="38"/>
      <c r="CG36" s="38"/>
      <c r="CH36" s="38"/>
      <c r="CI36" s="38"/>
      <c r="CJ36" s="38"/>
      <c r="CK36" s="38"/>
      <c r="CL36" s="38"/>
      <c r="CM36" s="38"/>
      <c r="CN36" s="38"/>
      <c r="CO36" s="38"/>
      <c r="CP36" s="38"/>
      <c r="CQ36" s="38"/>
      <c r="CR36" s="38"/>
      <c r="CS36" s="38"/>
      <c r="CT36" s="38"/>
      <c r="CU36" s="38"/>
      <c r="CV36" s="38"/>
      <c r="CW36" s="38"/>
      <c r="CX36" s="38"/>
      <c r="CY36" s="38"/>
      <c r="CZ36" s="38"/>
      <c r="DA36" s="38"/>
      <c r="DB36" s="38"/>
      <c r="DC36" s="38"/>
      <c r="DD36" s="38"/>
      <c r="DE36" s="38"/>
      <c r="DF36" s="38"/>
      <c r="DG36" s="38"/>
      <c r="DH36" s="38"/>
      <c r="DI36" s="38"/>
      <c r="DJ36" s="33"/>
      <c r="DK36" s="33"/>
      <c r="DL36" s="33"/>
      <c r="DM36" s="33"/>
      <c r="DN36" s="33"/>
      <c r="DO36" s="33"/>
      <c r="DP36" s="33"/>
      <c r="DQ36" s="33"/>
      <c r="DR36" s="33"/>
      <c r="DS36" s="33"/>
      <c r="DT36" s="33"/>
      <c r="DU36" s="33"/>
      <c r="DV36" s="33"/>
      <c r="DW36" s="33"/>
      <c r="DX36" s="33"/>
      <c r="DY36" s="33"/>
      <c r="DZ36" s="33"/>
      <c r="EA36" s="33"/>
      <c r="EB36" s="33"/>
      <c r="EC36" s="38"/>
      <c r="ED36" s="38"/>
      <c r="EE36" s="38"/>
      <c r="EF36" s="38"/>
      <c r="EG36" s="38"/>
      <c r="EH36" s="38"/>
      <c r="EI36" s="38"/>
      <c r="EJ36" s="38"/>
      <c r="EK36" s="38"/>
      <c r="EL36" s="38"/>
      <c r="EM36" s="38"/>
      <c r="EN36" s="38"/>
      <c r="EO36" s="38"/>
      <c r="EP36" s="38"/>
      <c r="EQ36" s="38"/>
      <c r="ER36" s="38"/>
      <c r="ES36" s="38"/>
      <c r="ET36" s="38"/>
      <c r="EU36" s="38"/>
      <c r="EV36" s="38"/>
      <c r="EW36" s="38"/>
      <c r="EX36" s="38"/>
      <c r="EY36" s="38"/>
      <c r="EZ36" s="38"/>
      <c r="FA36" s="38"/>
      <c r="FB36" s="38"/>
      <c r="FC36" s="38"/>
      <c r="FD36" s="38"/>
      <c r="FE36" s="38"/>
      <c r="FF36" s="38"/>
      <c r="FG36" s="38"/>
      <c r="FH36" s="38"/>
      <c r="FI36" s="38"/>
      <c r="FJ36" s="38"/>
      <c r="FK36" s="38"/>
      <c r="FL36" s="38"/>
      <c r="FM36" s="38"/>
      <c r="FN36" s="38"/>
      <c r="FO36" s="38"/>
      <c r="FP36" s="38"/>
      <c r="FQ36" s="38"/>
      <c r="FR36" s="38"/>
      <c r="FS36" s="38"/>
      <c r="FT36" s="38"/>
      <c r="FU36" s="38"/>
      <c r="FV36" s="38"/>
      <c r="FW36" s="38"/>
      <c r="FX36" s="38"/>
      <c r="FY36" s="38"/>
      <c r="FZ36" s="38"/>
      <c r="GA36" s="38"/>
      <c r="GB36" s="38"/>
      <c r="GC36" s="38"/>
      <c r="GD36" s="38"/>
      <c r="GE36" s="38"/>
      <c r="GF36" s="38"/>
    </row>
    <row r="37" spans="1:193" ht="15.75" x14ac:dyDescent="0.25">
      <c r="A37" s="19" t="s">
        <v>46</v>
      </c>
      <c r="B37" s="5" t="s">
        <v>42</v>
      </c>
      <c r="C37" s="3">
        <v>12670</v>
      </c>
      <c r="D37" s="3">
        <v>13010</v>
      </c>
      <c r="E37" s="3">
        <v>13350</v>
      </c>
      <c r="F37" s="3">
        <v>13710</v>
      </c>
      <c r="G37" s="3">
        <v>14070</v>
      </c>
      <c r="H37" s="3">
        <v>14450</v>
      </c>
      <c r="I37" s="3">
        <v>14840</v>
      </c>
      <c r="J37" s="3">
        <v>15240</v>
      </c>
      <c r="K37" s="4">
        <v>15390</v>
      </c>
      <c r="L37" s="4">
        <v>15570</v>
      </c>
      <c r="M37" s="4">
        <v>15930</v>
      </c>
      <c r="N37" s="4">
        <v>16300</v>
      </c>
      <c r="O37" s="3">
        <v>16670</v>
      </c>
      <c r="P37" s="3">
        <v>17040</v>
      </c>
      <c r="Y37" s="6"/>
      <c r="Z37" s="6"/>
      <c r="AA37" s="6"/>
      <c r="AB37" s="6"/>
    </row>
    <row r="38" spans="1:193" s="29" customFormat="1" ht="15.75" x14ac:dyDescent="0.25">
      <c r="A38" s="42" t="s">
        <v>47</v>
      </c>
      <c r="B38" s="43" t="s">
        <v>58</v>
      </c>
      <c r="C38" s="37">
        <f>C36/C37*1000</f>
        <v>132738.8318863457</v>
      </c>
      <c r="D38" s="37">
        <f t="shared" ref="D38:L38" si="26">D36/D37*1000</f>
        <v>145084.16602613375</v>
      </c>
      <c r="E38" s="37">
        <f t="shared" si="26"/>
        <v>163821.1235955056</v>
      </c>
      <c r="F38" s="37">
        <f t="shared" si="26"/>
        <v>164653.26667396058</v>
      </c>
      <c r="G38" s="37">
        <f t="shared" si="26"/>
        <v>189172.26657427152</v>
      </c>
      <c r="H38" s="37">
        <f t="shared" si="26"/>
        <v>204655.0801176471</v>
      </c>
      <c r="I38" s="37">
        <f t="shared" si="26"/>
        <v>216501.3675202156</v>
      </c>
      <c r="J38" s="37">
        <f t="shared" si="26"/>
        <v>224217.33899911531</v>
      </c>
      <c r="K38" s="37">
        <f t="shared" si="26"/>
        <v>240407.67413841581</v>
      </c>
      <c r="L38" s="37">
        <f t="shared" si="26"/>
        <v>232367.25145570142</v>
      </c>
      <c r="M38" s="37">
        <f>M36/M37*1000</f>
        <v>256766.61078637358</v>
      </c>
      <c r="N38" s="37">
        <f>N36/N37*1000</f>
        <v>259603.01900314671</v>
      </c>
      <c r="O38" s="37">
        <f t="shared" ref="O38:P38" si="27">O36/O37*1000</f>
        <v>281613.56126878154</v>
      </c>
      <c r="P38" s="37">
        <f t="shared" si="27"/>
        <v>306118.96198532451</v>
      </c>
      <c r="Q38" s="2"/>
      <c r="R38" s="2"/>
      <c r="S38" s="2"/>
      <c r="T38" s="2"/>
      <c r="U38" s="6"/>
      <c r="V38" s="2"/>
      <c r="W38" s="2"/>
      <c r="X38" s="7"/>
      <c r="Y38" s="7"/>
      <c r="Z38" s="7"/>
      <c r="AA38" s="7"/>
      <c r="AB38" s="7"/>
      <c r="AC38" s="2"/>
      <c r="CC38" s="38"/>
      <c r="CD38" s="38"/>
      <c r="CE38" s="38"/>
      <c r="CF38" s="38"/>
      <c r="DJ38" s="34"/>
      <c r="DK38" s="34"/>
      <c r="DL38" s="34"/>
      <c r="DM38" s="34"/>
      <c r="DN38" s="34"/>
      <c r="DO38" s="34"/>
      <c r="DP38" s="34"/>
      <c r="DQ38" s="34"/>
      <c r="DR38" s="34"/>
      <c r="DS38" s="34"/>
      <c r="DT38" s="34"/>
      <c r="DU38" s="34"/>
      <c r="DV38" s="34"/>
      <c r="DW38" s="34"/>
      <c r="DX38" s="34"/>
      <c r="DY38" s="34"/>
      <c r="DZ38" s="34"/>
      <c r="EA38" s="34"/>
      <c r="EB38" s="34"/>
    </row>
    <row r="39" spans="1:193" x14ac:dyDescent="0.25">
      <c r="A39" s="2" t="s">
        <v>75</v>
      </c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8" max="1048575" man="1"/>
    <brk id="40" max="1048575" man="1"/>
    <brk id="56" max="1048575" man="1"/>
    <brk id="120" max="95" man="1"/>
    <brk id="156" max="1048575" man="1"/>
    <brk id="180" max="1048575" man="1"/>
    <brk id="188" max="9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G39"/>
  <sheetViews>
    <sheetView zoomScale="136" zoomScaleNormal="136" zoomScaleSheetLayoutView="100" workbookViewId="0">
      <pane xSplit="2" ySplit="5" topLeftCell="C6" activePane="bottomRight" state="frozen"/>
      <selection activeCell="S31" sqref="S31"/>
      <selection pane="topRight" activeCell="S31" sqref="S31"/>
      <selection pane="bottomLeft" activeCell="S31" sqref="S31"/>
      <selection pane="bottomRight" activeCell="F2" sqref="F2"/>
    </sheetView>
  </sheetViews>
  <sheetFormatPr defaultColWidth="8.85546875" defaultRowHeight="15" x14ac:dyDescent="0.25"/>
  <cols>
    <col min="1" max="1" width="11" style="2" customWidth="1"/>
    <col min="2" max="2" width="33" style="2" customWidth="1"/>
    <col min="3" max="6" width="11.140625" style="2" customWidth="1"/>
    <col min="7" max="16" width="11.85546875" style="6" customWidth="1"/>
    <col min="17" max="17" width="11.7109375" style="6" customWidth="1"/>
    <col min="18" max="18" width="9.140625" style="2" customWidth="1"/>
    <col min="19" max="19" width="10.85546875" style="2" customWidth="1"/>
    <col min="20" max="20" width="10.85546875" style="6" customWidth="1"/>
    <col min="21" max="21" width="11" style="2" customWidth="1"/>
    <col min="22" max="24" width="11.42578125" style="2" customWidth="1"/>
    <col min="25" max="52" width="9.140625" style="2" customWidth="1"/>
    <col min="53" max="53" width="12.42578125" style="2" customWidth="1"/>
    <col min="54" max="75" width="9.140625" style="2" customWidth="1"/>
    <col min="76" max="76" width="12.140625" style="2" customWidth="1"/>
    <col min="77" max="80" width="9.140625" style="2" customWidth="1"/>
    <col min="81" max="85" width="9.140625" style="2" hidden="1" customWidth="1"/>
    <col min="86" max="86" width="9.140625" style="2" customWidth="1"/>
    <col min="87" max="91" width="9.140625" style="2" hidden="1" customWidth="1"/>
    <col min="92" max="92" width="9.140625" style="2" customWidth="1"/>
    <col min="93" max="97" width="9.140625" style="2" hidden="1" customWidth="1"/>
    <col min="98" max="98" width="9.140625" style="2" customWidth="1"/>
    <col min="99" max="103" width="9.140625" style="2" hidden="1" customWidth="1"/>
    <col min="104" max="104" width="9.140625" style="2" customWidth="1"/>
    <col min="105" max="109" width="9.140625" style="2" hidden="1" customWidth="1"/>
    <col min="110" max="110" width="9.140625" style="6" customWidth="1"/>
    <col min="111" max="115" width="9.140625" style="6" hidden="1" customWidth="1"/>
    <col min="116" max="116" width="9.140625" style="6" customWidth="1"/>
    <col min="117" max="121" width="9.140625" style="6" hidden="1" customWidth="1"/>
    <col min="122" max="122" width="9.140625" style="6" customWidth="1"/>
    <col min="123" max="127" width="9.140625" style="6" hidden="1" customWidth="1"/>
    <col min="128" max="128" width="9.140625" style="6" customWidth="1"/>
    <col min="129" max="158" width="9.140625" style="2" customWidth="1"/>
    <col min="159" max="159" width="9.140625" style="2" hidden="1" customWidth="1"/>
    <col min="160" max="167" width="9.140625" style="2" customWidth="1"/>
    <col min="168" max="168" width="9.140625" style="2" hidden="1" customWidth="1"/>
    <col min="169" max="173" width="9.140625" style="2" customWidth="1"/>
    <col min="174" max="174" width="9.140625" style="2" hidden="1" customWidth="1"/>
    <col min="175" max="184" width="9.140625" style="2" customWidth="1"/>
    <col min="185" max="185" width="9.140625" style="2"/>
    <col min="186" max="188" width="8.85546875" style="2"/>
    <col min="189" max="189" width="12.7109375" style="2" bestFit="1" customWidth="1"/>
    <col min="190" max="16384" width="8.85546875" style="2"/>
  </cols>
  <sheetData>
    <row r="1" spans="1:189" ht="18.75" x14ac:dyDescent="0.3">
      <c r="A1" s="2" t="s">
        <v>53</v>
      </c>
      <c r="B1" s="21" t="s">
        <v>66</v>
      </c>
      <c r="S1" s="7"/>
    </row>
    <row r="2" spans="1:189" ht="15.75" x14ac:dyDescent="0.25">
      <c r="A2" s="11" t="s">
        <v>49</v>
      </c>
      <c r="I2" s="7" t="str">
        <f>[1]GSVA_cur!$I$3</f>
        <v>01.08.2025</v>
      </c>
      <c r="J2" s="7"/>
      <c r="K2" s="7"/>
      <c r="L2" s="7"/>
      <c r="M2" s="7"/>
      <c r="N2" s="7"/>
      <c r="O2" s="7"/>
      <c r="P2" s="7"/>
    </row>
    <row r="3" spans="1:189" ht="15.75" x14ac:dyDescent="0.25">
      <c r="A3" s="11"/>
      <c r="B3" s="29"/>
    </row>
    <row r="4" spans="1:189" ht="15.75" x14ac:dyDescent="0.25">
      <c r="A4" s="11"/>
      <c r="E4" s="10"/>
      <c r="F4" s="10" t="s">
        <v>57</v>
      </c>
    </row>
    <row r="5" spans="1:189" ht="15.75" x14ac:dyDescent="0.25">
      <c r="A5" s="12" t="s">
        <v>0</v>
      </c>
      <c r="B5" s="13" t="s">
        <v>1</v>
      </c>
      <c r="C5" s="3" t="s">
        <v>21</v>
      </c>
      <c r="D5" s="3" t="s">
        <v>22</v>
      </c>
      <c r="E5" s="3" t="s">
        <v>23</v>
      </c>
      <c r="F5" s="3" t="s">
        <v>56</v>
      </c>
      <c r="G5" s="20" t="s">
        <v>65</v>
      </c>
      <c r="H5" s="20" t="s">
        <v>67</v>
      </c>
      <c r="I5" s="20" t="s">
        <v>68</v>
      </c>
      <c r="J5" s="20" t="s">
        <v>69</v>
      </c>
      <c r="K5" s="20" t="s">
        <v>70</v>
      </c>
      <c r="L5" s="20" t="s">
        <v>71</v>
      </c>
      <c r="M5" s="28" t="s">
        <v>72</v>
      </c>
      <c r="N5" s="28" t="s">
        <v>73</v>
      </c>
      <c r="O5" s="28" t="s">
        <v>74</v>
      </c>
      <c r="P5" s="28" t="s">
        <v>76</v>
      </c>
    </row>
    <row r="6" spans="1:189" s="34" customFormat="1" ht="15.75" x14ac:dyDescent="0.25">
      <c r="A6" s="30" t="s">
        <v>26</v>
      </c>
      <c r="B6" s="31" t="s">
        <v>2</v>
      </c>
      <c r="C6" s="32">
        <f>SUM(C7:C10)</f>
        <v>75378</v>
      </c>
      <c r="D6" s="32">
        <f t="shared" ref="D6:O6" si="0">SUM(D7:D10)</f>
        <v>79263</v>
      </c>
      <c r="E6" s="32">
        <f t="shared" si="0"/>
        <v>80607</v>
      </c>
      <c r="F6" s="32">
        <f t="shared" si="0"/>
        <v>89146.734096109838</v>
      </c>
      <c r="G6" s="32">
        <f t="shared" si="0"/>
        <v>83166.328187156658</v>
      </c>
      <c r="H6" s="32">
        <f t="shared" si="0"/>
        <v>83802.801073244205</v>
      </c>
      <c r="I6" s="32">
        <f t="shared" si="0"/>
        <v>89387.336029491475</v>
      </c>
      <c r="J6" s="32">
        <f t="shared" si="0"/>
        <v>91601.611632403568</v>
      </c>
      <c r="K6" s="32">
        <f t="shared" si="0"/>
        <v>89987.68649425148</v>
      </c>
      <c r="L6" s="32">
        <f t="shared" si="0"/>
        <v>84994.18012907356</v>
      </c>
      <c r="M6" s="32">
        <f t="shared" si="0"/>
        <v>95566.996811764693</v>
      </c>
      <c r="N6" s="32">
        <f t="shared" ref="N6" si="1">SUM(N7:N10)</f>
        <v>95966.106309526629</v>
      </c>
      <c r="O6" s="32">
        <f t="shared" si="0"/>
        <v>98626.451296667859</v>
      </c>
      <c r="P6" s="32">
        <f t="shared" ref="P6" si="2">SUM(P7:P10)</f>
        <v>103294.94009332101</v>
      </c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G6" s="29"/>
    </row>
    <row r="7" spans="1:189" ht="15.75" x14ac:dyDescent="0.25">
      <c r="A7" s="16">
        <v>1.1000000000000001</v>
      </c>
      <c r="B7" s="17" t="s">
        <v>59</v>
      </c>
      <c r="C7" s="4">
        <v>20453</v>
      </c>
      <c r="D7" s="4">
        <v>23323</v>
      </c>
      <c r="E7" s="4">
        <v>23707</v>
      </c>
      <c r="F7" s="4">
        <v>27093</v>
      </c>
      <c r="G7" s="4">
        <v>21441.432941845047</v>
      </c>
      <c r="H7" s="4">
        <v>20948.63208435323</v>
      </c>
      <c r="I7" s="4">
        <v>21645.379473454785</v>
      </c>
      <c r="J7" s="4">
        <v>23433.391525702085</v>
      </c>
      <c r="K7" s="4">
        <v>23585.532727724007</v>
      </c>
      <c r="L7" s="4">
        <v>21754.970210975433</v>
      </c>
      <c r="M7" s="4">
        <v>31062.940200278274</v>
      </c>
      <c r="N7" s="4">
        <v>23196.138325218617</v>
      </c>
      <c r="O7" s="4">
        <v>23559.282410482607</v>
      </c>
      <c r="P7" s="4">
        <v>23776.190950610919</v>
      </c>
      <c r="Q7" s="7"/>
      <c r="R7" s="8"/>
      <c r="S7" s="8"/>
      <c r="T7" s="7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6"/>
      <c r="GE7" s="6"/>
      <c r="GF7" s="6"/>
    </row>
    <row r="8" spans="1:189" ht="15.75" x14ac:dyDescent="0.25">
      <c r="A8" s="16">
        <v>1.2</v>
      </c>
      <c r="B8" s="17" t="s">
        <v>60</v>
      </c>
      <c r="C8" s="4">
        <v>32214</v>
      </c>
      <c r="D8" s="4">
        <v>33368</v>
      </c>
      <c r="E8" s="4">
        <v>33991</v>
      </c>
      <c r="F8" s="4">
        <v>36395</v>
      </c>
      <c r="G8" s="4">
        <v>34713.599071793898</v>
      </c>
      <c r="H8" s="4">
        <v>35403.746093014495</v>
      </c>
      <c r="I8" s="4">
        <v>37118.125885596564</v>
      </c>
      <c r="J8" s="4">
        <v>35596.234685498443</v>
      </c>
      <c r="K8" s="4">
        <v>35601.240521573367</v>
      </c>
      <c r="L8" s="4">
        <v>35526.605892815474</v>
      </c>
      <c r="M8" s="4">
        <v>35655.352145845645</v>
      </c>
      <c r="N8" s="4">
        <v>45540.136650622517</v>
      </c>
      <c r="O8" s="4">
        <v>47458.895854615206</v>
      </c>
      <c r="P8" s="4">
        <v>49452.912069140548</v>
      </c>
      <c r="Q8" s="7"/>
      <c r="R8" s="8"/>
      <c r="S8" s="8"/>
      <c r="T8" s="7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6"/>
      <c r="GE8" s="6"/>
      <c r="GF8" s="6"/>
    </row>
    <row r="9" spans="1:189" ht="15.75" x14ac:dyDescent="0.25">
      <c r="A9" s="16">
        <v>1.3</v>
      </c>
      <c r="B9" s="17" t="s">
        <v>61</v>
      </c>
      <c r="C9" s="4">
        <v>3319</v>
      </c>
      <c r="D9" s="4">
        <v>3082</v>
      </c>
      <c r="E9" s="4">
        <v>2879</v>
      </c>
      <c r="F9" s="4">
        <v>2899</v>
      </c>
      <c r="G9" s="4">
        <v>2600.9121992801665</v>
      </c>
      <c r="H9" s="4">
        <v>3998.0050837883637</v>
      </c>
      <c r="I9" s="4">
        <v>3928.8211180124222</v>
      </c>
      <c r="J9" s="4">
        <v>3917.6518675566936</v>
      </c>
      <c r="K9" s="4">
        <v>4081.2727002203933</v>
      </c>
      <c r="L9" s="4">
        <v>4299.8240205957991</v>
      </c>
      <c r="M9" s="4">
        <v>4428.5023666174393</v>
      </c>
      <c r="N9" s="4">
        <v>4979.9280285106815</v>
      </c>
      <c r="O9" s="4">
        <v>5599.551506112367</v>
      </c>
      <c r="P9" s="4">
        <v>6295.7579920730977</v>
      </c>
      <c r="Q9" s="7"/>
      <c r="R9" s="8"/>
      <c r="S9" s="8"/>
      <c r="T9" s="7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6"/>
      <c r="GE9" s="6"/>
      <c r="GF9" s="6"/>
    </row>
    <row r="10" spans="1:189" ht="15.75" x14ac:dyDescent="0.25">
      <c r="A10" s="16">
        <v>1.4</v>
      </c>
      <c r="B10" s="17" t="s">
        <v>62</v>
      </c>
      <c r="C10" s="4">
        <v>19392</v>
      </c>
      <c r="D10" s="4">
        <v>19490</v>
      </c>
      <c r="E10" s="4">
        <v>20030</v>
      </c>
      <c r="F10" s="4">
        <v>22759.734096109842</v>
      </c>
      <c r="G10" s="4">
        <v>24410.383974237546</v>
      </c>
      <c r="H10" s="4">
        <v>23452.417812088119</v>
      </c>
      <c r="I10" s="4">
        <v>26695.009552427713</v>
      </c>
      <c r="J10" s="4">
        <v>28654.333553646353</v>
      </c>
      <c r="K10" s="4">
        <v>26719.640544733713</v>
      </c>
      <c r="L10" s="4">
        <v>23412.780004686847</v>
      </c>
      <c r="M10" s="4">
        <v>24420.202099023325</v>
      </c>
      <c r="N10" s="4">
        <v>22249.903305174819</v>
      </c>
      <c r="O10" s="4">
        <v>22008.721525457666</v>
      </c>
      <c r="P10" s="4">
        <v>23770.079081496453</v>
      </c>
      <c r="Q10" s="7"/>
      <c r="R10" s="8"/>
      <c r="S10" s="8"/>
      <c r="T10" s="7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6"/>
      <c r="GE10" s="6"/>
      <c r="GF10" s="6"/>
    </row>
    <row r="11" spans="1:189" ht="15.75" x14ac:dyDescent="0.25">
      <c r="A11" s="18" t="s">
        <v>31</v>
      </c>
      <c r="B11" s="17" t="s">
        <v>3</v>
      </c>
      <c r="C11" s="4">
        <v>25362</v>
      </c>
      <c r="D11" s="4">
        <v>33443</v>
      </c>
      <c r="E11" s="4">
        <v>25097</v>
      </c>
      <c r="F11" s="4">
        <v>29144</v>
      </c>
      <c r="G11" s="4">
        <v>31891.28925932942</v>
      </c>
      <c r="H11" s="4">
        <v>41796.845038599131</v>
      </c>
      <c r="I11" s="4">
        <v>53810.816237799467</v>
      </c>
      <c r="J11" s="4">
        <v>50409.931434203536</v>
      </c>
      <c r="K11" s="4">
        <v>51171.305402300539</v>
      </c>
      <c r="L11" s="4">
        <v>46371.223051971676</v>
      </c>
      <c r="M11" s="4">
        <v>49671.135579491223</v>
      </c>
      <c r="N11" s="4">
        <v>45361.523175496419</v>
      </c>
      <c r="O11" s="4">
        <v>40672.617658006631</v>
      </c>
      <c r="P11" s="4">
        <v>36441.837296003403</v>
      </c>
      <c r="Q11" s="7"/>
      <c r="R11" s="8"/>
      <c r="S11" s="8"/>
      <c r="T11" s="7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6"/>
      <c r="GE11" s="6"/>
      <c r="GF11" s="6"/>
    </row>
    <row r="12" spans="1:189" s="29" customFormat="1" ht="15.75" x14ac:dyDescent="0.25">
      <c r="A12" s="35"/>
      <c r="B12" s="36" t="s">
        <v>28</v>
      </c>
      <c r="C12" s="37">
        <f>C6+C11</f>
        <v>100740</v>
      </c>
      <c r="D12" s="37">
        <f t="shared" ref="D12:P12" si="3">D6+D11</f>
        <v>112706</v>
      </c>
      <c r="E12" s="37">
        <f t="shared" si="3"/>
        <v>105704</v>
      </c>
      <c r="F12" s="37">
        <f t="shared" si="3"/>
        <v>118290.73409610984</v>
      </c>
      <c r="G12" s="37">
        <f t="shared" si="3"/>
        <v>115057.61744648608</v>
      </c>
      <c r="H12" s="37">
        <f t="shared" si="3"/>
        <v>125599.64611184334</v>
      </c>
      <c r="I12" s="37">
        <f t="shared" si="3"/>
        <v>143198.15226729095</v>
      </c>
      <c r="J12" s="37">
        <f t="shared" si="3"/>
        <v>142011.54306660709</v>
      </c>
      <c r="K12" s="37">
        <f t="shared" si="3"/>
        <v>141158.99189655203</v>
      </c>
      <c r="L12" s="37">
        <f t="shared" si="3"/>
        <v>131365.40318104523</v>
      </c>
      <c r="M12" s="37">
        <f t="shared" si="3"/>
        <v>145238.13239125593</v>
      </c>
      <c r="N12" s="37">
        <f t="shared" ref="N12" si="4">N6+N11</f>
        <v>141327.62948502303</v>
      </c>
      <c r="O12" s="37">
        <f t="shared" si="3"/>
        <v>139299.0689546745</v>
      </c>
      <c r="P12" s="37">
        <f t="shared" si="3"/>
        <v>139736.77738932442</v>
      </c>
      <c r="Q12" s="7"/>
      <c r="R12" s="8"/>
      <c r="S12" s="8"/>
      <c r="T12" s="7"/>
      <c r="U12" s="8"/>
      <c r="V12" s="8"/>
      <c r="W12" s="8"/>
      <c r="X12" s="8"/>
      <c r="Y12" s="8"/>
      <c r="Z12" s="8"/>
      <c r="AA12" s="8"/>
      <c r="AB12" s="8"/>
      <c r="AC12" s="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  <c r="EY12" s="38"/>
      <c r="EZ12" s="38"/>
      <c r="FA12" s="38"/>
      <c r="FB12" s="38"/>
      <c r="FC12" s="38"/>
      <c r="FD12" s="38"/>
      <c r="FE12" s="38"/>
      <c r="FF12" s="38"/>
      <c r="FG12" s="38"/>
      <c r="FH12" s="38"/>
      <c r="FI12" s="38"/>
      <c r="FJ12" s="38"/>
      <c r="FK12" s="38"/>
      <c r="FL12" s="38"/>
      <c r="FM12" s="38"/>
      <c r="FN12" s="38"/>
      <c r="FO12" s="38"/>
      <c r="FP12" s="38"/>
      <c r="FQ12" s="38"/>
      <c r="FR12" s="38"/>
      <c r="FS12" s="38"/>
      <c r="FT12" s="38"/>
      <c r="FU12" s="38"/>
      <c r="FV12" s="38"/>
      <c r="FW12" s="38"/>
      <c r="FX12" s="38"/>
      <c r="FY12" s="38"/>
      <c r="FZ12" s="38"/>
      <c r="GA12" s="38"/>
      <c r="GB12" s="38"/>
      <c r="GC12" s="38"/>
      <c r="GD12" s="34"/>
      <c r="GE12" s="34"/>
      <c r="GF12" s="34"/>
    </row>
    <row r="13" spans="1:189" s="6" customFormat="1" ht="15.75" x14ac:dyDescent="0.25">
      <c r="A13" s="14" t="s">
        <v>32</v>
      </c>
      <c r="B13" s="15" t="s">
        <v>4</v>
      </c>
      <c r="C13" s="1">
        <v>427827.00000000006</v>
      </c>
      <c r="D13" s="1">
        <v>415760.00000000006</v>
      </c>
      <c r="E13" s="1">
        <v>543613</v>
      </c>
      <c r="F13" s="1">
        <v>418220</v>
      </c>
      <c r="G13" s="1">
        <v>485687.85309717752</v>
      </c>
      <c r="H13" s="1">
        <v>509426.75729617773</v>
      </c>
      <c r="I13" s="1">
        <v>557856.58740017749</v>
      </c>
      <c r="J13" s="1">
        <v>983956.82575135492</v>
      </c>
      <c r="K13" s="1">
        <v>859318.34732489556</v>
      </c>
      <c r="L13" s="1">
        <v>861034.51618666446</v>
      </c>
      <c r="M13" s="1">
        <v>658695.51350878715</v>
      </c>
      <c r="N13" s="1">
        <v>554150.89121590299</v>
      </c>
      <c r="O13" s="1">
        <v>608369.90504756791</v>
      </c>
      <c r="P13" s="1">
        <v>662857.56899353978</v>
      </c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G13" s="2"/>
    </row>
    <row r="14" spans="1:189" ht="30" x14ac:dyDescent="0.25">
      <c r="A14" s="18" t="s">
        <v>33</v>
      </c>
      <c r="B14" s="17" t="s">
        <v>5</v>
      </c>
      <c r="C14" s="4">
        <v>22711</v>
      </c>
      <c r="D14" s="4">
        <v>24241</v>
      </c>
      <c r="E14" s="4">
        <v>26536</v>
      </c>
      <c r="F14" s="4">
        <v>20532</v>
      </c>
      <c r="G14" s="4">
        <v>19931.469028225041</v>
      </c>
      <c r="H14" s="4">
        <v>22691.093673507814</v>
      </c>
      <c r="I14" s="4">
        <v>24606</v>
      </c>
      <c r="J14" s="4">
        <v>24001.177040564951</v>
      </c>
      <c r="K14" s="1">
        <v>26310.71357119297</v>
      </c>
      <c r="L14" s="1">
        <v>25500.790774752288</v>
      </c>
      <c r="M14" s="1">
        <v>28088.877249283923</v>
      </c>
      <c r="N14" s="1">
        <v>29053.535141159122</v>
      </c>
      <c r="O14" s="4">
        <v>31658.317518300693</v>
      </c>
      <c r="P14" s="4">
        <v>33672.550298418835</v>
      </c>
      <c r="Q14" s="7"/>
      <c r="R14" s="8"/>
      <c r="S14" s="8"/>
      <c r="T14" s="7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7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7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7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6"/>
      <c r="GE14" s="6"/>
      <c r="GF14" s="6"/>
    </row>
    <row r="15" spans="1:189" ht="15.75" x14ac:dyDescent="0.25">
      <c r="A15" s="18" t="s">
        <v>34</v>
      </c>
      <c r="B15" s="17" t="s">
        <v>6</v>
      </c>
      <c r="C15" s="4">
        <v>244130.00000000003</v>
      </c>
      <c r="D15" s="4">
        <v>219651.00000000003</v>
      </c>
      <c r="E15" s="4">
        <v>264719</v>
      </c>
      <c r="F15" s="4">
        <v>230941</v>
      </c>
      <c r="G15" s="4">
        <v>232623.50464103051</v>
      </c>
      <c r="H15" s="4">
        <v>252052.30013180192</v>
      </c>
      <c r="I15" s="4">
        <v>296621.56046529638</v>
      </c>
      <c r="J15" s="4">
        <v>313715.84907209722</v>
      </c>
      <c r="K15" s="4">
        <v>344904.66495835519</v>
      </c>
      <c r="L15" s="4">
        <v>291654.85496017989</v>
      </c>
      <c r="M15" s="4">
        <v>352252.88289380079</v>
      </c>
      <c r="N15" s="4">
        <v>492464.00659922737</v>
      </c>
      <c r="O15" s="4">
        <v>547517.32347550453</v>
      </c>
      <c r="P15" s="4">
        <v>607089.04796239443</v>
      </c>
      <c r="Q15" s="7"/>
      <c r="R15" s="8"/>
      <c r="S15" s="8"/>
      <c r="T15" s="7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7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7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7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6"/>
      <c r="GE15" s="6"/>
      <c r="GF15" s="6"/>
    </row>
    <row r="16" spans="1:189" s="29" customFormat="1" ht="15.75" x14ac:dyDescent="0.25">
      <c r="A16" s="35"/>
      <c r="B16" s="36" t="s">
        <v>29</v>
      </c>
      <c r="C16" s="37">
        <f>+C13+C14+C15</f>
        <v>694668.00000000012</v>
      </c>
      <c r="D16" s="37">
        <f t="shared" ref="D16:M16" si="5">+D13+D14+D15</f>
        <v>659652.00000000012</v>
      </c>
      <c r="E16" s="37">
        <f t="shared" si="5"/>
        <v>834868</v>
      </c>
      <c r="F16" s="37">
        <f t="shared" si="5"/>
        <v>669693</v>
      </c>
      <c r="G16" s="37">
        <f t="shared" si="5"/>
        <v>738242.82676643308</v>
      </c>
      <c r="H16" s="37">
        <f t="shared" si="5"/>
        <v>784170.15110148746</v>
      </c>
      <c r="I16" s="37">
        <f t="shared" si="5"/>
        <v>879084.14786547387</v>
      </c>
      <c r="J16" s="37">
        <f t="shared" si="5"/>
        <v>1321673.8518640171</v>
      </c>
      <c r="K16" s="37">
        <f t="shared" si="5"/>
        <v>1230533.7258544436</v>
      </c>
      <c r="L16" s="37">
        <f t="shared" si="5"/>
        <v>1178190.1619215966</v>
      </c>
      <c r="M16" s="37">
        <f t="shared" si="5"/>
        <v>1039037.2736518718</v>
      </c>
      <c r="N16" s="37">
        <f t="shared" ref="N16" si="6">+N13+N14+N15</f>
        <v>1075668.4329562895</v>
      </c>
      <c r="O16" s="37">
        <f t="shared" ref="O16:P16" si="7">+O13+O14+O15</f>
        <v>1187545.5460413732</v>
      </c>
      <c r="P16" s="37">
        <f t="shared" si="7"/>
        <v>1303619.1672543529</v>
      </c>
      <c r="Q16" s="7"/>
      <c r="R16" s="8"/>
      <c r="S16" s="8"/>
      <c r="T16" s="7"/>
      <c r="U16" s="8"/>
      <c r="V16" s="8"/>
      <c r="W16" s="8"/>
      <c r="X16" s="8"/>
      <c r="Y16" s="8"/>
      <c r="Z16" s="8"/>
      <c r="AA16" s="8"/>
      <c r="AB16" s="8"/>
      <c r="AC16" s="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3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3"/>
      <c r="EQ16" s="38"/>
      <c r="ER16" s="38"/>
      <c r="ES16" s="38"/>
      <c r="ET16" s="38"/>
      <c r="EU16" s="38"/>
      <c r="EV16" s="38"/>
      <c r="EW16" s="38"/>
      <c r="EX16" s="38"/>
      <c r="EY16" s="38"/>
      <c r="EZ16" s="38"/>
      <c r="FA16" s="38"/>
      <c r="FB16" s="38"/>
      <c r="FC16" s="38"/>
      <c r="FD16" s="38"/>
      <c r="FE16" s="38"/>
      <c r="FF16" s="38"/>
      <c r="FG16" s="38"/>
      <c r="FH16" s="38"/>
      <c r="FI16" s="38"/>
      <c r="FJ16" s="38"/>
      <c r="FK16" s="38"/>
      <c r="FL16" s="38"/>
      <c r="FM16" s="38"/>
      <c r="FN16" s="33"/>
      <c r="FO16" s="38"/>
      <c r="FP16" s="38"/>
      <c r="FQ16" s="38"/>
      <c r="FR16" s="38"/>
      <c r="FS16" s="38"/>
      <c r="FT16" s="38"/>
      <c r="FU16" s="38"/>
      <c r="FV16" s="38"/>
      <c r="FW16" s="38"/>
      <c r="FX16" s="38"/>
      <c r="FY16" s="38"/>
      <c r="FZ16" s="38"/>
      <c r="GA16" s="38"/>
      <c r="GB16" s="38"/>
      <c r="GC16" s="38"/>
      <c r="GD16" s="34"/>
      <c r="GE16" s="34"/>
      <c r="GF16" s="34"/>
    </row>
    <row r="17" spans="1:189" s="34" customFormat="1" ht="30" x14ac:dyDescent="0.25">
      <c r="A17" s="30" t="s">
        <v>35</v>
      </c>
      <c r="B17" s="31" t="s">
        <v>7</v>
      </c>
      <c r="C17" s="32">
        <f>C18+C19</f>
        <v>147477</v>
      </c>
      <c r="D17" s="32">
        <f t="shared" ref="D17:M17" si="8">D18+D19</f>
        <v>174572</v>
      </c>
      <c r="E17" s="32">
        <f t="shared" si="8"/>
        <v>165482</v>
      </c>
      <c r="F17" s="32">
        <f t="shared" si="8"/>
        <v>174562</v>
      </c>
      <c r="G17" s="32">
        <f t="shared" si="8"/>
        <v>155361.69009282062</v>
      </c>
      <c r="H17" s="32">
        <f t="shared" si="8"/>
        <v>157358.09668612314</v>
      </c>
      <c r="I17" s="32">
        <f t="shared" si="8"/>
        <v>160976.934338953</v>
      </c>
      <c r="J17" s="32">
        <f t="shared" si="8"/>
        <v>170228.06084742979</v>
      </c>
      <c r="K17" s="32">
        <f t="shared" si="8"/>
        <v>166241.07095387537</v>
      </c>
      <c r="L17" s="32">
        <f t="shared" si="8"/>
        <v>116410.66482145984</v>
      </c>
      <c r="M17" s="32">
        <f t="shared" si="8"/>
        <v>133252.27340010216</v>
      </c>
      <c r="N17" s="32">
        <f t="shared" ref="N17" si="9">N18+N19</f>
        <v>149812.36901502957</v>
      </c>
      <c r="O17" s="32">
        <f t="shared" ref="O17:P17" si="10">O18+O19</f>
        <v>147414.87711035504</v>
      </c>
      <c r="P17" s="32">
        <f t="shared" si="10"/>
        <v>145485.59498273258</v>
      </c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/>
      <c r="EQ17" s="33"/>
      <c r="ER17" s="33"/>
      <c r="ES17" s="33"/>
      <c r="ET17" s="33"/>
      <c r="EU17" s="33"/>
      <c r="EV17" s="33"/>
      <c r="EW17" s="33"/>
      <c r="EX17" s="33"/>
      <c r="EY17" s="33"/>
      <c r="EZ17" s="33"/>
      <c r="FA17" s="33"/>
      <c r="FB17" s="33"/>
      <c r="FC17" s="33"/>
      <c r="FD17" s="33"/>
      <c r="FE17" s="33"/>
      <c r="FF17" s="33"/>
      <c r="FG17" s="33"/>
      <c r="FH17" s="33"/>
      <c r="FI17" s="33"/>
      <c r="FJ17" s="33"/>
      <c r="FK17" s="33"/>
      <c r="FL17" s="33"/>
      <c r="FM17" s="33"/>
      <c r="FN17" s="33"/>
      <c r="FO17" s="33"/>
      <c r="FP17" s="33"/>
      <c r="FQ17" s="33"/>
      <c r="FR17" s="33"/>
      <c r="FS17" s="33"/>
      <c r="FT17" s="33"/>
      <c r="FU17" s="33"/>
      <c r="FV17" s="33"/>
      <c r="FW17" s="33"/>
      <c r="FX17" s="33"/>
      <c r="FY17" s="33"/>
      <c r="FZ17" s="33"/>
      <c r="GA17" s="33"/>
      <c r="GB17" s="33"/>
      <c r="GC17" s="33"/>
      <c r="GG17" s="29"/>
    </row>
    <row r="18" spans="1:189" ht="15.75" x14ac:dyDescent="0.25">
      <c r="A18" s="16">
        <v>6.1</v>
      </c>
      <c r="B18" s="17" t="s">
        <v>8</v>
      </c>
      <c r="C18" s="4">
        <v>127194</v>
      </c>
      <c r="D18" s="4">
        <v>154007</v>
      </c>
      <c r="E18" s="4">
        <v>144685</v>
      </c>
      <c r="F18" s="4">
        <v>152733</v>
      </c>
      <c r="G18" s="4">
        <v>136159.69009282062</v>
      </c>
      <c r="H18" s="4">
        <v>138209.01751082658</v>
      </c>
      <c r="I18" s="4">
        <v>141577.01818988466</v>
      </c>
      <c r="J18" s="4">
        <v>149904.90154376745</v>
      </c>
      <c r="K18" s="4">
        <v>146201.49888213322</v>
      </c>
      <c r="L18" s="4">
        <v>107053.63442806809</v>
      </c>
      <c r="M18" s="4">
        <v>120144.44631441624</v>
      </c>
      <c r="N18" s="4">
        <v>128646.14640247668</v>
      </c>
      <c r="O18" s="4">
        <v>124830.59757710644</v>
      </c>
      <c r="P18" s="4">
        <v>121403.78888065746</v>
      </c>
      <c r="Q18" s="7"/>
      <c r="R18" s="8"/>
      <c r="S18" s="8"/>
      <c r="T18" s="7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6"/>
      <c r="GE18" s="6"/>
      <c r="GF18" s="6"/>
    </row>
    <row r="19" spans="1:189" ht="15.75" x14ac:dyDescent="0.25">
      <c r="A19" s="16">
        <v>6.2</v>
      </c>
      <c r="B19" s="17" t="s">
        <v>9</v>
      </c>
      <c r="C19" s="4">
        <v>20283</v>
      </c>
      <c r="D19" s="4">
        <v>20565</v>
      </c>
      <c r="E19" s="4">
        <v>20797</v>
      </c>
      <c r="F19" s="4">
        <v>21829</v>
      </c>
      <c r="G19" s="4">
        <v>19202</v>
      </c>
      <c r="H19" s="4">
        <v>19149.079175296552</v>
      </c>
      <c r="I19" s="4">
        <v>19399.916149068322</v>
      </c>
      <c r="J19" s="4">
        <v>20323.159303662342</v>
      </c>
      <c r="K19" s="4">
        <v>20039.572071742143</v>
      </c>
      <c r="L19" s="4">
        <v>9357.0303933917476</v>
      </c>
      <c r="M19" s="4">
        <v>13107.82708568592</v>
      </c>
      <c r="N19" s="4">
        <v>21166.222612552905</v>
      </c>
      <c r="O19" s="4">
        <v>22584.279533248588</v>
      </c>
      <c r="P19" s="4">
        <v>24081.806102075119</v>
      </c>
      <c r="Q19" s="7"/>
      <c r="R19" s="8"/>
      <c r="S19" s="8"/>
      <c r="T19" s="7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6"/>
      <c r="GE19" s="6"/>
      <c r="GF19" s="6"/>
    </row>
    <row r="20" spans="1:189" s="34" customFormat="1" ht="30" x14ac:dyDescent="0.25">
      <c r="A20" s="39" t="s">
        <v>36</v>
      </c>
      <c r="B20" s="40" t="s">
        <v>10</v>
      </c>
      <c r="C20" s="32">
        <f>SUM(C21:C27)</f>
        <v>67419</v>
      </c>
      <c r="D20" s="32">
        <f t="shared" ref="D20:M20" si="11">SUM(D21:D27)</f>
        <v>70566</v>
      </c>
      <c r="E20" s="32">
        <f t="shared" si="11"/>
        <v>73995</v>
      </c>
      <c r="F20" s="32">
        <f t="shared" si="11"/>
        <v>76307.513043478262</v>
      </c>
      <c r="G20" s="32">
        <f t="shared" si="11"/>
        <v>81108.421291911334</v>
      </c>
      <c r="H20" s="32">
        <f t="shared" si="11"/>
        <v>88652.182074938813</v>
      </c>
      <c r="I20" s="32">
        <f t="shared" si="11"/>
        <v>88461.321295474714</v>
      </c>
      <c r="J20" s="32">
        <f t="shared" si="11"/>
        <v>86773.076531922663</v>
      </c>
      <c r="K20" s="32">
        <f t="shared" si="11"/>
        <v>92201.265453033819</v>
      </c>
      <c r="L20" s="32">
        <f t="shared" si="11"/>
        <v>69405.658540440229</v>
      </c>
      <c r="M20" s="32">
        <f t="shared" si="11"/>
        <v>85181.985941351944</v>
      </c>
      <c r="N20" s="32">
        <f t="shared" ref="N20:P20" si="12">SUM(N21:N27)</f>
        <v>96229.419013342063</v>
      </c>
      <c r="O20" s="32">
        <f t="shared" si="12"/>
        <v>100106.71891668587</v>
      </c>
      <c r="P20" s="32">
        <f t="shared" si="12"/>
        <v>104356.20506574221</v>
      </c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3"/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3"/>
      <c r="DJ20" s="33"/>
      <c r="DK20" s="33"/>
      <c r="DL20" s="33"/>
      <c r="DM20" s="33"/>
      <c r="DN20" s="33"/>
      <c r="DO20" s="33"/>
      <c r="DP20" s="33"/>
      <c r="DQ20" s="33"/>
      <c r="DR20" s="33"/>
      <c r="DS20" s="33"/>
      <c r="DT20" s="33"/>
      <c r="DU20" s="33"/>
      <c r="DV20" s="33"/>
      <c r="DW20" s="33"/>
      <c r="DX20" s="33"/>
      <c r="DY20" s="33"/>
      <c r="DZ20" s="33"/>
      <c r="EA20" s="33"/>
      <c r="EB20" s="33"/>
      <c r="EC20" s="33"/>
      <c r="ED20" s="33"/>
      <c r="EE20" s="33"/>
      <c r="EF20" s="33"/>
      <c r="EG20" s="33"/>
      <c r="EH20" s="33"/>
      <c r="EI20" s="33"/>
      <c r="EJ20" s="33"/>
      <c r="EK20" s="33"/>
      <c r="EL20" s="33"/>
      <c r="EM20" s="33"/>
      <c r="EN20" s="33"/>
      <c r="EO20" s="33"/>
      <c r="EP20" s="33"/>
      <c r="EQ20" s="33"/>
      <c r="ER20" s="33"/>
      <c r="ES20" s="33"/>
      <c r="ET20" s="33"/>
      <c r="EU20" s="33"/>
      <c r="EV20" s="33"/>
      <c r="EW20" s="33"/>
      <c r="EX20" s="33"/>
      <c r="EY20" s="33"/>
      <c r="EZ20" s="33"/>
      <c r="FA20" s="33"/>
      <c r="FB20" s="33"/>
      <c r="FC20" s="33"/>
      <c r="FD20" s="33"/>
      <c r="FE20" s="33"/>
      <c r="FF20" s="33"/>
      <c r="FG20" s="33"/>
      <c r="FH20" s="33"/>
      <c r="FI20" s="33"/>
      <c r="FJ20" s="33"/>
      <c r="FK20" s="33"/>
      <c r="FL20" s="33"/>
      <c r="FM20" s="33"/>
      <c r="FN20" s="33"/>
      <c r="FO20" s="33"/>
      <c r="FP20" s="33"/>
      <c r="FQ20" s="33"/>
      <c r="FR20" s="33"/>
      <c r="FS20" s="33"/>
      <c r="FT20" s="33"/>
      <c r="FU20" s="33"/>
      <c r="FV20" s="33"/>
      <c r="FW20" s="33"/>
      <c r="FX20" s="33"/>
      <c r="FY20" s="33"/>
      <c r="FZ20" s="33"/>
      <c r="GA20" s="33"/>
      <c r="GB20" s="33"/>
      <c r="GC20" s="33"/>
      <c r="GG20" s="29"/>
    </row>
    <row r="21" spans="1:189" ht="15.75" x14ac:dyDescent="0.25">
      <c r="A21" s="16">
        <v>7.1</v>
      </c>
      <c r="B21" s="17" t="s">
        <v>11</v>
      </c>
      <c r="C21" s="4">
        <v>200</v>
      </c>
      <c r="D21" s="4">
        <v>194</v>
      </c>
      <c r="E21" s="4">
        <v>209</v>
      </c>
      <c r="F21" s="4">
        <v>225</v>
      </c>
      <c r="G21" s="4">
        <v>263</v>
      </c>
      <c r="H21" s="4">
        <v>287</v>
      </c>
      <c r="I21" s="4">
        <v>324</v>
      </c>
      <c r="J21" s="4">
        <v>307</v>
      </c>
      <c r="K21" s="4">
        <v>276</v>
      </c>
      <c r="L21" s="4">
        <v>58</v>
      </c>
      <c r="M21" s="4">
        <v>168</v>
      </c>
      <c r="N21" s="4">
        <v>175</v>
      </c>
      <c r="O21" s="4">
        <v>185</v>
      </c>
      <c r="P21" s="4">
        <v>195.57142857142858</v>
      </c>
      <c r="Q21" s="7"/>
      <c r="R21" s="8"/>
      <c r="S21" s="8"/>
      <c r="T21" s="7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6"/>
      <c r="GE21" s="6"/>
      <c r="GF21" s="6"/>
    </row>
    <row r="22" spans="1:189" ht="15.75" x14ac:dyDescent="0.25">
      <c r="A22" s="16">
        <v>7.2</v>
      </c>
      <c r="B22" s="17" t="s">
        <v>12</v>
      </c>
      <c r="C22" s="4">
        <v>41200</v>
      </c>
      <c r="D22" s="4">
        <v>43633</v>
      </c>
      <c r="E22" s="4">
        <v>43689</v>
      </c>
      <c r="F22" s="4">
        <v>43679</v>
      </c>
      <c r="G22" s="4">
        <v>45158.267474900553</v>
      </c>
      <c r="H22" s="4">
        <v>48740.803144417245</v>
      </c>
      <c r="I22" s="4">
        <v>49568.536645962733</v>
      </c>
      <c r="J22" s="4">
        <v>50558.102069305307</v>
      </c>
      <c r="K22" s="4">
        <v>49757.2012666636</v>
      </c>
      <c r="L22" s="4">
        <v>33506.305320986437</v>
      </c>
      <c r="M22" s="4">
        <v>46496.214503450727</v>
      </c>
      <c r="N22" s="4">
        <v>46615.418404179043</v>
      </c>
      <c r="O22" s="4">
        <v>46866.796682357672</v>
      </c>
      <c r="P22" s="4">
        <v>47148.391007617101</v>
      </c>
      <c r="Q22" s="7"/>
      <c r="R22" s="8"/>
      <c r="S22" s="8"/>
      <c r="T22" s="7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6"/>
      <c r="GE22" s="6"/>
      <c r="GF22" s="6"/>
    </row>
    <row r="23" spans="1:189" ht="15.75" x14ac:dyDescent="0.25">
      <c r="A23" s="16">
        <v>7.3</v>
      </c>
      <c r="B23" s="17" t="s">
        <v>13</v>
      </c>
      <c r="C23" s="4">
        <v>3968</v>
      </c>
      <c r="D23" s="4">
        <v>3688.0000000000005</v>
      </c>
      <c r="E23" s="4">
        <v>2805</v>
      </c>
      <c r="F23" s="4">
        <v>2304</v>
      </c>
      <c r="G23" s="4">
        <v>2058.9094525478308</v>
      </c>
      <c r="H23" s="4">
        <v>4893.1978911692713</v>
      </c>
      <c r="I23" s="4">
        <v>4376.1338065661048</v>
      </c>
      <c r="J23" s="4">
        <v>4923.3000492691735</v>
      </c>
      <c r="K23" s="4">
        <v>5670.8683372241876</v>
      </c>
      <c r="L23" s="4">
        <v>4102.4145960341039</v>
      </c>
      <c r="M23" s="4">
        <v>3984.7999108197114</v>
      </c>
      <c r="N23" s="4">
        <v>7146.7481244540377</v>
      </c>
      <c r="O23" s="4">
        <v>8252.0257955495363</v>
      </c>
      <c r="P23" s="4">
        <v>9534.0757702388037</v>
      </c>
      <c r="Q23" s="7"/>
      <c r="R23" s="8"/>
      <c r="S23" s="8"/>
      <c r="T23" s="7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6"/>
      <c r="GE23" s="6"/>
      <c r="GF23" s="6"/>
    </row>
    <row r="24" spans="1:189" ht="15.75" x14ac:dyDescent="0.25">
      <c r="A24" s="16">
        <v>7.4</v>
      </c>
      <c r="B24" s="17" t="s">
        <v>14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205.71623779946762</v>
      </c>
      <c r="J24" s="4">
        <v>225.7436360650353</v>
      </c>
      <c r="K24" s="4">
        <v>313.51941067149323</v>
      </c>
      <c r="L24" s="4">
        <v>0.97583601237728446</v>
      </c>
      <c r="M24" s="4">
        <v>3.9326917451958665</v>
      </c>
      <c r="N24" s="4">
        <v>243.56101894525236</v>
      </c>
      <c r="O24" s="4">
        <v>227.64209091171134</v>
      </c>
      <c r="P24" s="4">
        <v>212.89392621695455</v>
      </c>
      <c r="Q24" s="7"/>
      <c r="R24" s="8"/>
      <c r="S24" s="8"/>
      <c r="T24" s="7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6"/>
      <c r="GE24" s="6"/>
      <c r="GF24" s="6"/>
    </row>
    <row r="25" spans="1:189" ht="15.75" x14ac:dyDescent="0.25">
      <c r="A25" s="16">
        <v>7.5</v>
      </c>
      <c r="B25" s="17" t="s">
        <v>15</v>
      </c>
      <c r="C25" s="4">
        <v>689</v>
      </c>
      <c r="D25" s="4">
        <v>733</v>
      </c>
      <c r="E25" s="4">
        <v>843</v>
      </c>
      <c r="F25" s="4">
        <v>439</v>
      </c>
      <c r="G25" s="4">
        <v>480.50861905663953</v>
      </c>
      <c r="H25" s="4">
        <v>2118.9087742421389</v>
      </c>
      <c r="I25" s="4">
        <v>2030.5712511091392</v>
      </c>
      <c r="J25" s="4">
        <v>611.48431597963543</v>
      </c>
      <c r="K25" s="4">
        <v>2076.6975383976965</v>
      </c>
      <c r="L25" s="4">
        <v>875.32490310242417</v>
      </c>
      <c r="M25" s="4">
        <v>696.08643889966834</v>
      </c>
      <c r="N25" s="4">
        <v>1383.7801439268571</v>
      </c>
      <c r="O25" s="4">
        <v>1551.3023522905846</v>
      </c>
      <c r="P25" s="4">
        <v>1740.1702078674728</v>
      </c>
      <c r="Q25" s="7"/>
      <c r="R25" s="8"/>
      <c r="S25" s="8"/>
      <c r="T25" s="7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6"/>
      <c r="GE25" s="6"/>
      <c r="GF25" s="6"/>
    </row>
    <row r="26" spans="1:189" ht="15.75" x14ac:dyDescent="0.25">
      <c r="A26" s="16">
        <v>7.6</v>
      </c>
      <c r="B26" s="17" t="s">
        <v>16</v>
      </c>
      <c r="C26" s="4">
        <v>51</v>
      </c>
      <c r="D26" s="4">
        <v>42</v>
      </c>
      <c r="E26" s="4">
        <v>26</v>
      </c>
      <c r="F26" s="4">
        <v>24.513043478260869</v>
      </c>
      <c r="G26" s="4">
        <v>26.735745406326956</v>
      </c>
      <c r="H26" s="4">
        <v>154.64018075691959</v>
      </c>
      <c r="I26" s="4">
        <v>14.974711623779946</v>
      </c>
      <c r="J26" s="4">
        <v>43.963048592071438</v>
      </c>
      <c r="K26" s="4">
        <v>42.978900076853996</v>
      </c>
      <c r="L26" s="4">
        <v>8.9802486169625215</v>
      </c>
      <c r="M26" s="4">
        <v>12.952396436634544</v>
      </c>
      <c r="N26" s="4">
        <v>30.911321836874414</v>
      </c>
      <c r="O26" s="4">
        <v>19.951995576376625</v>
      </c>
      <c r="P26" s="4">
        <v>12.871194984847733</v>
      </c>
      <c r="Q26" s="7"/>
      <c r="R26" s="8"/>
      <c r="S26" s="8"/>
      <c r="T26" s="7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6"/>
      <c r="GE26" s="6"/>
      <c r="GF26" s="6"/>
    </row>
    <row r="27" spans="1:189" ht="30" x14ac:dyDescent="0.25">
      <c r="A27" s="16">
        <v>7.7</v>
      </c>
      <c r="B27" s="17" t="s">
        <v>17</v>
      </c>
      <c r="C27" s="4">
        <v>21311</v>
      </c>
      <c r="D27" s="4">
        <v>22276</v>
      </c>
      <c r="E27" s="4">
        <v>26423</v>
      </c>
      <c r="F27" s="4">
        <v>29636</v>
      </c>
      <c r="G27" s="4">
        <v>33121</v>
      </c>
      <c r="H27" s="4">
        <v>32457.63208435323</v>
      </c>
      <c r="I27" s="4">
        <v>31941.388642413487</v>
      </c>
      <c r="J27" s="4">
        <v>30103.483412711448</v>
      </c>
      <c r="K27" s="4">
        <v>34064</v>
      </c>
      <c r="L27" s="4">
        <v>30853.657635687923</v>
      </c>
      <c r="M27" s="4">
        <v>33820</v>
      </c>
      <c r="N27" s="4">
        <v>40634</v>
      </c>
      <c r="O27" s="4">
        <v>43004</v>
      </c>
      <c r="P27" s="4">
        <v>45512.231530245605</v>
      </c>
      <c r="Q27" s="7"/>
      <c r="R27" s="8"/>
      <c r="S27" s="8"/>
      <c r="T27" s="7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6"/>
      <c r="GE27" s="6"/>
      <c r="GF27" s="6"/>
    </row>
    <row r="28" spans="1:189" ht="15.75" x14ac:dyDescent="0.25">
      <c r="A28" s="18" t="s">
        <v>37</v>
      </c>
      <c r="B28" s="17" t="s">
        <v>18</v>
      </c>
      <c r="C28" s="4">
        <v>59157.000000000007</v>
      </c>
      <c r="D28" s="4">
        <v>62691.999999999993</v>
      </c>
      <c r="E28" s="4">
        <v>63110</v>
      </c>
      <c r="F28" s="4">
        <v>66068</v>
      </c>
      <c r="G28" s="4">
        <v>77474</v>
      </c>
      <c r="H28" s="4">
        <v>81575</v>
      </c>
      <c r="I28" s="4">
        <v>87316</v>
      </c>
      <c r="J28" s="4">
        <v>78804</v>
      </c>
      <c r="K28" s="4">
        <v>85049</v>
      </c>
      <c r="L28" s="4">
        <v>92757</v>
      </c>
      <c r="M28" s="4">
        <v>81575</v>
      </c>
      <c r="N28" s="4">
        <v>94086</v>
      </c>
      <c r="O28" s="4">
        <v>98570</v>
      </c>
      <c r="P28" s="4">
        <v>103267.70082690305</v>
      </c>
      <c r="Q28" s="7"/>
      <c r="R28" s="8"/>
      <c r="S28" s="8"/>
      <c r="T28" s="7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6"/>
      <c r="GE28" s="6"/>
      <c r="GF28" s="6"/>
    </row>
    <row r="29" spans="1:189" ht="30" x14ac:dyDescent="0.25">
      <c r="A29" s="18" t="s">
        <v>38</v>
      </c>
      <c r="B29" s="17" t="s">
        <v>19</v>
      </c>
      <c r="C29" s="4">
        <v>144860</v>
      </c>
      <c r="D29" s="4">
        <v>150759</v>
      </c>
      <c r="E29" s="4">
        <v>166444</v>
      </c>
      <c r="F29" s="4">
        <v>178021</v>
      </c>
      <c r="G29" s="4">
        <v>186507.99261223717</v>
      </c>
      <c r="H29" s="4">
        <v>207133.20391639991</v>
      </c>
      <c r="I29" s="4">
        <v>220582.12422360247</v>
      </c>
      <c r="J29" s="4">
        <v>228979.02069305305</v>
      </c>
      <c r="K29" s="4">
        <v>237594.03854190776</v>
      </c>
      <c r="L29" s="4">
        <v>229780.03235083004</v>
      </c>
      <c r="M29" s="4">
        <v>250552.28588748255</v>
      </c>
      <c r="N29" s="4">
        <v>266660.36939974508</v>
      </c>
      <c r="O29" s="4">
        <v>278706.43881498137</v>
      </c>
      <c r="P29" s="4">
        <v>291225.7222582656</v>
      </c>
      <c r="Q29" s="7"/>
      <c r="R29" s="8"/>
      <c r="S29" s="8"/>
      <c r="T29" s="7"/>
      <c r="U29" s="9"/>
      <c r="V29" s="9"/>
      <c r="W29" s="9"/>
      <c r="X29" s="9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6"/>
      <c r="GE29" s="6"/>
      <c r="GF29" s="6"/>
    </row>
    <row r="30" spans="1:189" ht="15.75" x14ac:dyDescent="0.25">
      <c r="A30" s="18" t="s">
        <v>39</v>
      </c>
      <c r="B30" s="17" t="s">
        <v>54</v>
      </c>
      <c r="C30" s="4">
        <v>80270</v>
      </c>
      <c r="D30" s="4">
        <v>77618</v>
      </c>
      <c r="E30" s="4">
        <v>72843</v>
      </c>
      <c r="F30" s="4">
        <v>75714</v>
      </c>
      <c r="G30" s="4">
        <v>76913</v>
      </c>
      <c r="H30" s="4">
        <v>78687</v>
      </c>
      <c r="I30" s="4">
        <v>77309</v>
      </c>
      <c r="J30" s="4">
        <v>68811</v>
      </c>
      <c r="K30" s="4">
        <v>80101</v>
      </c>
      <c r="L30" s="4">
        <v>83641</v>
      </c>
      <c r="M30" s="4">
        <v>84654</v>
      </c>
      <c r="N30" s="4">
        <v>80755</v>
      </c>
      <c r="O30" s="4">
        <v>83542</v>
      </c>
      <c r="P30" s="4">
        <v>86425.184372484684</v>
      </c>
      <c r="Q30" s="7"/>
      <c r="R30" s="8"/>
      <c r="S30" s="8"/>
      <c r="T30" s="7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6"/>
      <c r="GE30" s="6"/>
      <c r="GF30" s="6"/>
    </row>
    <row r="31" spans="1:189" ht="15.75" x14ac:dyDescent="0.25">
      <c r="A31" s="18" t="s">
        <v>40</v>
      </c>
      <c r="B31" s="17" t="s">
        <v>20</v>
      </c>
      <c r="C31" s="4">
        <v>186610</v>
      </c>
      <c r="D31" s="4">
        <v>200078</v>
      </c>
      <c r="E31" s="4">
        <v>202068</v>
      </c>
      <c r="F31" s="4">
        <v>222982</v>
      </c>
      <c r="G31" s="4">
        <v>228983.3053608638</v>
      </c>
      <c r="H31" s="4">
        <v>259006.16663528525</v>
      </c>
      <c r="I31" s="4">
        <v>287294</v>
      </c>
      <c r="J31" s="4">
        <v>298266.57842010184</v>
      </c>
      <c r="K31" s="4">
        <v>323463.86225125834</v>
      </c>
      <c r="L31" s="4">
        <v>279764.05310339108</v>
      </c>
      <c r="M31" s="4">
        <v>320016.48693770939</v>
      </c>
      <c r="N31" s="4">
        <v>351908.87457427016</v>
      </c>
      <c r="O31" s="4">
        <v>390048.813474642</v>
      </c>
      <c r="P31" s="4">
        <v>432235.64109587111</v>
      </c>
      <c r="Q31" s="7"/>
      <c r="R31" s="8"/>
      <c r="S31" s="8"/>
      <c r="T31" s="7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6"/>
      <c r="GE31" s="6"/>
      <c r="GF31" s="6"/>
    </row>
    <row r="32" spans="1:189" s="29" customFormat="1" ht="15.75" x14ac:dyDescent="0.25">
      <c r="A32" s="35"/>
      <c r="B32" s="36" t="s">
        <v>30</v>
      </c>
      <c r="C32" s="37">
        <f>C17+C20+C28+C29+C30+C31</f>
        <v>685793</v>
      </c>
      <c r="D32" s="37">
        <f t="shared" ref="D32:J32" si="13">D17+D20+D28+D29+D30+D31</f>
        <v>736285</v>
      </c>
      <c r="E32" s="37">
        <f t="shared" si="13"/>
        <v>743942</v>
      </c>
      <c r="F32" s="37">
        <f t="shared" si="13"/>
        <v>793654.51304347825</v>
      </c>
      <c r="G32" s="37">
        <f t="shared" si="13"/>
        <v>806348.40935783286</v>
      </c>
      <c r="H32" s="37">
        <f t="shared" si="13"/>
        <v>872411.64931274706</v>
      </c>
      <c r="I32" s="37">
        <f t="shared" si="13"/>
        <v>921939.37985803024</v>
      </c>
      <c r="J32" s="37">
        <f t="shared" si="13"/>
        <v>931861.73649250739</v>
      </c>
      <c r="K32" s="37">
        <f t="shared" ref="K32:L32" si="14">K17+K20+K28+K29+K30+K31</f>
        <v>984650.23720007529</v>
      </c>
      <c r="L32" s="37">
        <f t="shared" si="14"/>
        <v>871758.40881612117</v>
      </c>
      <c r="M32" s="37">
        <f t="shared" ref="M32" si="15">M17+M20+M28+M29+M30+M31</f>
        <v>955232.03216664609</v>
      </c>
      <c r="N32" s="37">
        <f t="shared" ref="N32:P32" si="16">N17+N20+N28+N29+N30+N31</f>
        <v>1039452.0320023869</v>
      </c>
      <c r="O32" s="37">
        <f t="shared" si="16"/>
        <v>1098388.8483166643</v>
      </c>
      <c r="P32" s="37">
        <f t="shared" si="16"/>
        <v>1162996.0486019992</v>
      </c>
      <c r="Q32" s="7"/>
      <c r="R32" s="8"/>
      <c r="S32" s="8"/>
      <c r="T32" s="7"/>
      <c r="U32" s="8"/>
      <c r="V32" s="8"/>
      <c r="W32" s="8"/>
      <c r="X32" s="8"/>
      <c r="Y32" s="8"/>
      <c r="Z32" s="8"/>
      <c r="AA32" s="8"/>
      <c r="AB32" s="8"/>
      <c r="AC32" s="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38"/>
      <c r="BM32" s="38"/>
      <c r="BN32" s="38"/>
      <c r="BO32" s="38"/>
      <c r="BP32" s="38"/>
      <c r="BQ32" s="38"/>
      <c r="BR32" s="38"/>
      <c r="BS32" s="38"/>
      <c r="BT32" s="38"/>
      <c r="BU32" s="38"/>
      <c r="BV32" s="38"/>
      <c r="BW32" s="38"/>
      <c r="BX32" s="38"/>
      <c r="BY32" s="38"/>
      <c r="BZ32" s="38"/>
      <c r="CA32" s="38"/>
      <c r="CB32" s="38"/>
      <c r="CC32" s="38"/>
      <c r="CD32" s="38"/>
      <c r="CE32" s="38"/>
      <c r="CF32" s="38"/>
      <c r="CG32" s="38"/>
      <c r="CH32" s="38"/>
      <c r="CI32" s="38"/>
      <c r="CJ32" s="38"/>
      <c r="CK32" s="38"/>
      <c r="CL32" s="38"/>
      <c r="CM32" s="38"/>
      <c r="CN32" s="38"/>
      <c r="CO32" s="38"/>
      <c r="CP32" s="38"/>
      <c r="CQ32" s="38"/>
      <c r="CR32" s="38"/>
      <c r="CS32" s="38"/>
      <c r="CT32" s="38"/>
      <c r="CU32" s="38"/>
      <c r="CV32" s="38"/>
      <c r="CW32" s="38"/>
      <c r="CX32" s="38"/>
      <c r="CY32" s="38"/>
      <c r="CZ32" s="38"/>
      <c r="DA32" s="38"/>
      <c r="DB32" s="38"/>
      <c r="DC32" s="38"/>
      <c r="DD32" s="38"/>
      <c r="DE32" s="38"/>
      <c r="DF32" s="33"/>
      <c r="DG32" s="33"/>
      <c r="DH32" s="33"/>
      <c r="DI32" s="33"/>
      <c r="DJ32" s="33"/>
      <c r="DK32" s="33"/>
      <c r="DL32" s="33"/>
      <c r="DM32" s="33"/>
      <c r="DN32" s="33"/>
      <c r="DO32" s="33"/>
      <c r="DP32" s="33"/>
      <c r="DQ32" s="33"/>
      <c r="DR32" s="33"/>
      <c r="DS32" s="33"/>
      <c r="DT32" s="33"/>
      <c r="DU32" s="33"/>
      <c r="DV32" s="33"/>
      <c r="DW32" s="33"/>
      <c r="DX32" s="33"/>
      <c r="DY32" s="38"/>
      <c r="DZ32" s="38"/>
      <c r="EA32" s="38"/>
      <c r="EB32" s="38"/>
      <c r="EC32" s="38"/>
      <c r="ED32" s="38"/>
      <c r="EE32" s="38"/>
      <c r="EF32" s="38"/>
      <c r="EG32" s="38"/>
      <c r="EH32" s="38"/>
      <c r="EI32" s="38"/>
      <c r="EJ32" s="38"/>
      <c r="EK32" s="38"/>
      <c r="EL32" s="38"/>
      <c r="EM32" s="38"/>
      <c r="EN32" s="38"/>
      <c r="EO32" s="38"/>
      <c r="EP32" s="38"/>
      <c r="EQ32" s="38"/>
      <c r="ER32" s="38"/>
      <c r="ES32" s="38"/>
      <c r="ET32" s="38"/>
      <c r="EU32" s="38"/>
      <c r="EV32" s="38"/>
      <c r="EW32" s="38"/>
      <c r="EX32" s="38"/>
      <c r="EY32" s="38"/>
      <c r="EZ32" s="38"/>
      <c r="FA32" s="38"/>
      <c r="FB32" s="38"/>
      <c r="FC32" s="38"/>
      <c r="FD32" s="38"/>
      <c r="FE32" s="38"/>
      <c r="FF32" s="38"/>
      <c r="FG32" s="38"/>
      <c r="FH32" s="38"/>
      <c r="FI32" s="38"/>
      <c r="FJ32" s="38"/>
      <c r="FK32" s="38"/>
      <c r="FL32" s="38"/>
      <c r="FM32" s="38"/>
      <c r="FN32" s="38"/>
      <c r="FO32" s="38"/>
      <c r="FP32" s="38"/>
      <c r="FQ32" s="38"/>
      <c r="FR32" s="38"/>
      <c r="FS32" s="38"/>
      <c r="FT32" s="38"/>
      <c r="FU32" s="38"/>
      <c r="FV32" s="38"/>
      <c r="FW32" s="38"/>
      <c r="FX32" s="38"/>
      <c r="FY32" s="38"/>
      <c r="FZ32" s="38"/>
      <c r="GA32" s="38"/>
      <c r="GB32" s="38"/>
      <c r="GC32" s="38"/>
      <c r="GD32" s="34"/>
      <c r="GE32" s="34"/>
      <c r="GF32" s="34"/>
    </row>
    <row r="33" spans="1:189" s="34" customFormat="1" ht="15.75" x14ac:dyDescent="0.25">
      <c r="A33" s="30" t="s">
        <v>27</v>
      </c>
      <c r="B33" s="41" t="s">
        <v>41</v>
      </c>
      <c r="C33" s="32">
        <f t="shared" ref="C33:J33" si="17">C6+C11+C13+C14+C15+C17+C20+C28+C29+C30+C31</f>
        <v>1481201</v>
      </c>
      <c r="D33" s="32">
        <f t="shared" si="17"/>
        <v>1508643</v>
      </c>
      <c r="E33" s="32">
        <f t="shared" si="17"/>
        <v>1684514</v>
      </c>
      <c r="F33" s="32">
        <f t="shared" si="17"/>
        <v>1581638.247139588</v>
      </c>
      <c r="G33" s="32">
        <f t="shared" si="17"/>
        <v>1659648.8535707518</v>
      </c>
      <c r="H33" s="32">
        <f t="shared" si="17"/>
        <v>1782181.446526078</v>
      </c>
      <c r="I33" s="32">
        <f t="shared" si="17"/>
        <v>1944221.679990795</v>
      </c>
      <c r="J33" s="32">
        <f t="shared" si="17"/>
        <v>2395547.1314231316</v>
      </c>
      <c r="K33" s="32">
        <f t="shared" ref="K33:L33" si="18">K6+K11+K13+K14+K15+K17+K20+K28+K29+K30+K31</f>
        <v>2356342.9549510707</v>
      </c>
      <c r="L33" s="32">
        <f t="shared" si="18"/>
        <v>2181313.973918763</v>
      </c>
      <c r="M33" s="32">
        <f t="shared" ref="M33" si="19">M6+M11+M13+M14+M15+M17+M20+M28+M29+M30+M31</f>
        <v>2139507.438209774</v>
      </c>
      <c r="N33" s="32">
        <f t="shared" ref="N33:P33" si="20">N6+N11+N13+N14+N15+N17+N20+N28+N29+N30+N31</f>
        <v>2256448.0944436993</v>
      </c>
      <c r="O33" s="32">
        <f t="shared" si="20"/>
        <v>2425233.463312712</v>
      </c>
      <c r="P33" s="32">
        <f t="shared" si="20"/>
        <v>2606351.9932456766</v>
      </c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3"/>
      <c r="CF33" s="33"/>
      <c r="CG33" s="33"/>
      <c r="CH33" s="33"/>
      <c r="CI33" s="33"/>
      <c r="CJ33" s="33"/>
      <c r="CK33" s="33"/>
      <c r="CL33" s="33"/>
      <c r="CM33" s="33"/>
      <c r="CN33" s="33"/>
      <c r="CO33" s="33"/>
      <c r="CP33" s="33"/>
      <c r="CQ33" s="33"/>
      <c r="CR33" s="33"/>
      <c r="CS33" s="33"/>
      <c r="CT33" s="33"/>
      <c r="CU33" s="33"/>
      <c r="CV33" s="33"/>
      <c r="CW33" s="33"/>
      <c r="CX33" s="33"/>
      <c r="CY33" s="33"/>
      <c r="CZ33" s="33"/>
      <c r="DA33" s="33"/>
      <c r="DB33" s="33"/>
      <c r="DC33" s="33"/>
      <c r="DD33" s="33"/>
      <c r="DE33" s="33"/>
      <c r="DF33" s="33"/>
      <c r="DG33" s="33"/>
      <c r="DH33" s="33"/>
      <c r="DI33" s="33"/>
      <c r="DJ33" s="33"/>
      <c r="DK33" s="33"/>
      <c r="DL33" s="33"/>
      <c r="DM33" s="33"/>
      <c r="DN33" s="33"/>
      <c r="DO33" s="33"/>
      <c r="DP33" s="33"/>
      <c r="DQ33" s="33"/>
      <c r="DR33" s="33"/>
      <c r="DS33" s="33"/>
      <c r="DT33" s="33"/>
      <c r="DU33" s="33"/>
      <c r="DV33" s="33"/>
      <c r="DW33" s="33"/>
      <c r="DX33" s="33"/>
      <c r="DY33" s="33"/>
      <c r="DZ33" s="33"/>
      <c r="EA33" s="33"/>
      <c r="EB33" s="33"/>
      <c r="EC33" s="33"/>
      <c r="ED33" s="33"/>
      <c r="EE33" s="33"/>
      <c r="EF33" s="33"/>
      <c r="EG33" s="33"/>
      <c r="EH33" s="33"/>
      <c r="EI33" s="33"/>
      <c r="EJ33" s="33"/>
      <c r="EK33" s="33"/>
      <c r="EL33" s="33"/>
      <c r="EM33" s="33"/>
      <c r="EN33" s="33"/>
      <c r="EO33" s="33"/>
      <c r="EP33" s="33"/>
      <c r="EQ33" s="33"/>
      <c r="ER33" s="33"/>
      <c r="ES33" s="33"/>
      <c r="ET33" s="33"/>
      <c r="EU33" s="33"/>
      <c r="EV33" s="33"/>
      <c r="EW33" s="33"/>
      <c r="EX33" s="33"/>
      <c r="EY33" s="33"/>
      <c r="EZ33" s="33"/>
      <c r="FA33" s="33"/>
      <c r="FB33" s="33"/>
      <c r="FC33" s="33"/>
      <c r="FD33" s="33"/>
      <c r="FE33" s="33"/>
      <c r="FF33" s="33"/>
      <c r="FG33" s="33"/>
      <c r="FH33" s="33"/>
      <c r="FI33" s="33"/>
      <c r="FJ33" s="33"/>
      <c r="FK33" s="33"/>
      <c r="FL33" s="33"/>
      <c r="FM33" s="33"/>
      <c r="FN33" s="33"/>
      <c r="FO33" s="33"/>
      <c r="FP33" s="33"/>
      <c r="FQ33" s="33"/>
      <c r="FR33" s="33"/>
      <c r="FS33" s="33"/>
      <c r="FT33" s="33"/>
      <c r="FU33" s="33"/>
      <c r="FV33" s="33"/>
      <c r="FW33" s="33"/>
      <c r="FX33" s="33"/>
      <c r="FY33" s="33"/>
      <c r="FZ33" s="33"/>
      <c r="GA33" s="33"/>
      <c r="GB33" s="33"/>
      <c r="GC33" s="33"/>
      <c r="GG33" s="29"/>
    </row>
    <row r="34" spans="1:189" ht="15.75" x14ac:dyDescent="0.25">
      <c r="A34" s="19" t="s">
        <v>43</v>
      </c>
      <c r="B34" s="5" t="s">
        <v>25</v>
      </c>
      <c r="C34" s="3">
        <v>249800</v>
      </c>
      <c r="D34" s="3">
        <v>275200</v>
      </c>
      <c r="E34" s="3">
        <v>278733</v>
      </c>
      <c r="F34" s="3">
        <v>273767</v>
      </c>
      <c r="G34" s="3">
        <v>261770</v>
      </c>
      <c r="H34" s="3">
        <v>278599</v>
      </c>
      <c r="I34" s="3">
        <v>302521</v>
      </c>
      <c r="J34" s="4">
        <v>241925</v>
      </c>
      <c r="K34" s="4">
        <v>304722</v>
      </c>
      <c r="L34" s="4">
        <v>252379</v>
      </c>
      <c r="M34" s="4">
        <v>342565</v>
      </c>
      <c r="N34" s="4">
        <v>284062</v>
      </c>
      <c r="O34" s="4">
        <v>310798</v>
      </c>
      <c r="P34" s="4">
        <v>348856</v>
      </c>
      <c r="Q34" s="7"/>
      <c r="R34" s="8"/>
      <c r="S34" s="8"/>
      <c r="T34" s="7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</row>
    <row r="35" spans="1:189" ht="15.75" x14ac:dyDescent="0.25">
      <c r="A35" s="19" t="s">
        <v>44</v>
      </c>
      <c r="B35" s="5" t="s">
        <v>24</v>
      </c>
      <c r="C35" s="3">
        <v>49200</v>
      </c>
      <c r="D35" s="3">
        <v>52800</v>
      </c>
      <c r="E35" s="3">
        <v>46222</v>
      </c>
      <c r="F35" s="3">
        <v>34740</v>
      </c>
      <c r="G35" s="3">
        <v>15395</v>
      </c>
      <c r="H35" s="3">
        <v>13343</v>
      </c>
      <c r="I35" s="3">
        <v>14975</v>
      </c>
      <c r="J35" s="4">
        <v>16583</v>
      </c>
      <c r="K35" s="4">
        <v>19867</v>
      </c>
      <c r="L35" s="4">
        <v>20019</v>
      </c>
      <c r="M35" s="4">
        <v>21626</v>
      </c>
      <c r="N35" s="4">
        <v>23785</v>
      </c>
      <c r="O35" s="4">
        <v>19629</v>
      </c>
      <c r="P35" s="4">
        <v>23564</v>
      </c>
      <c r="Q35" s="7"/>
      <c r="R35" s="8"/>
      <c r="S35" s="8"/>
      <c r="T35" s="7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</row>
    <row r="36" spans="1:189" s="29" customFormat="1" ht="15.75" x14ac:dyDescent="0.25">
      <c r="A36" s="42" t="s">
        <v>45</v>
      </c>
      <c r="B36" s="43" t="s">
        <v>55</v>
      </c>
      <c r="C36" s="37">
        <f>C33+C34-C35</f>
        <v>1681801</v>
      </c>
      <c r="D36" s="37">
        <f t="shared" ref="D36:M36" si="21">D33+D34-D35</f>
        <v>1731043</v>
      </c>
      <c r="E36" s="37">
        <f t="shared" si="21"/>
        <v>1917025</v>
      </c>
      <c r="F36" s="37">
        <f t="shared" si="21"/>
        <v>1820665.247139588</v>
      </c>
      <c r="G36" s="37">
        <f t="shared" si="21"/>
        <v>1906023.8535707518</v>
      </c>
      <c r="H36" s="37">
        <f t="shared" si="21"/>
        <v>2047437.446526078</v>
      </c>
      <c r="I36" s="37">
        <f t="shared" si="21"/>
        <v>2231767.679990795</v>
      </c>
      <c r="J36" s="37">
        <f t="shared" si="21"/>
        <v>2620889.1314231316</v>
      </c>
      <c r="K36" s="37">
        <f t="shared" si="21"/>
        <v>2641197.9549510707</v>
      </c>
      <c r="L36" s="37">
        <f t="shared" si="21"/>
        <v>2413673.973918763</v>
      </c>
      <c r="M36" s="37">
        <f t="shared" si="21"/>
        <v>2460446.438209774</v>
      </c>
      <c r="N36" s="37">
        <f t="shared" ref="N36:P36" si="22">N33+N34-N35</f>
        <v>2516725.0944436993</v>
      </c>
      <c r="O36" s="37">
        <f t="shared" si="22"/>
        <v>2716402.463312712</v>
      </c>
      <c r="P36" s="37">
        <f t="shared" si="22"/>
        <v>2931643.9932456766</v>
      </c>
      <c r="Q36" s="7"/>
      <c r="R36" s="8"/>
      <c r="S36" s="8"/>
      <c r="T36" s="7"/>
      <c r="U36" s="8"/>
      <c r="V36" s="8"/>
      <c r="W36" s="8"/>
      <c r="X36" s="8"/>
      <c r="Y36" s="8"/>
      <c r="Z36" s="8"/>
      <c r="AA36" s="8"/>
      <c r="AB36" s="8"/>
      <c r="AC36" s="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  <c r="BO36" s="38"/>
      <c r="BP36" s="38"/>
      <c r="BQ36" s="38"/>
      <c r="BR36" s="38"/>
      <c r="BS36" s="38"/>
      <c r="BT36" s="38"/>
      <c r="BU36" s="38"/>
      <c r="BV36" s="38"/>
      <c r="BW36" s="38"/>
      <c r="BX36" s="38"/>
      <c r="BY36" s="38"/>
      <c r="BZ36" s="38"/>
      <c r="CA36" s="38"/>
      <c r="CB36" s="38"/>
      <c r="CC36" s="38"/>
      <c r="CD36" s="38"/>
      <c r="CE36" s="38"/>
      <c r="CF36" s="38"/>
      <c r="CG36" s="38"/>
      <c r="CH36" s="38"/>
      <c r="CI36" s="38"/>
      <c r="CJ36" s="38"/>
      <c r="CK36" s="38"/>
      <c r="CL36" s="38"/>
      <c r="CM36" s="38"/>
      <c r="CN36" s="38"/>
      <c r="CO36" s="38"/>
      <c r="CP36" s="38"/>
      <c r="CQ36" s="38"/>
      <c r="CR36" s="38"/>
      <c r="CS36" s="38"/>
      <c r="CT36" s="38"/>
      <c r="CU36" s="38"/>
      <c r="CV36" s="38"/>
      <c r="CW36" s="38"/>
      <c r="CX36" s="38"/>
      <c r="CY36" s="38"/>
      <c r="CZ36" s="38"/>
      <c r="DA36" s="38"/>
      <c r="DB36" s="38"/>
      <c r="DC36" s="38"/>
      <c r="DD36" s="38"/>
      <c r="DE36" s="38"/>
      <c r="DF36" s="33"/>
      <c r="DG36" s="33"/>
      <c r="DH36" s="33"/>
      <c r="DI36" s="33"/>
      <c r="DJ36" s="33"/>
      <c r="DK36" s="33"/>
      <c r="DL36" s="33"/>
      <c r="DM36" s="33"/>
      <c r="DN36" s="33"/>
      <c r="DO36" s="33"/>
      <c r="DP36" s="33"/>
      <c r="DQ36" s="33"/>
      <c r="DR36" s="33"/>
      <c r="DS36" s="33"/>
      <c r="DT36" s="33"/>
      <c r="DU36" s="33"/>
      <c r="DV36" s="33"/>
      <c r="DW36" s="33"/>
      <c r="DX36" s="33"/>
      <c r="DY36" s="38"/>
      <c r="DZ36" s="38"/>
      <c r="EA36" s="38"/>
      <c r="EB36" s="38"/>
      <c r="EC36" s="38"/>
      <c r="ED36" s="38"/>
      <c r="EE36" s="38"/>
      <c r="EF36" s="38"/>
      <c r="EG36" s="38"/>
      <c r="EH36" s="38"/>
      <c r="EI36" s="38"/>
      <c r="EJ36" s="38"/>
      <c r="EK36" s="38"/>
      <c r="EL36" s="38"/>
      <c r="EM36" s="38"/>
      <c r="EN36" s="38"/>
      <c r="EO36" s="38"/>
      <c r="EP36" s="38"/>
      <c r="EQ36" s="38"/>
      <c r="ER36" s="38"/>
      <c r="ES36" s="38"/>
      <c r="ET36" s="38"/>
      <c r="EU36" s="38"/>
      <c r="EV36" s="38"/>
      <c r="EW36" s="38"/>
      <c r="EX36" s="38"/>
      <c r="EY36" s="38"/>
      <c r="EZ36" s="38"/>
      <c r="FA36" s="38"/>
      <c r="FB36" s="38"/>
      <c r="FC36" s="38"/>
      <c r="FD36" s="38"/>
      <c r="FE36" s="38"/>
      <c r="FF36" s="38"/>
      <c r="FG36" s="38"/>
      <c r="FH36" s="38"/>
      <c r="FI36" s="38"/>
      <c r="FJ36" s="38"/>
      <c r="FK36" s="38"/>
      <c r="FL36" s="38"/>
      <c r="FM36" s="38"/>
      <c r="FN36" s="38"/>
      <c r="FO36" s="38"/>
      <c r="FP36" s="38"/>
      <c r="FQ36" s="38"/>
      <c r="FR36" s="38"/>
      <c r="FS36" s="38"/>
      <c r="FT36" s="38"/>
      <c r="FU36" s="38"/>
      <c r="FV36" s="38"/>
      <c r="FW36" s="38"/>
      <c r="FX36" s="38"/>
      <c r="FY36" s="38"/>
      <c r="FZ36" s="38"/>
      <c r="GA36" s="38"/>
      <c r="GB36" s="38"/>
    </row>
    <row r="37" spans="1:189" s="29" customFormat="1" ht="15.75" x14ac:dyDescent="0.25">
      <c r="A37" s="42" t="s">
        <v>46</v>
      </c>
      <c r="B37" s="43" t="s">
        <v>42</v>
      </c>
      <c r="C37" s="44">
        <f>GSVA_cur!C37</f>
        <v>12670</v>
      </c>
      <c r="D37" s="44">
        <f>GSVA_cur!D37</f>
        <v>13010</v>
      </c>
      <c r="E37" s="44">
        <f>GSVA_cur!E37</f>
        <v>13350</v>
      </c>
      <c r="F37" s="44">
        <f>GSVA_cur!F37</f>
        <v>13710</v>
      </c>
      <c r="G37" s="44">
        <f>GSVA_cur!G37</f>
        <v>14070</v>
      </c>
      <c r="H37" s="44">
        <f>GSVA_cur!H37</f>
        <v>14450</v>
      </c>
      <c r="I37" s="44">
        <f>GSVA_cur!I37</f>
        <v>14840</v>
      </c>
      <c r="J37" s="44">
        <f>GSVA_cur!J37</f>
        <v>15240</v>
      </c>
      <c r="K37" s="44">
        <f>GSVA_cur!K37</f>
        <v>15390</v>
      </c>
      <c r="L37" s="44">
        <f>GSVA_cur!L37</f>
        <v>15570</v>
      </c>
      <c r="M37" s="44">
        <f>GSVA_cur!M37</f>
        <v>15930</v>
      </c>
      <c r="N37" s="44">
        <f>GSVA_cur!N37</f>
        <v>16300</v>
      </c>
      <c r="O37" s="44">
        <f>GSVA_cur!O37</f>
        <v>16670</v>
      </c>
      <c r="P37" s="44">
        <f>GSVA_cur!P37</f>
        <v>17040</v>
      </c>
      <c r="Q37" s="6"/>
      <c r="R37" s="2"/>
      <c r="S37" s="2"/>
      <c r="T37" s="6"/>
      <c r="U37" s="6"/>
      <c r="V37" s="6"/>
      <c r="W37" s="6"/>
      <c r="X37" s="6"/>
      <c r="Y37" s="2"/>
      <c r="Z37" s="2"/>
      <c r="AA37" s="2"/>
      <c r="AB37" s="2"/>
      <c r="AC37" s="2"/>
      <c r="DF37" s="34"/>
      <c r="DG37" s="34"/>
      <c r="DH37" s="34"/>
      <c r="DI37" s="34"/>
      <c r="DJ37" s="34"/>
      <c r="DK37" s="34"/>
      <c r="DL37" s="34"/>
      <c r="DM37" s="34"/>
      <c r="DN37" s="34"/>
      <c r="DO37" s="34"/>
      <c r="DP37" s="34"/>
      <c r="DQ37" s="34"/>
      <c r="DR37" s="34"/>
      <c r="DS37" s="34"/>
      <c r="DT37" s="34"/>
      <c r="DU37" s="34"/>
      <c r="DV37" s="34"/>
      <c r="DW37" s="34"/>
      <c r="DX37" s="34"/>
    </row>
    <row r="38" spans="1:189" s="29" customFormat="1" ht="15.75" x14ac:dyDescent="0.25">
      <c r="A38" s="42" t="s">
        <v>47</v>
      </c>
      <c r="B38" s="43" t="s">
        <v>58</v>
      </c>
      <c r="C38" s="37">
        <f>C36/C37*1000</f>
        <v>132738.8318863457</v>
      </c>
      <c r="D38" s="37">
        <f t="shared" ref="D38:L38" si="23">D36/D37*1000</f>
        <v>133054.80399692545</v>
      </c>
      <c r="E38" s="37">
        <f t="shared" si="23"/>
        <v>143597.37827715356</v>
      </c>
      <c r="F38" s="37">
        <f t="shared" si="23"/>
        <v>132798.34041864245</v>
      </c>
      <c r="G38" s="37">
        <f t="shared" si="23"/>
        <v>135467.22484511387</v>
      </c>
      <c r="H38" s="37">
        <f t="shared" si="23"/>
        <v>141691.17276997078</v>
      </c>
      <c r="I38" s="37">
        <f t="shared" si="23"/>
        <v>150388.65768132042</v>
      </c>
      <c r="J38" s="37">
        <f t="shared" si="23"/>
        <v>171974.35245558605</v>
      </c>
      <c r="K38" s="37">
        <f t="shared" si="23"/>
        <v>171617.80084152505</v>
      </c>
      <c r="L38" s="37">
        <f t="shared" si="23"/>
        <v>155020.80757345943</v>
      </c>
      <c r="M38" s="37">
        <f>M36/M37*1000</f>
        <v>154453.63705020552</v>
      </c>
      <c r="N38" s="37">
        <f t="shared" ref="N38:P38" si="24">N36/N37*1000</f>
        <v>154400.31254255824</v>
      </c>
      <c r="O38" s="37">
        <f t="shared" si="24"/>
        <v>162951.55748726527</v>
      </c>
      <c r="P38" s="37">
        <f t="shared" si="24"/>
        <v>172044.8352843707</v>
      </c>
      <c r="Q38" s="6"/>
      <c r="R38" s="2"/>
      <c r="S38" s="2"/>
      <c r="T38" s="7"/>
      <c r="U38" s="7"/>
      <c r="V38" s="7"/>
      <c r="W38" s="7"/>
      <c r="X38" s="7"/>
      <c r="Y38" s="2"/>
      <c r="Z38" s="2"/>
      <c r="AA38" s="2"/>
      <c r="AB38" s="2"/>
      <c r="AC38" s="2"/>
      <c r="BY38" s="38"/>
      <c r="BZ38" s="38"/>
      <c r="CA38" s="38"/>
      <c r="CB38" s="38"/>
      <c r="DF38" s="34"/>
      <c r="DG38" s="34"/>
      <c r="DH38" s="34"/>
      <c r="DI38" s="34"/>
      <c r="DJ38" s="34"/>
      <c r="DK38" s="34"/>
      <c r="DL38" s="34"/>
      <c r="DM38" s="34"/>
      <c r="DN38" s="34"/>
      <c r="DO38" s="34"/>
      <c r="DP38" s="34"/>
      <c r="DQ38" s="34"/>
      <c r="DR38" s="34"/>
      <c r="DS38" s="34"/>
      <c r="DT38" s="34"/>
      <c r="DU38" s="34"/>
      <c r="DV38" s="34"/>
      <c r="DW38" s="34"/>
      <c r="DX38" s="34"/>
    </row>
    <row r="39" spans="1:189" x14ac:dyDescent="0.25">
      <c r="A39" s="2" t="s">
        <v>75</v>
      </c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4" max="1048575" man="1"/>
    <brk id="36" max="1048575" man="1"/>
    <brk id="52" max="1048575" man="1"/>
    <brk id="116" max="95" man="1"/>
    <brk id="152" max="1048575" man="1"/>
    <brk id="176" max="1048575" man="1"/>
    <brk id="184" max="9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K39"/>
  <sheetViews>
    <sheetView zoomScale="96" zoomScaleNormal="96" zoomScaleSheetLayoutView="100" workbookViewId="0">
      <pane xSplit="2" ySplit="5" topLeftCell="C27" activePane="bottomRight" state="frozen"/>
      <selection activeCell="S31" sqref="S31"/>
      <selection pane="topRight" activeCell="S31" sqref="S31"/>
      <selection pane="bottomLeft" activeCell="S31" sqref="S31"/>
      <selection pane="bottomRight" activeCell="B38" sqref="B38"/>
    </sheetView>
  </sheetViews>
  <sheetFormatPr defaultColWidth="8.85546875" defaultRowHeight="15" x14ac:dyDescent="0.25"/>
  <cols>
    <col min="1" max="1" width="11" style="2" customWidth="1"/>
    <col min="2" max="2" width="33" style="2" customWidth="1"/>
    <col min="3" max="6" width="11.28515625" style="2" customWidth="1"/>
    <col min="7" max="16" width="11.85546875" style="6" customWidth="1"/>
    <col min="17" max="18" width="9.140625" style="2" customWidth="1"/>
    <col min="19" max="19" width="11.85546875" style="2" customWidth="1"/>
    <col min="20" max="20" width="11.28515625" style="2" customWidth="1"/>
    <col min="21" max="21" width="11.7109375" style="6" customWidth="1"/>
    <col min="22" max="22" width="9.140625" style="2" customWidth="1"/>
    <col min="23" max="23" width="10.85546875" style="2" customWidth="1"/>
    <col min="24" max="24" width="10.85546875" style="6" customWidth="1"/>
    <col min="25" max="25" width="11" style="2" customWidth="1"/>
    <col min="26" max="28" width="11.42578125" style="2" customWidth="1"/>
    <col min="29" max="56" width="9.140625" style="2" customWidth="1"/>
    <col min="57" max="57" width="12.42578125" style="2" customWidth="1"/>
    <col min="58" max="79" width="9.140625" style="2" customWidth="1"/>
    <col min="80" max="80" width="12.140625" style="2" customWidth="1"/>
    <col min="81" max="84" width="9.140625" style="2" customWidth="1"/>
    <col min="85" max="89" width="9.140625" style="2" hidden="1" customWidth="1"/>
    <col min="90" max="90" width="9.140625" style="2" customWidth="1"/>
    <col min="91" max="95" width="9.140625" style="2" hidden="1" customWidth="1"/>
    <col min="96" max="96" width="9.140625" style="2" customWidth="1"/>
    <col min="97" max="101" width="9.140625" style="2" hidden="1" customWidth="1"/>
    <col min="102" max="102" width="9.140625" style="2" customWidth="1"/>
    <col min="103" max="107" width="9.140625" style="2" hidden="1" customWidth="1"/>
    <col min="108" max="108" width="9.140625" style="2" customWidth="1"/>
    <col min="109" max="113" width="9.140625" style="2" hidden="1" customWidth="1"/>
    <col min="114" max="114" width="9.140625" style="6" customWidth="1"/>
    <col min="115" max="119" width="9.140625" style="6" hidden="1" customWidth="1"/>
    <col min="120" max="120" width="9.140625" style="6" customWidth="1"/>
    <col min="121" max="125" width="9.140625" style="6" hidden="1" customWidth="1"/>
    <col min="126" max="126" width="9.140625" style="6" customWidth="1"/>
    <col min="127" max="131" width="9.140625" style="6" hidden="1" customWidth="1"/>
    <col min="132" max="132" width="9.140625" style="6" customWidth="1"/>
    <col min="133" max="162" width="9.140625" style="2" customWidth="1"/>
    <col min="163" max="163" width="9.140625" style="2" hidden="1" customWidth="1"/>
    <col min="164" max="171" width="9.140625" style="2" customWidth="1"/>
    <col min="172" max="172" width="9.140625" style="2" hidden="1" customWidth="1"/>
    <col min="173" max="177" width="9.140625" style="2" customWidth="1"/>
    <col min="178" max="178" width="9.140625" style="2" hidden="1" customWidth="1"/>
    <col min="179" max="188" width="9.140625" style="2" customWidth="1"/>
    <col min="189" max="192" width="8.85546875" style="2"/>
    <col min="193" max="193" width="12.7109375" style="2" bestFit="1" customWidth="1"/>
    <col min="194" max="16384" width="8.85546875" style="2"/>
  </cols>
  <sheetData>
    <row r="1" spans="1:193" ht="18.75" x14ac:dyDescent="0.3">
      <c r="A1" s="2" t="s">
        <v>53</v>
      </c>
      <c r="B1" s="21" t="s">
        <v>66</v>
      </c>
      <c r="W1" s="7"/>
    </row>
    <row r="2" spans="1:193" ht="15.75" x14ac:dyDescent="0.25">
      <c r="A2" s="11" t="s">
        <v>50</v>
      </c>
      <c r="I2" s="6" t="str">
        <f>[1]GSVA_cur!$I$3</f>
        <v>01.08.2025</v>
      </c>
    </row>
    <row r="3" spans="1:193" ht="15.75" x14ac:dyDescent="0.25">
      <c r="A3" s="11"/>
      <c r="B3" s="29"/>
    </row>
    <row r="4" spans="1:193" ht="15.75" x14ac:dyDescent="0.25">
      <c r="A4" s="11"/>
      <c r="E4" s="10"/>
      <c r="F4" s="10" t="s">
        <v>57</v>
      </c>
    </row>
    <row r="5" spans="1:193" ht="15.75" x14ac:dyDescent="0.25">
      <c r="A5" s="12" t="s">
        <v>0</v>
      </c>
      <c r="B5" s="13" t="s">
        <v>1</v>
      </c>
      <c r="C5" s="3" t="s">
        <v>21</v>
      </c>
      <c r="D5" s="3" t="s">
        <v>22</v>
      </c>
      <c r="E5" s="3" t="s">
        <v>23</v>
      </c>
      <c r="F5" s="3" t="s">
        <v>56</v>
      </c>
      <c r="G5" s="20" t="s">
        <v>65</v>
      </c>
      <c r="H5" s="20" t="s">
        <v>67</v>
      </c>
      <c r="I5" s="20" t="s">
        <v>68</v>
      </c>
      <c r="J5" s="20" t="s">
        <v>69</v>
      </c>
      <c r="K5" s="20" t="s">
        <v>70</v>
      </c>
      <c r="L5" s="20" t="s">
        <v>71</v>
      </c>
      <c r="M5" s="28" t="s">
        <v>72</v>
      </c>
      <c r="N5" s="28" t="s">
        <v>73</v>
      </c>
      <c r="O5" s="28" t="s">
        <v>74</v>
      </c>
      <c r="P5" s="28" t="s">
        <v>76</v>
      </c>
    </row>
    <row r="6" spans="1:193" s="34" customFormat="1" ht="15.75" x14ac:dyDescent="0.25">
      <c r="A6" s="30" t="s">
        <v>26</v>
      </c>
      <c r="B6" s="31" t="s">
        <v>2</v>
      </c>
      <c r="C6" s="32">
        <f>SUM(C7:C10)</f>
        <v>63293</v>
      </c>
      <c r="D6" s="32">
        <f t="shared" ref="D6:M6" si="0">SUM(D7:D10)</f>
        <v>76814</v>
      </c>
      <c r="E6" s="32">
        <f t="shared" si="0"/>
        <v>81804</v>
      </c>
      <c r="F6" s="32">
        <f t="shared" si="0"/>
        <v>96954.320699999997</v>
      </c>
      <c r="G6" s="32">
        <f t="shared" si="0"/>
        <v>100882.60181837458</v>
      </c>
      <c r="H6" s="32">
        <f t="shared" si="0"/>
        <v>108450.52230000001</v>
      </c>
      <c r="I6" s="32">
        <f t="shared" si="0"/>
        <v>110829.0243</v>
      </c>
      <c r="J6" s="32">
        <f t="shared" si="0"/>
        <v>123057.00884594108</v>
      </c>
      <c r="K6" s="32">
        <f t="shared" si="0"/>
        <v>132615.85169745915</v>
      </c>
      <c r="L6" s="32">
        <f t="shared" si="0"/>
        <v>126049.84042561069</v>
      </c>
      <c r="M6" s="32">
        <f t="shared" si="0"/>
        <v>130530.13271274709</v>
      </c>
      <c r="N6" s="32">
        <f t="shared" ref="N6:O6" si="1">SUM(N7:N10)</f>
        <v>121472.26014360218</v>
      </c>
      <c r="O6" s="32">
        <f t="shared" si="1"/>
        <v>149481.61405363368</v>
      </c>
      <c r="P6" s="32">
        <f t="shared" ref="P6" si="2">SUM(P7:P10)</f>
        <v>199604.73310019154</v>
      </c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K6" s="29"/>
    </row>
    <row r="7" spans="1:193" ht="15.75" x14ac:dyDescent="0.25">
      <c r="A7" s="16">
        <v>1.1000000000000001</v>
      </c>
      <c r="B7" s="17" t="s">
        <v>59</v>
      </c>
      <c r="C7" s="4">
        <v>11067</v>
      </c>
      <c r="D7" s="4">
        <v>19590</v>
      </c>
      <c r="E7" s="4">
        <v>19414</v>
      </c>
      <c r="F7" s="4">
        <v>25375.178800000002</v>
      </c>
      <c r="G7" s="4">
        <v>21958.382751088575</v>
      </c>
      <c r="H7" s="4">
        <v>21954.892999999996</v>
      </c>
      <c r="I7" s="4">
        <v>24383.285300000003</v>
      </c>
      <c r="J7" s="4">
        <v>28890.066400000003</v>
      </c>
      <c r="K7" s="4">
        <v>33540.449093482908</v>
      </c>
      <c r="L7" s="4">
        <v>24524.606441469754</v>
      </c>
      <c r="M7" s="4">
        <v>22421.897568419659</v>
      </c>
      <c r="N7" s="4">
        <v>10356.168738912809</v>
      </c>
      <c r="O7" s="4">
        <v>20265.059268325225</v>
      </c>
      <c r="P7" s="4">
        <v>42057.582379970569</v>
      </c>
      <c r="Q7" s="8"/>
      <c r="R7" s="8"/>
      <c r="S7" s="8"/>
      <c r="T7" s="8"/>
      <c r="U7" s="7"/>
      <c r="V7" s="8"/>
      <c r="W7" s="8"/>
      <c r="X7" s="7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6"/>
      <c r="GI7" s="6"/>
      <c r="GJ7" s="6"/>
    </row>
    <row r="8" spans="1:193" ht="15.75" x14ac:dyDescent="0.25">
      <c r="A8" s="16">
        <v>1.2</v>
      </c>
      <c r="B8" s="17" t="s">
        <v>60</v>
      </c>
      <c r="C8" s="4">
        <v>31830</v>
      </c>
      <c r="D8" s="4">
        <v>36266</v>
      </c>
      <c r="E8" s="4">
        <v>39492</v>
      </c>
      <c r="F8" s="4">
        <v>45102.750899999999</v>
      </c>
      <c r="G8" s="4">
        <v>47918.196308184473</v>
      </c>
      <c r="H8" s="4">
        <v>51005.237500000003</v>
      </c>
      <c r="I8" s="4">
        <v>53632.0726</v>
      </c>
      <c r="J8" s="4">
        <v>55121.267</v>
      </c>
      <c r="K8" s="4">
        <v>55434.409031509858</v>
      </c>
      <c r="L8" s="4">
        <v>63259.996931146758</v>
      </c>
      <c r="M8" s="4">
        <v>67984.312180096444</v>
      </c>
      <c r="N8" s="4">
        <v>73003.337771352642</v>
      </c>
      <c r="O8" s="4">
        <v>75317.571586280043</v>
      </c>
      <c r="P8" s="4">
        <v>77844.92358546301</v>
      </c>
      <c r="Q8" s="8"/>
      <c r="R8" s="8"/>
      <c r="S8" s="8"/>
      <c r="T8" s="8"/>
      <c r="U8" s="7"/>
      <c r="V8" s="8"/>
      <c r="W8" s="8"/>
      <c r="X8" s="7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6"/>
      <c r="GI8" s="6"/>
      <c r="GJ8" s="6"/>
    </row>
    <row r="9" spans="1:193" ht="15.75" x14ac:dyDescent="0.25">
      <c r="A9" s="16">
        <v>1.3</v>
      </c>
      <c r="B9" s="17" t="s">
        <v>61</v>
      </c>
      <c r="C9" s="4">
        <v>3283</v>
      </c>
      <c r="D9" s="4">
        <v>3350</v>
      </c>
      <c r="E9" s="4">
        <v>3293</v>
      </c>
      <c r="F9" s="4">
        <v>4133.8576999999996</v>
      </c>
      <c r="G9" s="4">
        <v>4205.5128325458991</v>
      </c>
      <c r="H9" s="4">
        <v>8265.3212000000003</v>
      </c>
      <c r="I9" s="4">
        <v>6078.5443999999998</v>
      </c>
      <c r="J9" s="4">
        <v>6712.9226443105417</v>
      </c>
      <c r="K9" s="4">
        <v>6794.3074550535594</v>
      </c>
      <c r="L9" s="4">
        <v>6781.7536318206521</v>
      </c>
      <c r="M9" s="4">
        <v>6975.2913376236083</v>
      </c>
      <c r="N9" s="4">
        <v>7748.1360640208395</v>
      </c>
      <c r="O9" s="4">
        <v>8088.0961894922375</v>
      </c>
      <c r="P9" s="4">
        <v>8458.5429078215238</v>
      </c>
      <c r="Q9" s="8"/>
      <c r="R9" s="8"/>
      <c r="S9" s="8"/>
      <c r="T9" s="8"/>
      <c r="U9" s="7"/>
      <c r="V9" s="8"/>
      <c r="W9" s="8"/>
      <c r="X9" s="7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6"/>
      <c r="GI9" s="6"/>
      <c r="GJ9" s="6"/>
    </row>
    <row r="10" spans="1:193" ht="15.75" x14ac:dyDescent="0.25">
      <c r="A10" s="16">
        <v>1.4</v>
      </c>
      <c r="B10" s="17" t="s">
        <v>62</v>
      </c>
      <c r="C10" s="4">
        <v>17113</v>
      </c>
      <c r="D10" s="4">
        <v>17608</v>
      </c>
      <c r="E10" s="4">
        <v>19605</v>
      </c>
      <c r="F10" s="4">
        <v>22342.533299999999</v>
      </c>
      <c r="G10" s="4">
        <v>26800.509926555635</v>
      </c>
      <c r="H10" s="4">
        <v>27225.070599999999</v>
      </c>
      <c r="I10" s="4">
        <v>26735.121999999999</v>
      </c>
      <c r="J10" s="4">
        <v>32332.75280163053</v>
      </c>
      <c r="K10" s="4">
        <v>36846.686117412835</v>
      </c>
      <c r="L10" s="4">
        <v>31483.483421173518</v>
      </c>
      <c r="M10" s="4">
        <v>33148.631626607377</v>
      </c>
      <c r="N10" s="4">
        <v>30364.617569315884</v>
      </c>
      <c r="O10" s="4">
        <v>45810.887009536171</v>
      </c>
      <c r="P10" s="4">
        <v>71243.684226936442</v>
      </c>
      <c r="Q10" s="8"/>
      <c r="R10" s="8"/>
      <c r="S10" s="8"/>
      <c r="T10" s="8"/>
      <c r="U10" s="7"/>
      <c r="V10" s="8"/>
      <c r="W10" s="8"/>
      <c r="X10" s="7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6"/>
      <c r="GI10" s="6"/>
      <c r="GJ10" s="6"/>
    </row>
    <row r="11" spans="1:193" ht="15.75" x14ac:dyDescent="0.25">
      <c r="A11" s="18" t="s">
        <v>31</v>
      </c>
      <c r="B11" s="17" t="s">
        <v>3</v>
      </c>
      <c r="C11" s="4">
        <v>22301</v>
      </c>
      <c r="D11" s="4">
        <v>32127.999999999996</v>
      </c>
      <c r="E11" s="4">
        <v>37614</v>
      </c>
      <c r="F11" s="4">
        <v>28279.659399999997</v>
      </c>
      <c r="G11" s="4">
        <v>32053.724000000002</v>
      </c>
      <c r="H11" s="4">
        <v>44031.457799999996</v>
      </c>
      <c r="I11" s="4">
        <v>57044.418900000004</v>
      </c>
      <c r="J11" s="4">
        <v>46397.368999999999</v>
      </c>
      <c r="K11" s="4">
        <v>44361.71667948697</v>
      </c>
      <c r="L11" s="4">
        <v>37563.626937772249</v>
      </c>
      <c r="M11" s="4">
        <v>42762.253444420108</v>
      </c>
      <c r="N11" s="4">
        <v>39530.09202580047</v>
      </c>
      <c r="O11" s="4">
        <v>35174.919143289051</v>
      </c>
      <c r="P11" s="4">
        <v>28838.545873955831</v>
      </c>
      <c r="Q11" s="8"/>
      <c r="R11" s="8"/>
      <c r="S11" s="8"/>
      <c r="T11" s="8"/>
      <c r="U11" s="7"/>
      <c r="V11" s="8"/>
      <c r="W11" s="8"/>
      <c r="X11" s="7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6"/>
      <c r="GI11" s="6"/>
      <c r="GJ11" s="6"/>
    </row>
    <row r="12" spans="1:193" s="29" customFormat="1" ht="15.75" x14ac:dyDescent="0.25">
      <c r="A12" s="35"/>
      <c r="B12" s="36" t="s">
        <v>28</v>
      </c>
      <c r="C12" s="37">
        <f>C6+C11</f>
        <v>85594</v>
      </c>
      <c r="D12" s="37">
        <f t="shared" ref="D12:M12" si="3">D6+D11</f>
        <v>108942</v>
      </c>
      <c r="E12" s="37">
        <f t="shared" si="3"/>
        <v>119418</v>
      </c>
      <c r="F12" s="37">
        <f t="shared" si="3"/>
        <v>125233.98009999999</v>
      </c>
      <c r="G12" s="37">
        <f t="shared" si="3"/>
        <v>132936.32581837458</v>
      </c>
      <c r="H12" s="37">
        <f t="shared" si="3"/>
        <v>152481.98010000002</v>
      </c>
      <c r="I12" s="37">
        <f t="shared" si="3"/>
        <v>167873.44320000001</v>
      </c>
      <c r="J12" s="37">
        <f t="shared" si="3"/>
        <v>169454.37784594108</v>
      </c>
      <c r="K12" s="37">
        <f t="shared" si="3"/>
        <v>176977.56837694612</v>
      </c>
      <c r="L12" s="37">
        <f t="shared" si="3"/>
        <v>163613.46736338292</v>
      </c>
      <c r="M12" s="37">
        <f t="shared" si="3"/>
        <v>173292.3861571672</v>
      </c>
      <c r="N12" s="37">
        <f t="shared" ref="N12:P12" si="4">N6+N11</f>
        <v>161002.35216940264</v>
      </c>
      <c r="O12" s="37">
        <f t="shared" si="4"/>
        <v>184656.53319692274</v>
      </c>
      <c r="P12" s="37">
        <f t="shared" si="4"/>
        <v>228443.27897414737</v>
      </c>
      <c r="Q12" s="8"/>
      <c r="R12" s="8"/>
      <c r="S12" s="8"/>
      <c r="T12" s="8"/>
      <c r="U12" s="7"/>
      <c r="V12" s="8"/>
      <c r="W12" s="8"/>
      <c r="X12" s="7"/>
      <c r="Y12" s="8"/>
      <c r="Z12" s="8"/>
      <c r="AA12" s="8"/>
      <c r="AB12" s="8"/>
      <c r="AC12" s="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  <c r="EY12" s="38"/>
      <c r="EZ12" s="38"/>
      <c r="FA12" s="38"/>
      <c r="FB12" s="38"/>
      <c r="FC12" s="38"/>
      <c r="FD12" s="38"/>
      <c r="FE12" s="38"/>
      <c r="FF12" s="38"/>
      <c r="FG12" s="38"/>
      <c r="FH12" s="38"/>
      <c r="FI12" s="38"/>
      <c r="FJ12" s="38"/>
      <c r="FK12" s="38"/>
      <c r="FL12" s="38"/>
      <c r="FM12" s="38"/>
      <c r="FN12" s="38"/>
      <c r="FO12" s="38"/>
      <c r="FP12" s="38"/>
      <c r="FQ12" s="38"/>
      <c r="FR12" s="38"/>
      <c r="FS12" s="38"/>
      <c r="FT12" s="38"/>
      <c r="FU12" s="38"/>
      <c r="FV12" s="38"/>
      <c r="FW12" s="38"/>
      <c r="FX12" s="38"/>
      <c r="FY12" s="38"/>
      <c r="FZ12" s="38"/>
      <c r="GA12" s="38"/>
      <c r="GB12" s="38"/>
      <c r="GC12" s="38"/>
      <c r="GD12" s="38"/>
      <c r="GE12" s="38"/>
      <c r="GF12" s="38"/>
      <c r="GG12" s="38"/>
      <c r="GH12" s="34"/>
      <c r="GI12" s="34"/>
      <c r="GJ12" s="34"/>
    </row>
    <row r="13" spans="1:193" s="6" customFormat="1" ht="15.75" x14ac:dyDescent="0.25">
      <c r="A13" s="14" t="s">
        <v>32</v>
      </c>
      <c r="B13" s="15" t="s">
        <v>4</v>
      </c>
      <c r="C13" s="1">
        <v>368161</v>
      </c>
      <c r="D13" s="1">
        <v>369736</v>
      </c>
      <c r="E13" s="1">
        <v>513276</v>
      </c>
      <c r="F13" s="1">
        <v>393467.67820000002</v>
      </c>
      <c r="G13" s="1">
        <v>637708.87966883148</v>
      </c>
      <c r="H13" s="1">
        <v>701068.81220000004</v>
      </c>
      <c r="I13" s="1">
        <v>740557.67200000002</v>
      </c>
      <c r="J13" s="1">
        <v>852772.49600000004</v>
      </c>
      <c r="K13" s="1">
        <v>840761.37792826211</v>
      </c>
      <c r="L13" s="1">
        <v>961068.91366538103</v>
      </c>
      <c r="M13" s="1">
        <v>810851.66956999747</v>
      </c>
      <c r="N13" s="1">
        <v>736039.92369419069</v>
      </c>
      <c r="O13" s="1">
        <v>821786.62031989824</v>
      </c>
      <c r="P13" s="1">
        <v>936774.33370558801</v>
      </c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K13" s="2"/>
    </row>
    <row r="14" spans="1:193" ht="30" x14ac:dyDescent="0.25">
      <c r="A14" s="18" t="s">
        <v>33</v>
      </c>
      <c r="B14" s="17" t="s">
        <v>5</v>
      </c>
      <c r="C14" s="4">
        <v>16777</v>
      </c>
      <c r="D14" s="4">
        <v>20176</v>
      </c>
      <c r="E14" s="4">
        <v>19679</v>
      </c>
      <c r="F14" s="4">
        <v>33126.154000000002</v>
      </c>
      <c r="G14" s="4">
        <v>14363.299196999742</v>
      </c>
      <c r="H14" s="4">
        <v>17249.9725</v>
      </c>
      <c r="I14" s="4">
        <v>22112.370800000001</v>
      </c>
      <c r="J14" s="4">
        <v>30123.323600000003</v>
      </c>
      <c r="K14" s="4">
        <v>35013.778477349391</v>
      </c>
      <c r="L14" s="4">
        <v>24420.812998949285</v>
      </c>
      <c r="M14" s="4">
        <v>33580.099632621481</v>
      </c>
      <c r="N14" s="4">
        <v>33197.685258814439</v>
      </c>
      <c r="O14" s="4">
        <v>37844.928485017925</v>
      </c>
      <c r="P14" s="4">
        <v>28225.346303264581</v>
      </c>
      <c r="Q14" s="8"/>
      <c r="R14" s="8"/>
      <c r="S14" s="8"/>
      <c r="T14" s="8"/>
      <c r="U14" s="7"/>
      <c r="V14" s="8"/>
      <c r="W14" s="8"/>
      <c r="X14" s="7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7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7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7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6"/>
      <c r="GI14" s="6"/>
      <c r="GJ14" s="6"/>
    </row>
    <row r="15" spans="1:193" ht="15.75" x14ac:dyDescent="0.25">
      <c r="A15" s="18" t="s">
        <v>34</v>
      </c>
      <c r="B15" s="17" t="s">
        <v>6</v>
      </c>
      <c r="C15" s="4">
        <v>232607.00000000003</v>
      </c>
      <c r="D15" s="4">
        <v>232469.99999999997</v>
      </c>
      <c r="E15" s="4">
        <v>279121</v>
      </c>
      <c r="F15" s="4">
        <v>300553.19199999998</v>
      </c>
      <c r="G15" s="4">
        <v>305853.32454796974</v>
      </c>
      <c r="H15" s="4">
        <v>336926.0834</v>
      </c>
      <c r="I15" s="4">
        <v>370017.73090000002</v>
      </c>
      <c r="J15" s="4">
        <v>418191.94400000002</v>
      </c>
      <c r="K15" s="4">
        <v>419317.98027494596</v>
      </c>
      <c r="L15" s="4">
        <v>394601.42006420658</v>
      </c>
      <c r="M15" s="4">
        <v>536730.95071577583</v>
      </c>
      <c r="N15" s="4">
        <v>560132.71207188477</v>
      </c>
      <c r="O15" s="4">
        <v>616487.39015140082</v>
      </c>
      <c r="P15" s="4">
        <v>700199.74255273899</v>
      </c>
      <c r="Q15" s="8"/>
      <c r="R15" s="8"/>
      <c r="S15" s="8"/>
      <c r="T15" s="8"/>
      <c r="U15" s="7"/>
      <c r="V15" s="8"/>
      <c r="W15" s="8"/>
      <c r="X15" s="7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7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7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7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6"/>
      <c r="GI15" s="6"/>
      <c r="GJ15" s="6"/>
    </row>
    <row r="16" spans="1:193" s="29" customFormat="1" ht="15.75" x14ac:dyDescent="0.25">
      <c r="A16" s="35"/>
      <c r="B16" s="36" t="s">
        <v>29</v>
      </c>
      <c r="C16" s="37">
        <f>+C13+C14+C15</f>
        <v>617545</v>
      </c>
      <c r="D16" s="37">
        <f t="shared" ref="D16:I16" si="5">+D13+D14+D15</f>
        <v>622382</v>
      </c>
      <c r="E16" s="37">
        <f t="shared" si="5"/>
        <v>812076</v>
      </c>
      <c r="F16" s="37">
        <f t="shared" si="5"/>
        <v>727147.02419999999</v>
      </c>
      <c r="G16" s="37">
        <f t="shared" si="5"/>
        <v>957925.50341380097</v>
      </c>
      <c r="H16" s="37">
        <f t="shared" si="5"/>
        <v>1055244.8681000001</v>
      </c>
      <c r="I16" s="37">
        <f t="shared" si="5"/>
        <v>1132687.7737</v>
      </c>
      <c r="J16" s="37">
        <f t="shared" ref="J16:M16" si="6">+J13+J14+J15</f>
        <v>1301087.7636000002</v>
      </c>
      <c r="K16" s="37">
        <f t="shared" si="6"/>
        <v>1295093.1366805574</v>
      </c>
      <c r="L16" s="37">
        <f t="shared" si="6"/>
        <v>1380091.146728537</v>
      </c>
      <c r="M16" s="37">
        <f t="shared" si="6"/>
        <v>1381162.7199183949</v>
      </c>
      <c r="N16" s="37">
        <f t="shared" ref="N16:O16" si="7">+N13+N14+N15</f>
        <v>1329370.3210248901</v>
      </c>
      <c r="O16" s="37">
        <f t="shared" si="7"/>
        <v>1476118.938956317</v>
      </c>
      <c r="P16" s="37">
        <f t="shared" ref="P16" si="8">+P13+P14+P15</f>
        <v>1665199.4225615915</v>
      </c>
      <c r="Q16" s="8"/>
      <c r="R16" s="8"/>
      <c r="S16" s="8"/>
      <c r="T16" s="8"/>
      <c r="U16" s="7"/>
      <c r="V16" s="8"/>
      <c r="W16" s="8"/>
      <c r="X16" s="7"/>
      <c r="Y16" s="8"/>
      <c r="Z16" s="8"/>
      <c r="AA16" s="8"/>
      <c r="AB16" s="8"/>
      <c r="AC16" s="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3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3"/>
      <c r="EU16" s="38"/>
      <c r="EV16" s="38"/>
      <c r="EW16" s="38"/>
      <c r="EX16" s="38"/>
      <c r="EY16" s="38"/>
      <c r="EZ16" s="38"/>
      <c r="FA16" s="38"/>
      <c r="FB16" s="38"/>
      <c r="FC16" s="38"/>
      <c r="FD16" s="38"/>
      <c r="FE16" s="38"/>
      <c r="FF16" s="38"/>
      <c r="FG16" s="38"/>
      <c r="FH16" s="38"/>
      <c r="FI16" s="38"/>
      <c r="FJ16" s="38"/>
      <c r="FK16" s="38"/>
      <c r="FL16" s="38"/>
      <c r="FM16" s="38"/>
      <c r="FN16" s="38"/>
      <c r="FO16" s="38"/>
      <c r="FP16" s="38"/>
      <c r="FQ16" s="38"/>
      <c r="FR16" s="33"/>
      <c r="FS16" s="38"/>
      <c r="FT16" s="38"/>
      <c r="FU16" s="38"/>
      <c r="FV16" s="38"/>
      <c r="FW16" s="38"/>
      <c r="FX16" s="38"/>
      <c r="FY16" s="38"/>
      <c r="FZ16" s="38"/>
      <c r="GA16" s="38"/>
      <c r="GB16" s="38"/>
      <c r="GC16" s="38"/>
      <c r="GD16" s="38"/>
      <c r="GE16" s="38"/>
      <c r="GF16" s="38"/>
      <c r="GG16" s="38"/>
      <c r="GH16" s="34"/>
      <c r="GI16" s="34"/>
      <c r="GJ16" s="34"/>
    </row>
    <row r="17" spans="1:193" s="34" customFormat="1" ht="30" x14ac:dyDescent="0.25">
      <c r="A17" s="30" t="s">
        <v>35</v>
      </c>
      <c r="B17" s="31" t="s">
        <v>7</v>
      </c>
      <c r="C17" s="32">
        <f>C18+C19</f>
        <v>142356</v>
      </c>
      <c r="D17" s="32">
        <f t="shared" ref="D17:I17" si="9">D18+D19</f>
        <v>182518</v>
      </c>
      <c r="E17" s="32">
        <f t="shared" si="9"/>
        <v>183167</v>
      </c>
      <c r="F17" s="32">
        <f t="shared" si="9"/>
        <v>194683.23699999999</v>
      </c>
      <c r="G17" s="32">
        <f t="shared" si="9"/>
        <v>215222.23418599079</v>
      </c>
      <c r="H17" s="32">
        <f t="shared" si="9"/>
        <v>239562.5545</v>
      </c>
      <c r="I17" s="32">
        <f t="shared" si="9"/>
        <v>266622.717</v>
      </c>
      <c r="J17" s="32">
        <f t="shared" ref="J17:M17" si="10">J18+J19</f>
        <v>309579.84770000004</v>
      </c>
      <c r="K17" s="32">
        <f t="shared" si="10"/>
        <v>330777.96213200717</v>
      </c>
      <c r="L17" s="32">
        <f t="shared" si="10"/>
        <v>251578.83908040018</v>
      </c>
      <c r="M17" s="32">
        <f t="shared" si="10"/>
        <v>315024.8092245888</v>
      </c>
      <c r="N17" s="32">
        <f t="shared" ref="N17:O17" si="11">N18+N19</f>
        <v>387126.00666340278</v>
      </c>
      <c r="O17" s="32">
        <f t="shared" si="11"/>
        <v>418354.58079288434</v>
      </c>
      <c r="P17" s="32">
        <f t="shared" ref="P17" si="12">P18+P19</f>
        <v>461381.68987742322</v>
      </c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/>
      <c r="EQ17" s="33"/>
      <c r="ER17" s="33"/>
      <c r="ES17" s="33"/>
      <c r="ET17" s="33"/>
      <c r="EU17" s="33"/>
      <c r="EV17" s="33"/>
      <c r="EW17" s="33"/>
      <c r="EX17" s="33"/>
      <c r="EY17" s="33"/>
      <c r="EZ17" s="33"/>
      <c r="FA17" s="33"/>
      <c r="FB17" s="33"/>
      <c r="FC17" s="33"/>
      <c r="FD17" s="33"/>
      <c r="FE17" s="33"/>
      <c r="FF17" s="33"/>
      <c r="FG17" s="33"/>
      <c r="FH17" s="33"/>
      <c r="FI17" s="33"/>
      <c r="FJ17" s="33"/>
      <c r="FK17" s="33"/>
      <c r="FL17" s="33"/>
      <c r="FM17" s="33"/>
      <c r="FN17" s="33"/>
      <c r="FO17" s="33"/>
      <c r="FP17" s="33"/>
      <c r="FQ17" s="33"/>
      <c r="FR17" s="33"/>
      <c r="FS17" s="33"/>
      <c r="FT17" s="33"/>
      <c r="FU17" s="33"/>
      <c r="FV17" s="33"/>
      <c r="FW17" s="33"/>
      <c r="FX17" s="33"/>
      <c r="FY17" s="33"/>
      <c r="FZ17" s="33"/>
      <c r="GA17" s="33"/>
      <c r="GB17" s="33"/>
      <c r="GC17" s="33"/>
      <c r="GD17" s="33"/>
      <c r="GE17" s="33"/>
      <c r="GF17" s="33"/>
      <c r="GG17" s="33"/>
      <c r="GK17" s="29"/>
    </row>
    <row r="18" spans="1:193" ht="15.75" x14ac:dyDescent="0.25">
      <c r="A18" s="16">
        <v>6.1</v>
      </c>
      <c r="B18" s="17" t="s">
        <v>8</v>
      </c>
      <c r="C18" s="4">
        <v>122777</v>
      </c>
      <c r="D18" s="4">
        <v>161020</v>
      </c>
      <c r="E18" s="4">
        <v>159896</v>
      </c>
      <c r="F18" s="4">
        <v>170160.2402</v>
      </c>
      <c r="G18" s="4">
        <v>189103.17293441985</v>
      </c>
      <c r="H18" s="4">
        <v>210802.962</v>
      </c>
      <c r="I18" s="4">
        <v>234017.16450000001</v>
      </c>
      <c r="J18" s="4">
        <v>272917.32770000002</v>
      </c>
      <c r="K18" s="4">
        <v>291179.63158832619</v>
      </c>
      <c r="L18" s="4">
        <v>232415.45555971022</v>
      </c>
      <c r="M18" s="4">
        <v>284966.22576478717</v>
      </c>
      <c r="N18" s="4">
        <v>332661.22214115941</v>
      </c>
      <c r="O18" s="4">
        <v>354322.86473894538</v>
      </c>
      <c r="P18" s="4">
        <v>384234.81581752689</v>
      </c>
      <c r="Q18" s="8"/>
      <c r="R18" s="8"/>
      <c r="S18" s="8"/>
      <c r="T18" s="8"/>
      <c r="U18" s="7"/>
      <c r="V18" s="8"/>
      <c r="W18" s="8"/>
      <c r="X18" s="7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6"/>
      <c r="GI18" s="6"/>
      <c r="GJ18" s="6"/>
    </row>
    <row r="19" spans="1:193" ht="15.75" x14ac:dyDescent="0.25">
      <c r="A19" s="16">
        <v>6.2</v>
      </c>
      <c r="B19" s="17" t="s">
        <v>9</v>
      </c>
      <c r="C19" s="4">
        <v>19579</v>
      </c>
      <c r="D19" s="4">
        <v>21498</v>
      </c>
      <c r="E19" s="4">
        <v>23271</v>
      </c>
      <c r="F19" s="4">
        <v>24522.996800000001</v>
      </c>
      <c r="G19" s="4">
        <v>26119.061251570925</v>
      </c>
      <c r="H19" s="4">
        <v>28759.592499999999</v>
      </c>
      <c r="I19" s="4">
        <v>32605.552499999998</v>
      </c>
      <c r="J19" s="4">
        <v>36662.519999999997</v>
      </c>
      <c r="K19" s="4">
        <v>39598.330543680982</v>
      </c>
      <c r="L19" s="4">
        <v>19163.383520689975</v>
      </c>
      <c r="M19" s="4">
        <v>30058.583459801641</v>
      </c>
      <c r="N19" s="4">
        <v>54464.784522243339</v>
      </c>
      <c r="O19" s="4">
        <v>64031.716053938988</v>
      </c>
      <c r="P19" s="4">
        <v>77146.874059896305</v>
      </c>
      <c r="Q19" s="8"/>
      <c r="R19" s="8"/>
      <c r="S19" s="8"/>
      <c r="T19" s="8"/>
      <c r="U19" s="7"/>
      <c r="V19" s="8"/>
      <c r="W19" s="8"/>
      <c r="X19" s="7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6"/>
      <c r="GI19" s="6"/>
      <c r="GJ19" s="6"/>
    </row>
    <row r="20" spans="1:193" s="34" customFormat="1" ht="30" x14ac:dyDescent="0.25">
      <c r="A20" s="39" t="s">
        <v>36</v>
      </c>
      <c r="B20" s="40" t="s">
        <v>10</v>
      </c>
      <c r="C20" s="32">
        <f>SUM(C21:C27)</f>
        <v>58764</v>
      </c>
      <c r="D20" s="32">
        <f t="shared" ref="D20:M20" si="13">SUM(D21:D27)</f>
        <v>66478</v>
      </c>
      <c r="E20" s="32">
        <f t="shared" si="13"/>
        <v>69939</v>
      </c>
      <c r="F20" s="32">
        <f t="shared" si="13"/>
        <v>73416.6342</v>
      </c>
      <c r="G20" s="32">
        <f t="shared" si="13"/>
        <v>78029.269218270376</v>
      </c>
      <c r="H20" s="32">
        <f t="shared" si="13"/>
        <v>86217.276000000013</v>
      </c>
      <c r="I20" s="32">
        <f t="shared" si="13"/>
        <v>88057.165100000013</v>
      </c>
      <c r="J20" s="32">
        <f t="shared" si="13"/>
        <v>96474.072000575427</v>
      </c>
      <c r="K20" s="32">
        <f t="shared" si="13"/>
        <v>101811.39668522985</v>
      </c>
      <c r="L20" s="32">
        <f t="shared" si="13"/>
        <v>78590.748161728799</v>
      </c>
      <c r="M20" s="32">
        <f t="shared" si="13"/>
        <v>110430.31176798277</v>
      </c>
      <c r="N20" s="32">
        <f t="shared" ref="N20:P20" si="14">SUM(N21:N27)</f>
        <v>124517.98971639926</v>
      </c>
      <c r="O20" s="32">
        <f t="shared" si="14"/>
        <v>130492.25898039099</v>
      </c>
      <c r="P20" s="32">
        <f t="shared" si="14"/>
        <v>147891.93922538185</v>
      </c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3"/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3"/>
      <c r="DJ20" s="33"/>
      <c r="DK20" s="33"/>
      <c r="DL20" s="33"/>
      <c r="DM20" s="33"/>
      <c r="DN20" s="33"/>
      <c r="DO20" s="33"/>
      <c r="DP20" s="33"/>
      <c r="DQ20" s="33"/>
      <c r="DR20" s="33"/>
      <c r="DS20" s="33"/>
      <c r="DT20" s="33"/>
      <c r="DU20" s="33"/>
      <c r="DV20" s="33"/>
      <c r="DW20" s="33"/>
      <c r="DX20" s="33"/>
      <c r="DY20" s="33"/>
      <c r="DZ20" s="33"/>
      <c r="EA20" s="33"/>
      <c r="EB20" s="33"/>
      <c r="EC20" s="33"/>
      <c r="ED20" s="33"/>
      <c r="EE20" s="33"/>
      <c r="EF20" s="33"/>
      <c r="EG20" s="33"/>
      <c r="EH20" s="33"/>
      <c r="EI20" s="33"/>
      <c r="EJ20" s="33"/>
      <c r="EK20" s="33"/>
      <c r="EL20" s="33"/>
      <c r="EM20" s="33"/>
      <c r="EN20" s="33"/>
      <c r="EO20" s="33"/>
      <c r="EP20" s="33"/>
      <c r="EQ20" s="33"/>
      <c r="ER20" s="33"/>
      <c r="ES20" s="33"/>
      <c r="ET20" s="33"/>
      <c r="EU20" s="33"/>
      <c r="EV20" s="33"/>
      <c r="EW20" s="33"/>
      <c r="EX20" s="33"/>
      <c r="EY20" s="33"/>
      <c r="EZ20" s="33"/>
      <c r="FA20" s="33"/>
      <c r="FB20" s="33"/>
      <c r="FC20" s="33"/>
      <c r="FD20" s="33"/>
      <c r="FE20" s="33"/>
      <c r="FF20" s="33"/>
      <c r="FG20" s="33"/>
      <c r="FH20" s="33"/>
      <c r="FI20" s="33"/>
      <c r="FJ20" s="33"/>
      <c r="FK20" s="33"/>
      <c r="FL20" s="33"/>
      <c r="FM20" s="33"/>
      <c r="FN20" s="33"/>
      <c r="FO20" s="33"/>
      <c r="FP20" s="33"/>
      <c r="FQ20" s="33"/>
      <c r="FR20" s="33"/>
      <c r="FS20" s="33"/>
      <c r="FT20" s="33"/>
      <c r="FU20" s="33"/>
      <c r="FV20" s="33"/>
      <c r="FW20" s="33"/>
      <c r="FX20" s="33"/>
      <c r="FY20" s="33"/>
      <c r="FZ20" s="33"/>
      <c r="GA20" s="33"/>
      <c r="GB20" s="33"/>
      <c r="GC20" s="33"/>
      <c r="GD20" s="33"/>
      <c r="GE20" s="33"/>
      <c r="GF20" s="33"/>
      <c r="GG20" s="33"/>
      <c r="GK20" s="29"/>
    </row>
    <row r="21" spans="1:193" ht="15.75" x14ac:dyDescent="0.25">
      <c r="A21" s="16">
        <v>7.1</v>
      </c>
      <c r="B21" s="17" t="s">
        <v>11</v>
      </c>
      <c r="C21" s="4">
        <v>163</v>
      </c>
      <c r="D21" s="4">
        <v>168</v>
      </c>
      <c r="E21" s="4">
        <v>183</v>
      </c>
      <c r="F21" s="4">
        <v>215</v>
      </c>
      <c r="G21" s="4">
        <v>240.67129999999997</v>
      </c>
      <c r="H21" s="4">
        <v>262</v>
      </c>
      <c r="I21" s="4">
        <v>344</v>
      </c>
      <c r="J21" s="4">
        <v>322</v>
      </c>
      <c r="K21" s="4">
        <v>350.55455424427015</v>
      </c>
      <c r="L21" s="4">
        <v>88.954663224408336</v>
      </c>
      <c r="M21" s="4">
        <v>177.90013445006397</v>
      </c>
      <c r="N21" s="4">
        <v>220.93210266039631</v>
      </c>
      <c r="O21" s="4">
        <v>234.60981265095984</v>
      </c>
      <c r="P21" s="4">
        <v>304.52188147715782</v>
      </c>
      <c r="Q21" s="8"/>
      <c r="R21" s="8"/>
      <c r="S21" s="8"/>
      <c r="T21" s="8"/>
      <c r="U21" s="7"/>
      <c r="V21" s="8"/>
      <c r="W21" s="8"/>
      <c r="X21" s="7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6"/>
      <c r="GI21" s="6"/>
      <c r="GJ21" s="6"/>
    </row>
    <row r="22" spans="1:193" ht="15.75" x14ac:dyDescent="0.25">
      <c r="A22" s="16">
        <v>7.2</v>
      </c>
      <c r="B22" s="17" t="s">
        <v>12</v>
      </c>
      <c r="C22" s="4">
        <v>37096</v>
      </c>
      <c r="D22" s="4">
        <v>42460</v>
      </c>
      <c r="E22" s="4">
        <v>44836</v>
      </c>
      <c r="F22" s="4">
        <v>45480</v>
      </c>
      <c r="G22" s="4">
        <v>46521.90130377515</v>
      </c>
      <c r="H22" s="4">
        <v>50831.317900000002</v>
      </c>
      <c r="I22" s="4">
        <v>54244.020799999998</v>
      </c>
      <c r="J22" s="4">
        <v>62407.778699999995</v>
      </c>
      <c r="K22" s="4">
        <v>60654.661901192754</v>
      </c>
      <c r="L22" s="4">
        <v>41376.832710005212</v>
      </c>
      <c r="M22" s="4">
        <v>66032.489076956568</v>
      </c>
      <c r="N22" s="4">
        <v>68200.04428892865</v>
      </c>
      <c r="O22" s="4">
        <v>68771.787827788619</v>
      </c>
      <c r="P22" s="4">
        <v>72113.740294023737</v>
      </c>
      <c r="Q22" s="8"/>
      <c r="R22" s="8"/>
      <c r="S22" s="8"/>
      <c r="T22" s="8"/>
      <c r="U22" s="7"/>
      <c r="V22" s="8"/>
      <c r="W22" s="8"/>
      <c r="X22" s="7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6"/>
      <c r="GI22" s="6"/>
      <c r="GJ22" s="6"/>
    </row>
    <row r="23" spans="1:193" ht="15.75" x14ac:dyDescent="0.25">
      <c r="A23" s="16">
        <v>7.3</v>
      </c>
      <c r="B23" s="17" t="s">
        <v>13</v>
      </c>
      <c r="C23" s="4">
        <v>3572.9999999999995</v>
      </c>
      <c r="D23" s="4">
        <v>3590</v>
      </c>
      <c r="E23" s="4">
        <v>1757</v>
      </c>
      <c r="F23" s="4">
        <v>1665</v>
      </c>
      <c r="G23" s="4">
        <v>1429.2302416869697</v>
      </c>
      <c r="H23" s="4">
        <v>3982.7317999999996</v>
      </c>
      <c r="I23" s="4">
        <v>3823.2608</v>
      </c>
      <c r="J23" s="4">
        <v>5421.11</v>
      </c>
      <c r="K23" s="4">
        <v>6347.7844465529133</v>
      </c>
      <c r="L23" s="4">
        <v>4905.1745788009048</v>
      </c>
      <c r="M23" s="4">
        <v>5463.2652113024124</v>
      </c>
      <c r="N23" s="4">
        <v>10211.807039913581</v>
      </c>
      <c r="O23" s="4">
        <v>11804.830029254194</v>
      </c>
      <c r="P23" s="4">
        <v>15775.796608069686</v>
      </c>
      <c r="Q23" s="8"/>
      <c r="R23" s="8"/>
      <c r="S23" s="8"/>
      <c r="T23" s="8"/>
      <c r="U23" s="7"/>
      <c r="V23" s="8"/>
      <c r="W23" s="8"/>
      <c r="X23" s="7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6"/>
      <c r="GI23" s="6"/>
      <c r="GJ23" s="6"/>
    </row>
    <row r="24" spans="1:193" ht="15.75" x14ac:dyDescent="0.25">
      <c r="A24" s="16">
        <v>7.4</v>
      </c>
      <c r="B24" s="17" t="s">
        <v>14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212.29920000000001</v>
      </c>
      <c r="J24" s="4">
        <v>226.81659999999999</v>
      </c>
      <c r="K24" s="4">
        <v>274.149112730463</v>
      </c>
      <c r="L24" s="4">
        <v>0.57730197553413931</v>
      </c>
      <c r="M24" s="4">
        <v>0.42460608978535497</v>
      </c>
      <c r="N24" s="4">
        <v>162.44505440735833</v>
      </c>
      <c r="O24" s="4">
        <v>244.0703993788407</v>
      </c>
      <c r="P24" s="4">
        <v>374.46389242294066</v>
      </c>
      <c r="Q24" s="8"/>
      <c r="R24" s="8"/>
      <c r="S24" s="8"/>
      <c r="T24" s="8"/>
      <c r="U24" s="7"/>
      <c r="V24" s="8"/>
      <c r="W24" s="8"/>
      <c r="X24" s="7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6"/>
      <c r="GI24" s="6"/>
      <c r="GJ24" s="6"/>
    </row>
    <row r="25" spans="1:193" ht="15.75" x14ac:dyDescent="0.25">
      <c r="A25" s="16">
        <v>7.5</v>
      </c>
      <c r="B25" s="17" t="s">
        <v>15</v>
      </c>
      <c r="C25" s="4">
        <v>620</v>
      </c>
      <c r="D25" s="4">
        <v>714</v>
      </c>
      <c r="E25" s="4">
        <v>821.00000000000011</v>
      </c>
      <c r="F25" s="4">
        <v>441</v>
      </c>
      <c r="G25" s="4">
        <v>480.65878019826016</v>
      </c>
      <c r="H25" s="4">
        <v>2162.9749000000002</v>
      </c>
      <c r="I25" s="4">
        <v>2144.4528</v>
      </c>
      <c r="J25" s="4">
        <v>732.97619999999995</v>
      </c>
      <c r="K25" s="4">
        <v>2477.9573444727371</v>
      </c>
      <c r="L25" s="4">
        <v>1114.2832013516313</v>
      </c>
      <c r="M25" s="4">
        <v>968.42687850047116</v>
      </c>
      <c r="N25" s="4">
        <v>2007.9943057466253</v>
      </c>
      <c r="O25" s="4">
        <v>2327.3620950152931</v>
      </c>
      <c r="P25" s="4">
        <v>2822.1731842974486</v>
      </c>
      <c r="Q25" s="8"/>
      <c r="R25" s="8"/>
      <c r="S25" s="8"/>
      <c r="T25" s="8"/>
      <c r="U25" s="7"/>
      <c r="V25" s="8"/>
      <c r="W25" s="8"/>
      <c r="X25" s="7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6"/>
      <c r="GI25" s="6"/>
      <c r="GJ25" s="6"/>
    </row>
    <row r="26" spans="1:193" ht="15.75" x14ac:dyDescent="0.25">
      <c r="A26" s="16">
        <v>7.6</v>
      </c>
      <c r="B26" s="17" t="s">
        <v>16</v>
      </c>
      <c r="C26" s="4">
        <v>44</v>
      </c>
      <c r="D26" s="4">
        <v>39</v>
      </c>
      <c r="E26" s="4">
        <v>25</v>
      </c>
      <c r="F26" s="4">
        <v>25.6342</v>
      </c>
      <c r="G26" s="4">
        <v>25.721</v>
      </c>
      <c r="H26" s="4">
        <v>152.61779999999999</v>
      </c>
      <c r="I26" s="4">
        <v>15.971499999999999</v>
      </c>
      <c r="J26" s="4">
        <v>56.955000575424599</v>
      </c>
      <c r="K26" s="4">
        <v>56.171823911816169</v>
      </c>
      <c r="L26" s="4">
        <v>12.541347412346141</v>
      </c>
      <c r="M26" s="4">
        <v>18.520062499467894</v>
      </c>
      <c r="N26" s="4">
        <v>46.217715382857044</v>
      </c>
      <c r="O26" s="4">
        <v>30.406177318258443</v>
      </c>
      <c r="P26" s="4">
        <v>21.034446351832003</v>
      </c>
      <c r="Q26" s="8"/>
      <c r="R26" s="8"/>
      <c r="S26" s="8"/>
      <c r="T26" s="8"/>
      <c r="U26" s="7"/>
      <c r="V26" s="8"/>
      <c r="W26" s="8"/>
      <c r="X26" s="7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6"/>
      <c r="GI26" s="6"/>
      <c r="GJ26" s="6"/>
    </row>
    <row r="27" spans="1:193" ht="30" x14ac:dyDescent="0.25">
      <c r="A27" s="16">
        <v>7.7</v>
      </c>
      <c r="B27" s="17" t="s">
        <v>17</v>
      </c>
      <c r="C27" s="4">
        <v>17268</v>
      </c>
      <c r="D27" s="4">
        <v>19507</v>
      </c>
      <c r="E27" s="4">
        <v>22317</v>
      </c>
      <c r="F27" s="4">
        <v>25590</v>
      </c>
      <c r="G27" s="4">
        <v>29331.086592610001</v>
      </c>
      <c r="H27" s="4">
        <v>28825.633600000001</v>
      </c>
      <c r="I27" s="4">
        <v>27273.160000000003</v>
      </c>
      <c r="J27" s="4">
        <v>27306.4355</v>
      </c>
      <c r="K27" s="4">
        <v>31650.117502124875</v>
      </c>
      <c r="L27" s="4">
        <v>31092.38435895876</v>
      </c>
      <c r="M27" s="4">
        <v>37769.285798184021</v>
      </c>
      <c r="N27" s="4">
        <v>43668.549209359786</v>
      </c>
      <c r="O27" s="4">
        <v>47079.19263898483</v>
      </c>
      <c r="P27" s="4">
        <v>56480.208918739067</v>
      </c>
      <c r="Q27" s="8"/>
      <c r="R27" s="8"/>
      <c r="S27" s="8"/>
      <c r="T27" s="8"/>
      <c r="U27" s="7"/>
      <c r="V27" s="8"/>
      <c r="W27" s="8"/>
      <c r="X27" s="7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6"/>
      <c r="GI27" s="6"/>
      <c r="GJ27" s="6"/>
    </row>
    <row r="28" spans="1:193" ht="15.75" x14ac:dyDescent="0.25">
      <c r="A28" s="18" t="s">
        <v>37</v>
      </c>
      <c r="B28" s="17" t="s">
        <v>18</v>
      </c>
      <c r="C28" s="4">
        <v>58223</v>
      </c>
      <c r="D28" s="4">
        <v>62829.999999999993</v>
      </c>
      <c r="E28" s="4">
        <v>67792</v>
      </c>
      <c r="F28" s="4">
        <v>71799</v>
      </c>
      <c r="G28" s="4">
        <v>81950.173480789919</v>
      </c>
      <c r="H28" s="4">
        <v>85855</v>
      </c>
      <c r="I28" s="4">
        <v>99218</v>
      </c>
      <c r="J28" s="4">
        <v>95259</v>
      </c>
      <c r="K28" s="4">
        <v>108829.46847911054</v>
      </c>
      <c r="L28" s="4">
        <v>119250.7585319428</v>
      </c>
      <c r="M28" s="4">
        <v>124096.99340618432</v>
      </c>
      <c r="N28" s="4">
        <v>147750.70586227579</v>
      </c>
      <c r="O28" s="4">
        <v>158008.79766669596</v>
      </c>
      <c r="P28" s="4">
        <v>169616.54672753168</v>
      </c>
      <c r="Q28" s="8"/>
      <c r="R28" s="8"/>
      <c r="S28" s="8"/>
      <c r="T28" s="8"/>
      <c r="U28" s="7"/>
      <c r="V28" s="8"/>
      <c r="W28" s="8"/>
      <c r="X28" s="7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6"/>
      <c r="GI28" s="6"/>
      <c r="GJ28" s="6"/>
    </row>
    <row r="29" spans="1:193" ht="30" x14ac:dyDescent="0.25">
      <c r="A29" s="18" t="s">
        <v>38</v>
      </c>
      <c r="B29" s="17" t="s">
        <v>19</v>
      </c>
      <c r="C29" s="4">
        <v>118582</v>
      </c>
      <c r="D29" s="4">
        <v>139827</v>
      </c>
      <c r="E29" s="4">
        <v>170405</v>
      </c>
      <c r="F29" s="4">
        <v>198243.74400000001</v>
      </c>
      <c r="G29" s="4">
        <v>227595.78375955159</v>
      </c>
      <c r="H29" s="4">
        <v>262958.84899999999</v>
      </c>
      <c r="I29" s="4">
        <v>288466.63099999999</v>
      </c>
      <c r="J29" s="4">
        <v>310899.26</v>
      </c>
      <c r="K29" s="4">
        <v>338080.15524478402</v>
      </c>
      <c r="L29" s="4">
        <v>333919.34086453618</v>
      </c>
      <c r="M29" s="4">
        <v>375449.62001262646</v>
      </c>
      <c r="N29" s="4">
        <v>408088.86053424899</v>
      </c>
      <c r="O29" s="4">
        <v>435086.85218006739</v>
      </c>
      <c r="P29" s="4">
        <v>486452.5521089657</v>
      </c>
      <c r="Q29" s="8"/>
      <c r="R29" s="8"/>
      <c r="S29" s="8"/>
      <c r="T29" s="8"/>
      <c r="U29" s="7"/>
      <c r="V29" s="8"/>
      <c r="W29" s="8"/>
      <c r="X29" s="7"/>
      <c r="Y29" s="9"/>
      <c r="Z29" s="9"/>
      <c r="AA29" s="9"/>
      <c r="AB29" s="9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6"/>
      <c r="GI29" s="6"/>
      <c r="GJ29" s="6"/>
    </row>
    <row r="30" spans="1:193" ht="15.75" x14ac:dyDescent="0.25">
      <c r="A30" s="18" t="s">
        <v>39</v>
      </c>
      <c r="B30" s="17" t="s">
        <v>54</v>
      </c>
      <c r="C30" s="4">
        <v>62484</v>
      </c>
      <c r="D30" s="4">
        <v>68606</v>
      </c>
      <c r="E30" s="4">
        <v>58414</v>
      </c>
      <c r="F30" s="4">
        <v>77167</v>
      </c>
      <c r="G30" s="4">
        <v>86644.799863214503</v>
      </c>
      <c r="H30" s="4">
        <v>90650</v>
      </c>
      <c r="I30" s="4">
        <v>92348</v>
      </c>
      <c r="J30" s="4">
        <v>104490</v>
      </c>
      <c r="K30" s="4">
        <v>107444.6300602371</v>
      </c>
      <c r="L30" s="4">
        <v>119910.88547491899</v>
      </c>
      <c r="M30" s="4">
        <v>123418.61345728967</v>
      </c>
      <c r="N30" s="4">
        <v>129409.15819500001</v>
      </c>
      <c r="O30" s="4">
        <v>142267.57245199999</v>
      </c>
      <c r="P30" s="4">
        <v>156523.51330051466</v>
      </c>
      <c r="Q30" s="8"/>
      <c r="R30" s="8"/>
      <c r="S30" s="8"/>
      <c r="T30" s="8"/>
      <c r="U30" s="7"/>
      <c r="V30" s="8"/>
      <c r="W30" s="8"/>
      <c r="X30" s="7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6"/>
      <c r="GI30" s="6"/>
      <c r="GJ30" s="6"/>
    </row>
    <row r="31" spans="1:193" ht="15.75" x14ac:dyDescent="0.25">
      <c r="A31" s="18" t="s">
        <v>40</v>
      </c>
      <c r="B31" s="17" t="s">
        <v>20</v>
      </c>
      <c r="C31" s="4">
        <v>171808</v>
      </c>
      <c r="D31" s="4">
        <v>206451.00000000003</v>
      </c>
      <c r="E31" s="4">
        <v>228441</v>
      </c>
      <c r="F31" s="4">
        <v>268566.6666</v>
      </c>
      <c r="G31" s="4">
        <v>305912.29251746048</v>
      </c>
      <c r="H31" s="4">
        <v>351202.38</v>
      </c>
      <c r="I31" s="4">
        <v>394396.56400000001</v>
      </c>
      <c r="J31" s="4">
        <v>430045.9252</v>
      </c>
      <c r="K31" s="4">
        <v>495995.44914961391</v>
      </c>
      <c r="L31" s="4">
        <v>456730.08904686675</v>
      </c>
      <c r="M31" s="4">
        <v>552286.20350898139</v>
      </c>
      <c r="N31" s="4">
        <v>644187.60219502042</v>
      </c>
      <c r="O31" s="4">
        <v>755388.67454386572</v>
      </c>
      <c r="P31" s="4">
        <v>902084.38587846397</v>
      </c>
      <c r="Q31" s="8"/>
      <c r="R31" s="8"/>
      <c r="S31" s="8"/>
      <c r="T31" s="8"/>
      <c r="U31" s="7"/>
      <c r="V31" s="8"/>
      <c r="W31" s="8"/>
      <c r="X31" s="7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6"/>
      <c r="GI31" s="6"/>
      <c r="GJ31" s="6"/>
    </row>
    <row r="32" spans="1:193" s="29" customFormat="1" ht="15.75" x14ac:dyDescent="0.25">
      <c r="A32" s="35"/>
      <c r="B32" s="36" t="s">
        <v>30</v>
      </c>
      <c r="C32" s="37">
        <f>C17+C20+C28+C29+C30+C31</f>
        <v>612217</v>
      </c>
      <c r="D32" s="37">
        <f t="shared" ref="D32:M32" si="15">D17+D20+D28+D29+D30+D31</f>
        <v>726710</v>
      </c>
      <c r="E32" s="37">
        <f t="shared" si="15"/>
        <v>778158</v>
      </c>
      <c r="F32" s="37">
        <f t="shared" si="15"/>
        <v>883876.2818</v>
      </c>
      <c r="G32" s="37">
        <f t="shared" si="15"/>
        <v>995354.5530252778</v>
      </c>
      <c r="H32" s="37">
        <f t="shared" si="15"/>
        <v>1116446.0595</v>
      </c>
      <c r="I32" s="37">
        <f t="shared" si="15"/>
        <v>1229109.0771000001</v>
      </c>
      <c r="J32" s="37">
        <f t="shared" si="15"/>
        <v>1346748.1049005755</v>
      </c>
      <c r="K32" s="37">
        <f t="shared" si="15"/>
        <v>1482939.0617509827</v>
      </c>
      <c r="L32" s="37">
        <f t="shared" si="15"/>
        <v>1359980.6611603936</v>
      </c>
      <c r="M32" s="37">
        <f t="shared" si="15"/>
        <v>1600706.5513776534</v>
      </c>
      <c r="N32" s="37">
        <f t="shared" ref="N32:O32" si="16">N17+N20+N28+N29+N30+N31</f>
        <v>1841080.3231663471</v>
      </c>
      <c r="O32" s="37">
        <f t="shared" si="16"/>
        <v>2039598.7366159044</v>
      </c>
      <c r="P32" s="37">
        <f t="shared" ref="P32" si="17">P17+P20+P28+P29+P30+P31</f>
        <v>2323950.6271182811</v>
      </c>
      <c r="Q32" s="8"/>
      <c r="R32" s="8"/>
      <c r="S32" s="8"/>
      <c r="T32" s="8"/>
      <c r="U32" s="7"/>
      <c r="V32" s="8"/>
      <c r="W32" s="8"/>
      <c r="X32" s="7"/>
      <c r="Y32" s="8"/>
      <c r="Z32" s="8"/>
      <c r="AA32" s="8"/>
      <c r="AB32" s="8"/>
      <c r="AC32" s="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38"/>
      <c r="BM32" s="38"/>
      <c r="BN32" s="38"/>
      <c r="BO32" s="38"/>
      <c r="BP32" s="38"/>
      <c r="BQ32" s="38"/>
      <c r="BR32" s="38"/>
      <c r="BS32" s="38"/>
      <c r="BT32" s="38"/>
      <c r="BU32" s="38"/>
      <c r="BV32" s="38"/>
      <c r="BW32" s="38"/>
      <c r="BX32" s="38"/>
      <c r="BY32" s="38"/>
      <c r="BZ32" s="38"/>
      <c r="CA32" s="38"/>
      <c r="CB32" s="38"/>
      <c r="CC32" s="38"/>
      <c r="CD32" s="38"/>
      <c r="CE32" s="38"/>
      <c r="CF32" s="38"/>
      <c r="CG32" s="38"/>
      <c r="CH32" s="38"/>
      <c r="CI32" s="38"/>
      <c r="CJ32" s="38"/>
      <c r="CK32" s="38"/>
      <c r="CL32" s="38"/>
      <c r="CM32" s="38"/>
      <c r="CN32" s="38"/>
      <c r="CO32" s="38"/>
      <c r="CP32" s="38"/>
      <c r="CQ32" s="38"/>
      <c r="CR32" s="38"/>
      <c r="CS32" s="38"/>
      <c r="CT32" s="38"/>
      <c r="CU32" s="38"/>
      <c r="CV32" s="38"/>
      <c r="CW32" s="38"/>
      <c r="CX32" s="38"/>
      <c r="CY32" s="38"/>
      <c r="CZ32" s="38"/>
      <c r="DA32" s="38"/>
      <c r="DB32" s="38"/>
      <c r="DC32" s="38"/>
      <c r="DD32" s="38"/>
      <c r="DE32" s="38"/>
      <c r="DF32" s="38"/>
      <c r="DG32" s="38"/>
      <c r="DH32" s="38"/>
      <c r="DI32" s="38"/>
      <c r="DJ32" s="33"/>
      <c r="DK32" s="33"/>
      <c r="DL32" s="33"/>
      <c r="DM32" s="33"/>
      <c r="DN32" s="33"/>
      <c r="DO32" s="33"/>
      <c r="DP32" s="33"/>
      <c r="DQ32" s="33"/>
      <c r="DR32" s="33"/>
      <c r="DS32" s="33"/>
      <c r="DT32" s="33"/>
      <c r="DU32" s="33"/>
      <c r="DV32" s="33"/>
      <c r="DW32" s="33"/>
      <c r="DX32" s="33"/>
      <c r="DY32" s="33"/>
      <c r="DZ32" s="33"/>
      <c r="EA32" s="33"/>
      <c r="EB32" s="33"/>
      <c r="EC32" s="38"/>
      <c r="ED32" s="38"/>
      <c r="EE32" s="38"/>
      <c r="EF32" s="38"/>
      <c r="EG32" s="38"/>
      <c r="EH32" s="38"/>
      <c r="EI32" s="38"/>
      <c r="EJ32" s="38"/>
      <c r="EK32" s="38"/>
      <c r="EL32" s="38"/>
      <c r="EM32" s="38"/>
      <c r="EN32" s="38"/>
      <c r="EO32" s="38"/>
      <c r="EP32" s="38"/>
      <c r="EQ32" s="38"/>
      <c r="ER32" s="38"/>
      <c r="ES32" s="38"/>
      <c r="ET32" s="38"/>
      <c r="EU32" s="38"/>
      <c r="EV32" s="38"/>
      <c r="EW32" s="38"/>
      <c r="EX32" s="38"/>
      <c r="EY32" s="38"/>
      <c r="EZ32" s="38"/>
      <c r="FA32" s="38"/>
      <c r="FB32" s="38"/>
      <c r="FC32" s="38"/>
      <c r="FD32" s="38"/>
      <c r="FE32" s="38"/>
      <c r="FF32" s="38"/>
      <c r="FG32" s="38"/>
      <c r="FH32" s="38"/>
      <c r="FI32" s="38"/>
      <c r="FJ32" s="38"/>
      <c r="FK32" s="38"/>
      <c r="FL32" s="38"/>
      <c r="FM32" s="38"/>
      <c r="FN32" s="38"/>
      <c r="FO32" s="38"/>
      <c r="FP32" s="38"/>
      <c r="FQ32" s="38"/>
      <c r="FR32" s="38"/>
      <c r="FS32" s="38"/>
      <c r="FT32" s="38"/>
      <c r="FU32" s="38"/>
      <c r="FV32" s="38"/>
      <c r="FW32" s="38"/>
      <c r="FX32" s="38"/>
      <c r="FY32" s="38"/>
      <c r="FZ32" s="38"/>
      <c r="GA32" s="38"/>
      <c r="GB32" s="38"/>
      <c r="GC32" s="38"/>
      <c r="GD32" s="38"/>
      <c r="GE32" s="38"/>
      <c r="GF32" s="38"/>
      <c r="GG32" s="38"/>
      <c r="GH32" s="34"/>
      <c r="GI32" s="34"/>
      <c r="GJ32" s="34"/>
    </row>
    <row r="33" spans="1:193" s="34" customFormat="1" ht="15.75" x14ac:dyDescent="0.25">
      <c r="A33" s="30" t="s">
        <v>27</v>
      </c>
      <c r="B33" s="41" t="s">
        <v>51</v>
      </c>
      <c r="C33" s="32">
        <f t="shared" ref="C33" si="18">C6+C11+C13+C14+C15+C17+C20+C28+C29+C30+C31</f>
        <v>1315356</v>
      </c>
      <c r="D33" s="32">
        <f t="shared" ref="D33:M33" si="19">D6+D11+D13+D14+D15+D17+D20+D28+D29+D30+D31</f>
        <v>1458034</v>
      </c>
      <c r="E33" s="32">
        <f t="shared" si="19"/>
        <v>1709652</v>
      </c>
      <c r="F33" s="32">
        <f t="shared" si="19"/>
        <v>1736257.2860999997</v>
      </c>
      <c r="G33" s="32">
        <f t="shared" si="19"/>
        <v>2086216.3822574534</v>
      </c>
      <c r="H33" s="32">
        <f t="shared" si="19"/>
        <v>2324172.9077000003</v>
      </c>
      <c r="I33" s="32">
        <f t="shared" si="19"/>
        <v>2529670.2940000007</v>
      </c>
      <c r="J33" s="32">
        <f t="shared" si="19"/>
        <v>2817290.246346517</v>
      </c>
      <c r="K33" s="32">
        <f t="shared" si="19"/>
        <v>2955009.7668084861</v>
      </c>
      <c r="L33" s="32">
        <f t="shared" si="19"/>
        <v>2903685.2752523134</v>
      </c>
      <c r="M33" s="32">
        <f t="shared" si="19"/>
        <v>3155161.6574532157</v>
      </c>
      <c r="N33" s="32">
        <f t="shared" ref="N33:O33" si="20">N6+N11+N13+N14+N15+N17+N20+N28+N29+N30+N31</f>
        <v>3331452.9963606396</v>
      </c>
      <c r="O33" s="32">
        <f t="shared" si="20"/>
        <v>3700374.2087691445</v>
      </c>
      <c r="P33" s="32">
        <f t="shared" ref="P33" si="21">P6+P11+P13+P14+P15+P17+P20+P28+P29+P30+P31</f>
        <v>4217593.3286540201</v>
      </c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3"/>
      <c r="CF33" s="33"/>
      <c r="CG33" s="33"/>
      <c r="CH33" s="33"/>
      <c r="CI33" s="33"/>
      <c r="CJ33" s="33"/>
      <c r="CK33" s="33"/>
      <c r="CL33" s="33"/>
      <c r="CM33" s="33"/>
      <c r="CN33" s="33"/>
      <c r="CO33" s="33"/>
      <c r="CP33" s="33"/>
      <c r="CQ33" s="33"/>
      <c r="CR33" s="33"/>
      <c r="CS33" s="33"/>
      <c r="CT33" s="33"/>
      <c r="CU33" s="33"/>
      <c r="CV33" s="33"/>
      <c r="CW33" s="33"/>
      <c r="CX33" s="33"/>
      <c r="CY33" s="33"/>
      <c r="CZ33" s="33"/>
      <c r="DA33" s="33"/>
      <c r="DB33" s="33"/>
      <c r="DC33" s="33"/>
      <c r="DD33" s="33"/>
      <c r="DE33" s="33"/>
      <c r="DF33" s="33"/>
      <c r="DG33" s="33"/>
      <c r="DH33" s="33"/>
      <c r="DI33" s="33"/>
      <c r="DJ33" s="33"/>
      <c r="DK33" s="33"/>
      <c r="DL33" s="33"/>
      <c r="DM33" s="33"/>
      <c r="DN33" s="33"/>
      <c r="DO33" s="33"/>
      <c r="DP33" s="33"/>
      <c r="DQ33" s="33"/>
      <c r="DR33" s="33"/>
      <c r="DS33" s="33"/>
      <c r="DT33" s="33"/>
      <c r="DU33" s="33"/>
      <c r="DV33" s="33"/>
      <c r="DW33" s="33"/>
      <c r="DX33" s="33"/>
      <c r="DY33" s="33"/>
      <c r="DZ33" s="33"/>
      <c r="EA33" s="33"/>
      <c r="EB33" s="33"/>
      <c r="EC33" s="33"/>
      <c r="ED33" s="33"/>
      <c r="EE33" s="33"/>
      <c r="EF33" s="33"/>
      <c r="EG33" s="33"/>
      <c r="EH33" s="33"/>
      <c r="EI33" s="33"/>
      <c r="EJ33" s="33"/>
      <c r="EK33" s="33"/>
      <c r="EL33" s="33"/>
      <c r="EM33" s="33"/>
      <c r="EN33" s="33"/>
      <c r="EO33" s="33"/>
      <c r="EP33" s="33"/>
      <c r="EQ33" s="33"/>
      <c r="ER33" s="33"/>
      <c r="ES33" s="33"/>
      <c r="ET33" s="33"/>
      <c r="EU33" s="33"/>
      <c r="EV33" s="33"/>
      <c r="EW33" s="33"/>
      <c r="EX33" s="33"/>
      <c r="EY33" s="33"/>
      <c r="EZ33" s="33"/>
      <c r="FA33" s="33"/>
      <c r="FB33" s="33"/>
      <c r="FC33" s="33"/>
      <c r="FD33" s="33"/>
      <c r="FE33" s="33"/>
      <c r="FF33" s="33"/>
      <c r="FG33" s="33"/>
      <c r="FH33" s="33"/>
      <c r="FI33" s="33"/>
      <c r="FJ33" s="33"/>
      <c r="FK33" s="33"/>
      <c r="FL33" s="33"/>
      <c r="FM33" s="33"/>
      <c r="FN33" s="33"/>
      <c r="FO33" s="33"/>
      <c r="FP33" s="33"/>
      <c r="FQ33" s="33"/>
      <c r="FR33" s="33"/>
      <c r="FS33" s="33"/>
      <c r="FT33" s="33"/>
      <c r="FU33" s="33"/>
      <c r="FV33" s="33"/>
      <c r="FW33" s="33"/>
      <c r="FX33" s="33"/>
      <c r="FY33" s="33"/>
      <c r="FZ33" s="33"/>
      <c r="GA33" s="33"/>
      <c r="GB33" s="33"/>
      <c r="GC33" s="33"/>
      <c r="GD33" s="33"/>
      <c r="GE33" s="33"/>
      <c r="GF33" s="33"/>
      <c r="GG33" s="33"/>
      <c r="GK33" s="29"/>
    </row>
    <row r="34" spans="1:193" s="29" customFormat="1" ht="15.75" x14ac:dyDescent="0.25">
      <c r="A34" s="42" t="s">
        <v>43</v>
      </c>
      <c r="B34" s="43" t="s">
        <v>25</v>
      </c>
      <c r="C34" s="44">
        <f>GSVA_cur!C34</f>
        <v>249800</v>
      </c>
      <c r="D34" s="44">
        <f>GSVA_cur!D34</f>
        <v>297500</v>
      </c>
      <c r="E34" s="44">
        <f>GSVA_cur!E34</f>
        <v>321410</v>
      </c>
      <c r="F34" s="44">
        <f>GSVA_cur!F34</f>
        <v>318095</v>
      </c>
      <c r="G34" s="44">
        <f>GSVA_cur!G34</f>
        <v>365547</v>
      </c>
      <c r="H34" s="44">
        <f>GSVA_cur!H34</f>
        <v>402401</v>
      </c>
      <c r="I34" s="44">
        <f>GSVA_cur!I34</f>
        <v>435513</v>
      </c>
      <c r="J34" s="44">
        <f>GSVA_cur!J34</f>
        <v>315418</v>
      </c>
      <c r="K34" s="44">
        <f>GSVA_cur!K34</f>
        <v>426864</v>
      </c>
      <c r="L34" s="44">
        <f>GSVA_cur!L34</f>
        <v>378301</v>
      </c>
      <c r="M34" s="44">
        <f>GSVA_cur!M34</f>
        <v>569486</v>
      </c>
      <c r="N34" s="44">
        <f>GSVA_cur!N34</f>
        <v>477612</v>
      </c>
      <c r="O34" s="44">
        <f>GSVA_cur!O34</f>
        <v>537122</v>
      </c>
      <c r="P34" s="44">
        <f>GSVA_cur!P34</f>
        <v>620719</v>
      </c>
      <c r="Q34" s="8"/>
      <c r="R34" s="8"/>
      <c r="S34" s="8"/>
      <c r="T34" s="8"/>
      <c r="U34" s="7"/>
      <c r="V34" s="8"/>
      <c r="W34" s="8"/>
      <c r="X34" s="7"/>
      <c r="Y34" s="8"/>
      <c r="Z34" s="8"/>
      <c r="AA34" s="8"/>
      <c r="AB34" s="8"/>
      <c r="AC34" s="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  <c r="BN34" s="38"/>
      <c r="BO34" s="38"/>
      <c r="BP34" s="38"/>
      <c r="BQ34" s="38"/>
      <c r="BR34" s="38"/>
      <c r="BS34" s="38"/>
      <c r="BT34" s="38"/>
      <c r="BU34" s="38"/>
      <c r="BV34" s="38"/>
      <c r="BW34" s="38"/>
      <c r="BX34" s="38"/>
      <c r="BY34" s="38"/>
      <c r="BZ34" s="38"/>
      <c r="CA34" s="38"/>
      <c r="CB34" s="38"/>
      <c r="CC34" s="38"/>
      <c r="CD34" s="38"/>
      <c r="CE34" s="38"/>
      <c r="CF34" s="38"/>
      <c r="CG34" s="38"/>
      <c r="CH34" s="38"/>
      <c r="CI34" s="38"/>
      <c r="CJ34" s="38"/>
      <c r="CK34" s="38"/>
      <c r="CL34" s="38"/>
      <c r="CM34" s="38"/>
      <c r="CN34" s="38"/>
      <c r="CO34" s="38"/>
      <c r="CP34" s="38"/>
      <c r="CQ34" s="38"/>
      <c r="CR34" s="38"/>
      <c r="CS34" s="38"/>
      <c r="CT34" s="38"/>
      <c r="CU34" s="38"/>
      <c r="CV34" s="38"/>
      <c r="CW34" s="38"/>
      <c r="CX34" s="38"/>
      <c r="CY34" s="38"/>
      <c r="CZ34" s="38"/>
      <c r="DA34" s="38"/>
      <c r="DB34" s="38"/>
      <c r="DC34" s="38"/>
      <c r="DD34" s="38"/>
      <c r="DE34" s="38"/>
      <c r="DF34" s="38"/>
      <c r="DG34" s="38"/>
      <c r="DH34" s="38"/>
      <c r="DI34" s="38"/>
      <c r="DJ34" s="33"/>
      <c r="DK34" s="33"/>
      <c r="DL34" s="33"/>
      <c r="DM34" s="33"/>
      <c r="DN34" s="33"/>
      <c r="DO34" s="33"/>
      <c r="DP34" s="33"/>
      <c r="DQ34" s="33"/>
      <c r="DR34" s="33"/>
      <c r="DS34" s="33"/>
      <c r="DT34" s="33"/>
      <c r="DU34" s="33"/>
      <c r="DV34" s="33"/>
      <c r="DW34" s="33"/>
      <c r="DX34" s="33"/>
      <c r="DY34" s="33"/>
      <c r="DZ34" s="33"/>
      <c r="EA34" s="33"/>
      <c r="EB34" s="33"/>
      <c r="EC34" s="38"/>
      <c r="ED34" s="38"/>
      <c r="EE34" s="38"/>
      <c r="EF34" s="38"/>
      <c r="EG34" s="38"/>
      <c r="EH34" s="38"/>
      <c r="EI34" s="38"/>
      <c r="EJ34" s="38"/>
      <c r="EK34" s="38"/>
      <c r="EL34" s="38"/>
      <c r="EM34" s="38"/>
      <c r="EN34" s="38"/>
      <c r="EO34" s="38"/>
      <c r="EP34" s="38"/>
      <c r="EQ34" s="38"/>
      <c r="ER34" s="38"/>
      <c r="ES34" s="38"/>
      <c r="ET34" s="38"/>
      <c r="EU34" s="38"/>
      <c r="EV34" s="38"/>
      <c r="EW34" s="38"/>
      <c r="EX34" s="38"/>
      <c r="EY34" s="38"/>
      <c r="EZ34" s="38"/>
      <c r="FA34" s="38"/>
      <c r="FB34" s="38"/>
      <c r="FC34" s="38"/>
      <c r="FD34" s="38"/>
      <c r="FE34" s="38"/>
      <c r="FF34" s="38"/>
      <c r="FG34" s="38"/>
      <c r="FH34" s="38"/>
      <c r="FI34" s="38"/>
      <c r="FJ34" s="38"/>
      <c r="FK34" s="38"/>
      <c r="FL34" s="38"/>
      <c r="FM34" s="38"/>
      <c r="FN34" s="38"/>
      <c r="FO34" s="38"/>
      <c r="FP34" s="38"/>
      <c r="FQ34" s="38"/>
      <c r="FR34" s="38"/>
      <c r="FS34" s="38"/>
      <c r="FT34" s="38"/>
      <c r="FU34" s="38"/>
      <c r="FV34" s="38"/>
      <c r="FW34" s="38"/>
      <c r="FX34" s="38"/>
      <c r="FY34" s="38"/>
      <c r="FZ34" s="38"/>
      <c r="GA34" s="38"/>
      <c r="GB34" s="38"/>
      <c r="GC34" s="38"/>
      <c r="GD34" s="38"/>
      <c r="GE34" s="38"/>
      <c r="GF34" s="38"/>
    </row>
    <row r="35" spans="1:193" s="29" customFormat="1" ht="15.75" x14ac:dyDescent="0.25">
      <c r="A35" s="42" t="s">
        <v>44</v>
      </c>
      <c r="B35" s="43" t="s">
        <v>24</v>
      </c>
      <c r="C35" s="44">
        <f>GSVA_cur!C35</f>
        <v>49200</v>
      </c>
      <c r="D35" s="44">
        <f>GSVA_cur!D35</f>
        <v>57100</v>
      </c>
      <c r="E35" s="44">
        <f>GSVA_cur!E35</f>
        <v>53299</v>
      </c>
      <c r="F35" s="44">
        <f>GSVA_cur!F35</f>
        <v>40072</v>
      </c>
      <c r="G35" s="44">
        <f>GSVA_cur!G35</f>
        <v>21498</v>
      </c>
      <c r="H35" s="44">
        <f>GSVA_cur!H35</f>
        <v>19273</v>
      </c>
      <c r="I35" s="44">
        <f>GSVA_cur!I35</f>
        <v>21558</v>
      </c>
      <c r="J35" s="44">
        <f>GSVA_cur!J35</f>
        <v>21620</v>
      </c>
      <c r="K35" s="44">
        <f>GSVA_cur!K35</f>
        <v>27830</v>
      </c>
      <c r="L35" s="44">
        <f>GSVA_cur!L35</f>
        <v>30008</v>
      </c>
      <c r="M35" s="44">
        <f>GSVA_cur!M35</f>
        <v>35951</v>
      </c>
      <c r="N35" s="44">
        <f>GSVA_cur!N35</f>
        <v>39992</v>
      </c>
      <c r="O35" s="44">
        <f>GSVA_cur!O35</f>
        <v>33923</v>
      </c>
      <c r="P35" s="44">
        <f>GSVA_cur!P35</f>
        <v>41928</v>
      </c>
      <c r="Q35" s="8"/>
      <c r="R35" s="8"/>
      <c r="S35" s="8"/>
      <c r="T35" s="8"/>
      <c r="U35" s="7"/>
      <c r="V35" s="8"/>
      <c r="W35" s="8"/>
      <c r="X35" s="7"/>
      <c r="Y35" s="8"/>
      <c r="Z35" s="8"/>
      <c r="AA35" s="8"/>
      <c r="AB35" s="8"/>
      <c r="AC35" s="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  <c r="BO35" s="38"/>
      <c r="BP35" s="38"/>
      <c r="BQ35" s="38"/>
      <c r="BR35" s="38"/>
      <c r="BS35" s="38"/>
      <c r="BT35" s="38"/>
      <c r="BU35" s="38"/>
      <c r="BV35" s="38"/>
      <c r="BW35" s="38"/>
      <c r="BX35" s="38"/>
      <c r="BY35" s="38"/>
      <c r="BZ35" s="38"/>
      <c r="CA35" s="38"/>
      <c r="CB35" s="38"/>
      <c r="CC35" s="38"/>
      <c r="CD35" s="38"/>
      <c r="CE35" s="38"/>
      <c r="CF35" s="38"/>
      <c r="CG35" s="38"/>
      <c r="CH35" s="38"/>
      <c r="CI35" s="38"/>
      <c r="CJ35" s="38"/>
      <c r="CK35" s="38"/>
      <c r="CL35" s="38"/>
      <c r="CM35" s="38"/>
      <c r="CN35" s="38"/>
      <c r="CO35" s="38"/>
      <c r="CP35" s="38"/>
      <c r="CQ35" s="38"/>
      <c r="CR35" s="38"/>
      <c r="CS35" s="38"/>
      <c r="CT35" s="38"/>
      <c r="CU35" s="38"/>
      <c r="CV35" s="38"/>
      <c r="CW35" s="38"/>
      <c r="CX35" s="38"/>
      <c r="CY35" s="38"/>
      <c r="CZ35" s="38"/>
      <c r="DA35" s="38"/>
      <c r="DB35" s="38"/>
      <c r="DC35" s="38"/>
      <c r="DD35" s="38"/>
      <c r="DE35" s="38"/>
      <c r="DF35" s="38"/>
      <c r="DG35" s="38"/>
      <c r="DH35" s="38"/>
      <c r="DI35" s="38"/>
      <c r="DJ35" s="33"/>
      <c r="DK35" s="33"/>
      <c r="DL35" s="33"/>
      <c r="DM35" s="33"/>
      <c r="DN35" s="33"/>
      <c r="DO35" s="33"/>
      <c r="DP35" s="33"/>
      <c r="DQ35" s="33"/>
      <c r="DR35" s="33"/>
      <c r="DS35" s="33"/>
      <c r="DT35" s="33"/>
      <c r="DU35" s="33"/>
      <c r="DV35" s="33"/>
      <c r="DW35" s="33"/>
      <c r="DX35" s="33"/>
      <c r="DY35" s="33"/>
      <c r="DZ35" s="33"/>
      <c r="EA35" s="33"/>
      <c r="EB35" s="33"/>
      <c r="EC35" s="38"/>
      <c r="ED35" s="38"/>
      <c r="EE35" s="38"/>
      <c r="EF35" s="38"/>
      <c r="EG35" s="38"/>
      <c r="EH35" s="38"/>
      <c r="EI35" s="38"/>
      <c r="EJ35" s="38"/>
      <c r="EK35" s="38"/>
      <c r="EL35" s="38"/>
      <c r="EM35" s="38"/>
      <c r="EN35" s="38"/>
      <c r="EO35" s="38"/>
      <c r="EP35" s="38"/>
      <c r="EQ35" s="38"/>
      <c r="ER35" s="38"/>
      <c r="ES35" s="38"/>
      <c r="ET35" s="38"/>
      <c r="EU35" s="38"/>
      <c r="EV35" s="38"/>
      <c r="EW35" s="38"/>
      <c r="EX35" s="38"/>
      <c r="EY35" s="38"/>
      <c r="EZ35" s="38"/>
      <c r="FA35" s="38"/>
      <c r="FB35" s="38"/>
      <c r="FC35" s="38"/>
      <c r="FD35" s="38"/>
      <c r="FE35" s="38"/>
      <c r="FF35" s="38"/>
      <c r="FG35" s="38"/>
      <c r="FH35" s="38"/>
      <c r="FI35" s="38"/>
      <c r="FJ35" s="38"/>
      <c r="FK35" s="38"/>
      <c r="FL35" s="38"/>
      <c r="FM35" s="38"/>
      <c r="FN35" s="38"/>
      <c r="FO35" s="38"/>
      <c r="FP35" s="38"/>
      <c r="FQ35" s="38"/>
      <c r="FR35" s="38"/>
      <c r="FS35" s="38"/>
      <c r="FT35" s="38"/>
      <c r="FU35" s="38"/>
      <c r="FV35" s="38"/>
      <c r="FW35" s="38"/>
      <c r="FX35" s="38"/>
      <c r="FY35" s="38"/>
      <c r="FZ35" s="38"/>
      <c r="GA35" s="38"/>
      <c r="GB35" s="38"/>
      <c r="GC35" s="38"/>
      <c r="GD35" s="38"/>
      <c r="GE35" s="38"/>
      <c r="GF35" s="38"/>
    </row>
    <row r="36" spans="1:193" s="29" customFormat="1" ht="15.75" x14ac:dyDescent="0.25">
      <c r="A36" s="42" t="s">
        <v>45</v>
      </c>
      <c r="B36" s="43" t="s">
        <v>63</v>
      </c>
      <c r="C36" s="37">
        <f>C33+C34-C35</f>
        <v>1515956</v>
      </c>
      <c r="D36" s="37">
        <f t="shared" ref="D36:M36" si="22">D33+D34-D35</f>
        <v>1698434</v>
      </c>
      <c r="E36" s="37">
        <f t="shared" si="22"/>
        <v>1977763</v>
      </c>
      <c r="F36" s="37">
        <f t="shared" si="22"/>
        <v>2014280.2860999997</v>
      </c>
      <c r="G36" s="37">
        <f t="shared" si="22"/>
        <v>2430265.3822574532</v>
      </c>
      <c r="H36" s="37">
        <f t="shared" si="22"/>
        <v>2707300.9077000003</v>
      </c>
      <c r="I36" s="37">
        <f t="shared" si="22"/>
        <v>2943625.2940000007</v>
      </c>
      <c r="J36" s="37">
        <f t="shared" si="22"/>
        <v>3111088.246346517</v>
      </c>
      <c r="K36" s="37">
        <f t="shared" si="22"/>
        <v>3354043.7668084861</v>
      </c>
      <c r="L36" s="37">
        <f t="shared" si="22"/>
        <v>3251978.2752523134</v>
      </c>
      <c r="M36" s="37">
        <f t="shared" si="22"/>
        <v>3688696.6574532157</v>
      </c>
      <c r="N36" s="37">
        <f t="shared" ref="N36:O36" si="23">N33+N34-N35</f>
        <v>3769072.9963606396</v>
      </c>
      <c r="O36" s="37">
        <f t="shared" si="23"/>
        <v>4203573.2087691445</v>
      </c>
      <c r="P36" s="37">
        <f t="shared" ref="P36" si="24">P33+P34-P35</f>
        <v>4796384.3286540201</v>
      </c>
      <c r="Q36" s="8"/>
      <c r="R36" s="8"/>
      <c r="S36" s="8"/>
      <c r="T36" s="8"/>
      <c r="U36" s="7"/>
      <c r="V36" s="8"/>
      <c r="W36" s="8"/>
      <c r="X36" s="7"/>
      <c r="Y36" s="8"/>
      <c r="Z36" s="8"/>
      <c r="AA36" s="8"/>
      <c r="AB36" s="8"/>
      <c r="AC36" s="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  <c r="BO36" s="38"/>
      <c r="BP36" s="38"/>
      <c r="BQ36" s="38"/>
      <c r="BR36" s="38"/>
      <c r="BS36" s="38"/>
      <c r="BT36" s="38"/>
      <c r="BU36" s="38"/>
      <c r="BV36" s="38"/>
      <c r="BW36" s="38"/>
      <c r="BX36" s="38"/>
      <c r="BY36" s="38"/>
      <c r="BZ36" s="38"/>
      <c r="CA36" s="38"/>
      <c r="CB36" s="38"/>
      <c r="CC36" s="38"/>
      <c r="CD36" s="38"/>
      <c r="CE36" s="38"/>
      <c r="CF36" s="38"/>
      <c r="CG36" s="38"/>
      <c r="CH36" s="38"/>
      <c r="CI36" s="38"/>
      <c r="CJ36" s="38"/>
      <c r="CK36" s="38"/>
      <c r="CL36" s="38"/>
      <c r="CM36" s="38"/>
      <c r="CN36" s="38"/>
      <c r="CO36" s="38"/>
      <c r="CP36" s="38"/>
      <c r="CQ36" s="38"/>
      <c r="CR36" s="38"/>
      <c r="CS36" s="38"/>
      <c r="CT36" s="38"/>
      <c r="CU36" s="38"/>
      <c r="CV36" s="38"/>
      <c r="CW36" s="38"/>
      <c r="CX36" s="38"/>
      <c r="CY36" s="38"/>
      <c r="CZ36" s="38"/>
      <c r="DA36" s="38"/>
      <c r="DB36" s="38"/>
      <c r="DC36" s="38"/>
      <c r="DD36" s="38"/>
      <c r="DE36" s="38"/>
      <c r="DF36" s="38"/>
      <c r="DG36" s="38"/>
      <c r="DH36" s="38"/>
      <c r="DI36" s="38"/>
      <c r="DJ36" s="33"/>
      <c r="DK36" s="33"/>
      <c r="DL36" s="33"/>
      <c r="DM36" s="33"/>
      <c r="DN36" s="33"/>
      <c r="DO36" s="33"/>
      <c r="DP36" s="33"/>
      <c r="DQ36" s="33"/>
      <c r="DR36" s="33"/>
      <c r="DS36" s="33"/>
      <c r="DT36" s="33"/>
      <c r="DU36" s="33"/>
      <c r="DV36" s="33"/>
      <c r="DW36" s="33"/>
      <c r="DX36" s="33"/>
      <c r="DY36" s="33"/>
      <c r="DZ36" s="33"/>
      <c r="EA36" s="33"/>
      <c r="EB36" s="33"/>
      <c r="EC36" s="38"/>
      <c r="ED36" s="38"/>
      <c r="EE36" s="38"/>
      <c r="EF36" s="38"/>
      <c r="EG36" s="38"/>
      <c r="EH36" s="38"/>
      <c r="EI36" s="38"/>
      <c r="EJ36" s="38"/>
      <c r="EK36" s="38"/>
      <c r="EL36" s="38"/>
      <c r="EM36" s="38"/>
      <c r="EN36" s="38"/>
      <c r="EO36" s="38"/>
      <c r="EP36" s="38"/>
      <c r="EQ36" s="38"/>
      <c r="ER36" s="38"/>
      <c r="ES36" s="38"/>
      <c r="ET36" s="38"/>
      <c r="EU36" s="38"/>
      <c r="EV36" s="38"/>
      <c r="EW36" s="38"/>
      <c r="EX36" s="38"/>
      <c r="EY36" s="38"/>
      <c r="EZ36" s="38"/>
      <c r="FA36" s="38"/>
      <c r="FB36" s="38"/>
      <c r="FC36" s="38"/>
      <c r="FD36" s="38"/>
      <c r="FE36" s="38"/>
      <c r="FF36" s="38"/>
      <c r="FG36" s="38"/>
      <c r="FH36" s="38"/>
      <c r="FI36" s="38"/>
      <c r="FJ36" s="38"/>
      <c r="FK36" s="38"/>
      <c r="FL36" s="38"/>
      <c r="FM36" s="38"/>
      <c r="FN36" s="38"/>
      <c r="FO36" s="38"/>
      <c r="FP36" s="38"/>
      <c r="FQ36" s="38"/>
      <c r="FR36" s="38"/>
      <c r="FS36" s="38"/>
      <c r="FT36" s="38"/>
      <c r="FU36" s="38"/>
      <c r="FV36" s="38"/>
      <c r="FW36" s="38"/>
      <c r="FX36" s="38"/>
      <c r="FY36" s="38"/>
      <c r="FZ36" s="38"/>
      <c r="GA36" s="38"/>
      <c r="GB36" s="38"/>
      <c r="GC36" s="38"/>
      <c r="GD36" s="38"/>
      <c r="GE36" s="38"/>
      <c r="GF36" s="38"/>
    </row>
    <row r="37" spans="1:193" s="29" customFormat="1" ht="15.75" x14ac:dyDescent="0.25">
      <c r="A37" s="42" t="s">
        <v>46</v>
      </c>
      <c r="B37" s="43" t="s">
        <v>42</v>
      </c>
      <c r="C37" s="37">
        <f>GSVA_cur!C37</f>
        <v>12670</v>
      </c>
      <c r="D37" s="37">
        <f>GSVA_cur!D37</f>
        <v>13010</v>
      </c>
      <c r="E37" s="37">
        <f>GSVA_cur!E37</f>
        <v>13350</v>
      </c>
      <c r="F37" s="37">
        <f>GSVA_cur!F37</f>
        <v>13710</v>
      </c>
      <c r="G37" s="37">
        <f>GSVA_cur!G37</f>
        <v>14070</v>
      </c>
      <c r="H37" s="37">
        <f>GSVA_cur!H37</f>
        <v>14450</v>
      </c>
      <c r="I37" s="37">
        <f>GSVA_cur!I37</f>
        <v>14840</v>
      </c>
      <c r="J37" s="37">
        <f>GSVA_cur!J37</f>
        <v>15240</v>
      </c>
      <c r="K37" s="37">
        <f>GSVA_cur!K37</f>
        <v>15390</v>
      </c>
      <c r="L37" s="37">
        <f>GSVA_cur!L37</f>
        <v>15570</v>
      </c>
      <c r="M37" s="37">
        <f>GSVA_cur!M37</f>
        <v>15930</v>
      </c>
      <c r="N37" s="37">
        <f>GSVA_cur!N37</f>
        <v>16300</v>
      </c>
      <c r="O37" s="37">
        <f>GSVA_cur!O37</f>
        <v>16670</v>
      </c>
      <c r="P37" s="37">
        <f>GSVA_cur!P37</f>
        <v>17040</v>
      </c>
      <c r="Q37" s="2"/>
      <c r="R37" s="2"/>
      <c r="S37" s="2"/>
      <c r="T37" s="2"/>
      <c r="U37" s="6"/>
      <c r="V37" s="2"/>
      <c r="W37" s="2"/>
      <c r="X37" s="6"/>
      <c r="Y37" s="6"/>
      <c r="Z37" s="6"/>
      <c r="AA37" s="6"/>
      <c r="AB37" s="6"/>
      <c r="AC37" s="2"/>
      <c r="DJ37" s="34"/>
      <c r="DK37" s="34"/>
      <c r="DL37" s="34"/>
      <c r="DM37" s="34"/>
      <c r="DN37" s="34"/>
      <c r="DO37" s="34"/>
      <c r="DP37" s="34"/>
      <c r="DQ37" s="34"/>
      <c r="DR37" s="34"/>
      <c r="DS37" s="34"/>
      <c r="DT37" s="34"/>
      <c r="DU37" s="34"/>
      <c r="DV37" s="34"/>
      <c r="DW37" s="34"/>
      <c r="DX37" s="34"/>
      <c r="DY37" s="34"/>
      <c r="DZ37" s="34"/>
      <c r="EA37" s="34"/>
      <c r="EB37" s="34"/>
    </row>
    <row r="38" spans="1:193" s="29" customFormat="1" ht="15.75" x14ac:dyDescent="0.25">
      <c r="A38" s="42" t="s">
        <v>47</v>
      </c>
      <c r="B38" s="43" t="s">
        <v>64</v>
      </c>
      <c r="C38" s="37">
        <f>C36/C37*1000</f>
        <v>119649.25019731649</v>
      </c>
      <c r="D38" s="37">
        <f t="shared" ref="D38:L38" si="25">D36/D37*1000</f>
        <v>130548.34742505764</v>
      </c>
      <c r="E38" s="37">
        <f t="shared" si="25"/>
        <v>148147.04119850189</v>
      </c>
      <c r="F38" s="37">
        <f t="shared" si="25"/>
        <v>146920.51685630923</v>
      </c>
      <c r="G38" s="37">
        <f t="shared" si="25"/>
        <v>172726.75069349346</v>
      </c>
      <c r="H38" s="37">
        <f t="shared" si="25"/>
        <v>187356.46420069208</v>
      </c>
      <c r="I38" s="37">
        <f t="shared" si="25"/>
        <v>198357.49959568738</v>
      </c>
      <c r="J38" s="37">
        <f t="shared" si="25"/>
        <v>204139.64871040138</v>
      </c>
      <c r="K38" s="37">
        <f t="shared" si="25"/>
        <v>217936.56704408617</v>
      </c>
      <c r="L38" s="37">
        <f t="shared" si="25"/>
        <v>208861.80316328281</v>
      </c>
      <c r="M38" s="37">
        <f>M36/M37*1000</f>
        <v>231556.60122116859</v>
      </c>
      <c r="N38" s="37">
        <f>N36/N37*1000</f>
        <v>231231.4721693644</v>
      </c>
      <c r="O38" s="37">
        <f>O36/O37*1000</f>
        <v>252163.95973420184</v>
      </c>
      <c r="P38" s="37">
        <f>P36/P37*1000</f>
        <v>281477.9535595082</v>
      </c>
      <c r="Q38" s="2"/>
      <c r="R38" s="2"/>
      <c r="S38" s="2"/>
      <c r="T38" s="2"/>
      <c r="U38" s="6"/>
      <c r="V38" s="2"/>
      <c r="W38" s="2"/>
      <c r="X38" s="7"/>
      <c r="Y38" s="7"/>
      <c r="Z38" s="7"/>
      <c r="AA38" s="7"/>
      <c r="AB38" s="7"/>
      <c r="AC38" s="2"/>
      <c r="CC38" s="38"/>
      <c r="CD38" s="38"/>
      <c r="CE38" s="38"/>
      <c r="CF38" s="38"/>
      <c r="DJ38" s="34"/>
      <c r="DK38" s="34"/>
      <c r="DL38" s="34"/>
      <c r="DM38" s="34"/>
      <c r="DN38" s="34"/>
      <c r="DO38" s="34"/>
      <c r="DP38" s="34"/>
      <c r="DQ38" s="34"/>
      <c r="DR38" s="34"/>
      <c r="DS38" s="34"/>
      <c r="DT38" s="34"/>
      <c r="DU38" s="34"/>
      <c r="DV38" s="34"/>
      <c r="DW38" s="34"/>
      <c r="DX38" s="34"/>
      <c r="DY38" s="34"/>
      <c r="DZ38" s="34"/>
      <c r="EA38" s="34"/>
      <c r="EB38" s="34"/>
    </row>
    <row r="39" spans="1:193" x14ac:dyDescent="0.25">
      <c r="A39" s="2" t="s">
        <v>75</v>
      </c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8" max="1048575" man="1"/>
    <brk id="40" max="1048575" man="1"/>
    <brk id="56" max="1048575" man="1"/>
    <brk id="120" max="95" man="1"/>
    <brk id="156" max="1048575" man="1"/>
    <brk id="180" max="1048575" man="1"/>
    <brk id="188" max="9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G39"/>
  <sheetViews>
    <sheetView zoomScale="112" zoomScaleNormal="112" zoomScaleSheetLayoutView="100" workbookViewId="0">
      <pane xSplit="2" ySplit="5" topLeftCell="C30" activePane="bottomRight" state="frozen"/>
      <selection activeCell="S31" sqref="S31"/>
      <selection pane="topRight" activeCell="S31" sqref="S31"/>
      <selection pane="bottomLeft" activeCell="S31" sqref="S31"/>
      <selection pane="bottomRight" activeCell="B38" sqref="B38"/>
    </sheetView>
  </sheetViews>
  <sheetFormatPr defaultColWidth="8.85546875" defaultRowHeight="15" x14ac:dyDescent="0.25"/>
  <cols>
    <col min="1" max="1" width="11" style="2" customWidth="1"/>
    <col min="2" max="2" width="33" style="2" customWidth="1"/>
    <col min="3" max="5" width="10.85546875" style="2" customWidth="1"/>
    <col min="6" max="6" width="10.85546875" style="22" customWidth="1"/>
    <col min="7" max="16" width="11.85546875" style="6" customWidth="1"/>
    <col min="17" max="17" width="11.7109375" style="6" customWidth="1"/>
    <col min="18" max="18" width="9.140625" style="2" customWidth="1"/>
    <col min="19" max="19" width="10.85546875" style="2" customWidth="1"/>
    <col min="20" max="20" width="10.85546875" style="6" customWidth="1"/>
    <col min="21" max="21" width="11" style="2" customWidth="1"/>
    <col min="22" max="24" width="11.42578125" style="2" customWidth="1"/>
    <col min="25" max="52" width="9.140625" style="2" customWidth="1"/>
    <col min="53" max="53" width="12.42578125" style="2" customWidth="1"/>
    <col min="54" max="75" width="9.140625" style="2" customWidth="1"/>
    <col min="76" max="76" width="12.140625" style="2" customWidth="1"/>
    <col min="77" max="80" width="9.140625" style="2" customWidth="1"/>
    <col min="81" max="85" width="9.140625" style="2" hidden="1" customWidth="1"/>
    <col min="86" max="86" width="9.140625" style="2" customWidth="1"/>
    <col min="87" max="91" width="9.140625" style="2" hidden="1" customWidth="1"/>
    <col min="92" max="92" width="9.140625" style="2" customWidth="1"/>
    <col min="93" max="97" width="9.140625" style="2" hidden="1" customWidth="1"/>
    <col min="98" max="98" width="9.140625" style="2" customWidth="1"/>
    <col min="99" max="103" width="9.140625" style="2" hidden="1" customWidth="1"/>
    <col min="104" max="104" width="9.140625" style="2" customWidth="1"/>
    <col min="105" max="109" width="9.140625" style="2" hidden="1" customWidth="1"/>
    <col min="110" max="110" width="9.140625" style="6" customWidth="1"/>
    <col min="111" max="115" width="9.140625" style="6" hidden="1" customWidth="1"/>
    <col min="116" max="116" width="9.140625" style="6" customWidth="1"/>
    <col min="117" max="121" width="9.140625" style="6" hidden="1" customWidth="1"/>
    <col min="122" max="122" width="9.140625" style="6" customWidth="1"/>
    <col min="123" max="127" width="9.140625" style="6" hidden="1" customWidth="1"/>
    <col min="128" max="128" width="9.140625" style="6" customWidth="1"/>
    <col min="129" max="158" width="9.140625" style="2" customWidth="1"/>
    <col min="159" max="159" width="9.140625" style="2" hidden="1" customWidth="1"/>
    <col min="160" max="167" width="9.140625" style="2" customWidth="1"/>
    <col min="168" max="168" width="9.140625" style="2" hidden="1" customWidth="1"/>
    <col min="169" max="173" width="9.140625" style="2" customWidth="1"/>
    <col min="174" max="174" width="9.140625" style="2" hidden="1" customWidth="1"/>
    <col min="175" max="184" width="9.140625" style="2" customWidth="1"/>
    <col min="185" max="188" width="8.85546875" style="2"/>
    <col min="189" max="189" width="12.7109375" style="2" bestFit="1" customWidth="1"/>
    <col min="190" max="16384" width="8.85546875" style="2"/>
  </cols>
  <sheetData>
    <row r="1" spans="1:189" ht="18.75" x14ac:dyDescent="0.3">
      <c r="A1" s="2" t="s">
        <v>53</v>
      </c>
      <c r="B1" s="21" t="s">
        <v>66</v>
      </c>
      <c r="S1" s="7"/>
    </row>
    <row r="2" spans="1:189" ht="15.75" x14ac:dyDescent="0.25">
      <c r="A2" s="11" t="s">
        <v>52</v>
      </c>
      <c r="I2" s="6" t="str">
        <f>[1]GSVA_cur!$I$3</f>
        <v>01.08.2025</v>
      </c>
    </row>
    <row r="3" spans="1:189" ht="15.75" x14ac:dyDescent="0.25">
      <c r="A3" s="11"/>
      <c r="B3" s="29"/>
    </row>
    <row r="4" spans="1:189" ht="15.75" x14ac:dyDescent="0.25">
      <c r="A4" s="11"/>
      <c r="E4" s="10"/>
      <c r="F4" s="23" t="s">
        <v>57</v>
      </c>
    </row>
    <row r="5" spans="1:189" ht="15.75" x14ac:dyDescent="0.25">
      <c r="A5" s="12" t="s">
        <v>0</v>
      </c>
      <c r="B5" s="13" t="s">
        <v>1</v>
      </c>
      <c r="C5" s="3" t="s">
        <v>21</v>
      </c>
      <c r="D5" s="3" t="s">
        <v>22</v>
      </c>
      <c r="E5" s="3" t="s">
        <v>23</v>
      </c>
      <c r="F5" s="24" t="s">
        <v>56</v>
      </c>
      <c r="G5" s="20" t="s">
        <v>65</v>
      </c>
      <c r="H5" s="20" t="s">
        <v>67</v>
      </c>
      <c r="I5" s="20" t="s">
        <v>68</v>
      </c>
      <c r="J5" s="20" t="s">
        <v>69</v>
      </c>
      <c r="K5" s="20" t="s">
        <v>70</v>
      </c>
      <c r="L5" s="20" t="s">
        <v>71</v>
      </c>
      <c r="M5" s="28" t="s">
        <v>72</v>
      </c>
      <c r="N5" s="28" t="s">
        <v>73</v>
      </c>
      <c r="O5" s="28" t="s">
        <v>74</v>
      </c>
      <c r="P5" s="28" t="s">
        <v>76</v>
      </c>
    </row>
    <row r="6" spans="1:189" s="34" customFormat="1" ht="15.75" x14ac:dyDescent="0.25">
      <c r="A6" s="30" t="s">
        <v>26</v>
      </c>
      <c r="B6" s="31" t="s">
        <v>2</v>
      </c>
      <c r="C6" s="32">
        <f>SUM(C7:C10)</f>
        <v>63293</v>
      </c>
      <c r="D6" s="32">
        <f t="shared" ref="D6:M6" si="0">SUM(D7:D10)</f>
        <v>66602</v>
      </c>
      <c r="E6" s="32">
        <f t="shared" si="0"/>
        <v>66975</v>
      </c>
      <c r="F6" s="45">
        <f t="shared" si="0"/>
        <v>74483.734096109838</v>
      </c>
      <c r="G6" s="32">
        <f t="shared" si="0"/>
        <v>67863.328187156658</v>
      </c>
      <c r="H6" s="32">
        <f t="shared" si="0"/>
        <v>68013.801073244205</v>
      </c>
      <c r="I6" s="32">
        <f t="shared" si="0"/>
        <v>73294.336029491475</v>
      </c>
      <c r="J6" s="32">
        <f t="shared" si="0"/>
        <v>74466.611632403568</v>
      </c>
      <c r="K6" s="32">
        <f t="shared" si="0"/>
        <v>71854.452864839448</v>
      </c>
      <c r="L6" s="32">
        <f t="shared" si="0"/>
        <v>66080.996343785489</v>
      </c>
      <c r="M6" s="32">
        <f t="shared" si="0"/>
        <v>75508.530454409818</v>
      </c>
      <c r="N6" s="32">
        <f t="shared" ref="N6:O6" si="1">SUM(N7:N10)</f>
        <v>74765.45317384995</v>
      </c>
      <c r="O6" s="32">
        <f t="shared" si="1"/>
        <v>74953.499544519014</v>
      </c>
      <c r="P6" s="32">
        <f t="shared" ref="P6" si="2">SUM(P7:P10)</f>
        <v>81888.278415390902</v>
      </c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G6" s="29"/>
    </row>
    <row r="7" spans="1:189" ht="15.75" x14ac:dyDescent="0.25">
      <c r="A7" s="16">
        <v>1.1000000000000001</v>
      </c>
      <c r="B7" s="17" t="s">
        <v>59</v>
      </c>
      <c r="C7" s="4">
        <v>11067</v>
      </c>
      <c r="D7" s="4">
        <v>13206</v>
      </c>
      <c r="E7" s="4">
        <v>12562</v>
      </c>
      <c r="F7" s="26">
        <v>14972</v>
      </c>
      <c r="G7" s="4">
        <v>8918.432941845047</v>
      </c>
      <c r="H7" s="4">
        <v>7799.6320843532303</v>
      </c>
      <c r="I7" s="4">
        <v>7845.3794734547846</v>
      </c>
      <c r="J7" s="4">
        <v>8923.3915257020853</v>
      </c>
      <c r="K7" s="4">
        <v>8293.7288804178297</v>
      </c>
      <c r="L7" s="4">
        <v>5474.2190170442063</v>
      </c>
      <c r="M7" s="4">
        <v>13631.46770828417</v>
      </c>
      <c r="N7" s="4">
        <v>4368.7426938332828</v>
      </c>
      <c r="O7" s="4">
        <v>3138.4827695296117</v>
      </c>
      <c r="P7" s="4">
        <v>5023.1909506109187</v>
      </c>
      <c r="Q7" s="7"/>
      <c r="R7" s="8"/>
      <c r="S7" s="8"/>
      <c r="T7" s="7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6"/>
      <c r="GE7" s="6"/>
      <c r="GF7" s="6"/>
    </row>
    <row r="8" spans="1:189" ht="15.75" x14ac:dyDescent="0.25">
      <c r="A8" s="16">
        <v>1.2</v>
      </c>
      <c r="B8" s="17" t="s">
        <v>60</v>
      </c>
      <c r="C8" s="4">
        <v>31830</v>
      </c>
      <c r="D8" s="4">
        <v>32959</v>
      </c>
      <c r="E8" s="4">
        <v>33563</v>
      </c>
      <c r="F8" s="26">
        <v>35940</v>
      </c>
      <c r="G8" s="4">
        <v>34271.599071793898</v>
      </c>
      <c r="H8" s="4">
        <v>34970.746093014495</v>
      </c>
      <c r="I8" s="4">
        <v>36695.125885596564</v>
      </c>
      <c r="J8" s="4">
        <v>35165.234685498443</v>
      </c>
      <c r="K8" s="4">
        <v>35189.879581074099</v>
      </c>
      <c r="L8" s="4">
        <v>35077.584936954037</v>
      </c>
      <c r="M8" s="4">
        <v>35184.398304470727</v>
      </c>
      <c r="N8" s="4">
        <v>45043.494390708489</v>
      </c>
      <c r="O8" s="4">
        <v>46952.086290231018</v>
      </c>
      <c r="P8" s="4">
        <v>48989.12576412323</v>
      </c>
      <c r="Q8" s="7"/>
      <c r="R8" s="8"/>
      <c r="S8" s="8"/>
      <c r="T8" s="7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6"/>
      <c r="GE8" s="6"/>
      <c r="GF8" s="6"/>
    </row>
    <row r="9" spans="1:189" ht="15.75" x14ac:dyDescent="0.25">
      <c r="A9" s="16">
        <v>1.3</v>
      </c>
      <c r="B9" s="17" t="s">
        <v>61</v>
      </c>
      <c r="C9" s="4">
        <v>3283</v>
      </c>
      <c r="D9" s="4">
        <v>3047</v>
      </c>
      <c r="E9" s="4">
        <v>2846</v>
      </c>
      <c r="F9" s="26">
        <v>2864</v>
      </c>
      <c r="G9" s="4">
        <v>2565.9121992801665</v>
      </c>
      <c r="H9" s="4">
        <v>3942.0050837883637</v>
      </c>
      <c r="I9" s="4">
        <v>3880.8211180124222</v>
      </c>
      <c r="J9" s="4">
        <v>3869.6518675566936</v>
      </c>
      <c r="K9" s="4">
        <v>4035.1343465858517</v>
      </c>
      <c r="L9" s="4">
        <v>4251.9925953580187</v>
      </c>
      <c r="M9" s="4">
        <v>4378.2943122687902</v>
      </c>
      <c r="N9" s="4">
        <v>4929.0234161949566</v>
      </c>
      <c r="O9" s="4">
        <v>5545.8582716069341</v>
      </c>
      <c r="P9" s="4">
        <v>6244.4854771422897</v>
      </c>
      <c r="Q9" s="7"/>
      <c r="R9" s="8"/>
      <c r="S9" s="8"/>
      <c r="T9" s="7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6"/>
      <c r="GE9" s="6"/>
      <c r="GF9" s="6"/>
    </row>
    <row r="10" spans="1:189" ht="15.75" x14ac:dyDescent="0.25">
      <c r="A10" s="16">
        <v>1.4</v>
      </c>
      <c r="B10" s="17" t="s">
        <v>62</v>
      </c>
      <c r="C10" s="4">
        <v>17113</v>
      </c>
      <c r="D10" s="4">
        <v>17390</v>
      </c>
      <c r="E10" s="4">
        <v>18004</v>
      </c>
      <c r="F10" s="26">
        <v>20707.734096109842</v>
      </c>
      <c r="G10" s="4">
        <v>22107.383974237546</v>
      </c>
      <c r="H10" s="4">
        <v>21301.417812088119</v>
      </c>
      <c r="I10" s="4">
        <v>24873.009552427713</v>
      </c>
      <c r="J10" s="4">
        <v>26508.333553646353</v>
      </c>
      <c r="K10" s="4">
        <v>24335.710056761669</v>
      </c>
      <c r="L10" s="4">
        <v>21277.199794429231</v>
      </c>
      <c r="M10" s="4">
        <v>22314.370129386134</v>
      </c>
      <c r="N10" s="4">
        <v>20424.192673113223</v>
      </c>
      <c r="O10" s="4">
        <v>19317.072213151445</v>
      </c>
      <c r="P10" s="4">
        <v>21631.476223514474</v>
      </c>
      <c r="Q10" s="7"/>
      <c r="R10" s="8"/>
      <c r="S10" s="8"/>
      <c r="T10" s="7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6"/>
      <c r="GE10" s="6"/>
      <c r="GF10" s="6"/>
    </row>
    <row r="11" spans="1:189" ht="15.75" x14ac:dyDescent="0.25">
      <c r="A11" s="18" t="s">
        <v>31</v>
      </c>
      <c r="B11" s="17" t="s">
        <v>3</v>
      </c>
      <c r="C11" s="4">
        <v>22301</v>
      </c>
      <c r="D11" s="4">
        <v>29218</v>
      </c>
      <c r="E11" s="4">
        <v>19318</v>
      </c>
      <c r="F11" s="26">
        <v>24810</v>
      </c>
      <c r="G11" s="4">
        <v>26654.28925932942</v>
      </c>
      <c r="H11" s="4">
        <v>34875.845038599131</v>
      </c>
      <c r="I11" s="4">
        <v>45425.816237799467</v>
      </c>
      <c r="J11" s="4">
        <v>43715.931434203536</v>
      </c>
      <c r="K11" s="4">
        <v>43979.08350525242</v>
      </c>
      <c r="L11" s="4">
        <v>38923.324797954694</v>
      </c>
      <c r="M11" s="4">
        <v>43817.135579491223</v>
      </c>
      <c r="N11" s="4">
        <v>40607.749988228163</v>
      </c>
      <c r="O11" s="4">
        <v>36354.870029607293</v>
      </c>
      <c r="P11" s="4">
        <v>30408.083588146779</v>
      </c>
      <c r="Q11" s="7"/>
      <c r="R11" s="8"/>
      <c r="S11" s="8"/>
      <c r="T11" s="7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6"/>
      <c r="GE11" s="6"/>
      <c r="GF11" s="6"/>
    </row>
    <row r="12" spans="1:189" s="29" customFormat="1" ht="15.75" x14ac:dyDescent="0.25">
      <c r="A12" s="35"/>
      <c r="B12" s="36" t="s">
        <v>28</v>
      </c>
      <c r="C12" s="37">
        <f>C6+C11</f>
        <v>85594</v>
      </c>
      <c r="D12" s="37">
        <f t="shared" ref="D12:M12" si="3">D6+D11</f>
        <v>95820</v>
      </c>
      <c r="E12" s="37">
        <f t="shared" si="3"/>
        <v>86293</v>
      </c>
      <c r="F12" s="46">
        <f t="shared" si="3"/>
        <v>99293.734096109838</v>
      </c>
      <c r="G12" s="37">
        <f t="shared" si="3"/>
        <v>94517.617446486081</v>
      </c>
      <c r="H12" s="37">
        <f t="shared" si="3"/>
        <v>102889.64611184334</v>
      </c>
      <c r="I12" s="37">
        <f t="shared" si="3"/>
        <v>118720.15226729095</v>
      </c>
      <c r="J12" s="37">
        <f t="shared" si="3"/>
        <v>118182.5430666071</v>
      </c>
      <c r="K12" s="37">
        <f t="shared" si="3"/>
        <v>115833.53637009187</v>
      </c>
      <c r="L12" s="37">
        <f t="shared" si="3"/>
        <v>105004.32114174019</v>
      </c>
      <c r="M12" s="37">
        <f t="shared" si="3"/>
        <v>119325.66603390104</v>
      </c>
      <c r="N12" s="37">
        <f t="shared" ref="N12:P12" si="4">N6+N11</f>
        <v>115373.20316207811</v>
      </c>
      <c r="O12" s="37">
        <f t="shared" si="4"/>
        <v>111308.36957412631</v>
      </c>
      <c r="P12" s="37">
        <f t="shared" si="4"/>
        <v>112296.36200353768</v>
      </c>
      <c r="Q12" s="7"/>
      <c r="R12" s="8"/>
      <c r="S12" s="8"/>
      <c r="T12" s="7"/>
      <c r="U12" s="8"/>
      <c r="V12" s="8"/>
      <c r="W12" s="8"/>
      <c r="X12" s="8"/>
      <c r="Y12" s="8"/>
      <c r="Z12" s="8"/>
      <c r="AA12" s="8"/>
      <c r="AB12" s="8"/>
      <c r="AC12" s="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  <c r="EY12" s="38"/>
      <c r="EZ12" s="38"/>
      <c r="FA12" s="38"/>
      <c r="FB12" s="38"/>
      <c r="FC12" s="38"/>
      <c r="FD12" s="38"/>
      <c r="FE12" s="38"/>
      <c r="FF12" s="38"/>
      <c r="FG12" s="38"/>
      <c r="FH12" s="38"/>
      <c r="FI12" s="38"/>
      <c r="FJ12" s="38"/>
      <c r="FK12" s="38"/>
      <c r="FL12" s="38"/>
      <c r="FM12" s="38"/>
      <c r="FN12" s="38"/>
      <c r="FO12" s="38"/>
      <c r="FP12" s="38"/>
      <c r="FQ12" s="38"/>
      <c r="FR12" s="38"/>
      <c r="FS12" s="38"/>
      <c r="FT12" s="38"/>
      <c r="FU12" s="38"/>
      <c r="FV12" s="38"/>
      <c r="FW12" s="38"/>
      <c r="FX12" s="38"/>
      <c r="FY12" s="38"/>
      <c r="FZ12" s="38"/>
      <c r="GA12" s="38"/>
      <c r="GB12" s="38"/>
      <c r="GC12" s="38"/>
      <c r="GD12" s="34"/>
      <c r="GE12" s="34"/>
      <c r="GF12" s="34"/>
    </row>
    <row r="13" spans="1:189" s="6" customFormat="1" ht="15.75" x14ac:dyDescent="0.25">
      <c r="A13" s="14" t="s">
        <v>32</v>
      </c>
      <c r="B13" s="15" t="s">
        <v>4</v>
      </c>
      <c r="C13" s="1">
        <v>368161</v>
      </c>
      <c r="D13" s="1">
        <v>350079</v>
      </c>
      <c r="E13" s="1">
        <v>480749</v>
      </c>
      <c r="F13" s="25">
        <v>347223</v>
      </c>
      <c r="G13" s="1">
        <v>423510.85309717752</v>
      </c>
      <c r="H13" s="1">
        <v>448005.75729617773</v>
      </c>
      <c r="I13" s="1">
        <v>499191.58740017749</v>
      </c>
      <c r="J13" s="1">
        <v>918724.82575135492</v>
      </c>
      <c r="K13" s="1">
        <v>779479.17884435074</v>
      </c>
      <c r="L13" s="1">
        <v>788104.52012940473</v>
      </c>
      <c r="M13" s="1">
        <v>582640.19291871134</v>
      </c>
      <c r="N13" s="1">
        <v>477022.58954951307</v>
      </c>
      <c r="O13" s="1">
        <v>527689.10161602125</v>
      </c>
      <c r="P13" s="1">
        <v>586985.55850423477</v>
      </c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G13" s="2"/>
    </row>
    <row r="14" spans="1:189" ht="30" x14ac:dyDescent="0.25">
      <c r="A14" s="18" t="s">
        <v>33</v>
      </c>
      <c r="B14" s="17" t="s">
        <v>5</v>
      </c>
      <c r="C14" s="4">
        <v>16777</v>
      </c>
      <c r="D14" s="4">
        <v>17855</v>
      </c>
      <c r="E14" s="4">
        <v>17100</v>
      </c>
      <c r="F14" s="26">
        <v>4422</v>
      </c>
      <c r="G14" s="4">
        <v>13649.469028225041</v>
      </c>
      <c r="H14" s="4">
        <v>14942.093673507814</v>
      </c>
      <c r="I14" s="4">
        <v>17021</v>
      </c>
      <c r="J14" s="4">
        <v>11992.177040564951</v>
      </c>
      <c r="K14" s="1">
        <v>13332.953325575394</v>
      </c>
      <c r="L14" s="1">
        <v>7479.5817678744388</v>
      </c>
      <c r="M14" s="1">
        <v>15879.788379253339</v>
      </c>
      <c r="N14" s="1">
        <v>16892.531714003944</v>
      </c>
      <c r="O14" s="1">
        <v>20828.487597245105</v>
      </c>
      <c r="P14" s="1">
        <v>21071.550298418835</v>
      </c>
      <c r="Q14" s="7"/>
      <c r="R14" s="8"/>
      <c r="S14" s="8"/>
      <c r="T14" s="7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7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7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7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6"/>
      <c r="GE14" s="6"/>
      <c r="GF14" s="6"/>
    </row>
    <row r="15" spans="1:189" ht="15.75" x14ac:dyDescent="0.25">
      <c r="A15" s="18" t="s">
        <v>34</v>
      </c>
      <c r="B15" s="17" t="s">
        <v>6</v>
      </c>
      <c r="C15" s="4">
        <v>232607.00000000003</v>
      </c>
      <c r="D15" s="4">
        <v>207325</v>
      </c>
      <c r="E15" s="4">
        <v>247738</v>
      </c>
      <c r="F15" s="26">
        <v>213530</v>
      </c>
      <c r="G15" s="4">
        <v>214595.50464103051</v>
      </c>
      <c r="H15" s="4">
        <v>231049.30013180192</v>
      </c>
      <c r="I15" s="4">
        <v>272349.56046529638</v>
      </c>
      <c r="J15" s="4">
        <v>286384.84907209722</v>
      </c>
      <c r="K15" s="4">
        <v>315538.56589570903</v>
      </c>
      <c r="L15" s="4">
        <v>256824.13875386477</v>
      </c>
      <c r="M15" s="4">
        <v>314102.88289380079</v>
      </c>
      <c r="N15" s="4">
        <v>454345.6381740818</v>
      </c>
      <c r="O15" s="4">
        <v>505941.21838652517</v>
      </c>
      <c r="P15" s="4">
        <v>568548.81860200863</v>
      </c>
      <c r="Q15" s="7"/>
      <c r="R15" s="8"/>
      <c r="S15" s="8"/>
      <c r="T15" s="7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7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7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7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6"/>
      <c r="GE15" s="6"/>
      <c r="GF15" s="6"/>
    </row>
    <row r="16" spans="1:189" s="29" customFormat="1" ht="15.75" x14ac:dyDescent="0.25">
      <c r="A16" s="35"/>
      <c r="B16" s="36" t="s">
        <v>29</v>
      </c>
      <c r="C16" s="37">
        <f>+C13+C14+C15</f>
        <v>617545</v>
      </c>
      <c r="D16" s="37">
        <f t="shared" ref="D16:I16" si="5">+D13+D14+D15</f>
        <v>575259</v>
      </c>
      <c r="E16" s="37">
        <f t="shared" si="5"/>
        <v>745587</v>
      </c>
      <c r="F16" s="46">
        <f t="shared" si="5"/>
        <v>565175</v>
      </c>
      <c r="G16" s="37">
        <f t="shared" si="5"/>
        <v>651755.82676643308</v>
      </c>
      <c r="H16" s="37">
        <f t="shared" si="5"/>
        <v>693997.15110148746</v>
      </c>
      <c r="I16" s="37">
        <f t="shared" si="5"/>
        <v>788562.14786547387</v>
      </c>
      <c r="J16" s="37">
        <f t="shared" ref="J16:M16" si="6">+J13+J14+J15</f>
        <v>1217101.8518640171</v>
      </c>
      <c r="K16" s="37">
        <f t="shared" si="6"/>
        <v>1108350.6980656353</v>
      </c>
      <c r="L16" s="37">
        <f t="shared" si="6"/>
        <v>1052408.2406511439</v>
      </c>
      <c r="M16" s="37">
        <f t="shared" si="6"/>
        <v>912622.86419176543</v>
      </c>
      <c r="N16" s="37">
        <f t="shared" ref="N16:O16" si="7">+N13+N14+N15</f>
        <v>948260.75943759875</v>
      </c>
      <c r="O16" s="37">
        <f t="shared" si="7"/>
        <v>1054458.8075997916</v>
      </c>
      <c r="P16" s="37">
        <f t="shared" ref="P16" si="8">+P13+P14+P15</f>
        <v>1176605.9274046621</v>
      </c>
      <c r="Q16" s="7"/>
      <c r="R16" s="8"/>
      <c r="S16" s="8"/>
      <c r="T16" s="7"/>
      <c r="U16" s="8"/>
      <c r="V16" s="8"/>
      <c r="W16" s="8"/>
      <c r="X16" s="8"/>
      <c r="Y16" s="8"/>
      <c r="Z16" s="8"/>
      <c r="AA16" s="8"/>
      <c r="AB16" s="8"/>
      <c r="AC16" s="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3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3"/>
      <c r="EQ16" s="38"/>
      <c r="ER16" s="38"/>
      <c r="ES16" s="38"/>
      <c r="ET16" s="38"/>
      <c r="EU16" s="38"/>
      <c r="EV16" s="38"/>
      <c r="EW16" s="38"/>
      <c r="EX16" s="38"/>
      <c r="EY16" s="38"/>
      <c r="EZ16" s="38"/>
      <c r="FA16" s="38"/>
      <c r="FB16" s="38"/>
      <c r="FC16" s="38"/>
      <c r="FD16" s="38"/>
      <c r="FE16" s="38"/>
      <c r="FF16" s="38"/>
      <c r="FG16" s="38"/>
      <c r="FH16" s="38"/>
      <c r="FI16" s="38"/>
      <c r="FJ16" s="38"/>
      <c r="FK16" s="38"/>
      <c r="FL16" s="38"/>
      <c r="FM16" s="38"/>
      <c r="FN16" s="33"/>
      <c r="FO16" s="38"/>
      <c r="FP16" s="38"/>
      <c r="FQ16" s="38"/>
      <c r="FR16" s="38"/>
      <c r="FS16" s="38"/>
      <c r="FT16" s="38"/>
      <c r="FU16" s="38"/>
      <c r="FV16" s="38"/>
      <c r="FW16" s="38"/>
      <c r="FX16" s="38"/>
      <c r="FY16" s="38"/>
      <c r="FZ16" s="38"/>
      <c r="GA16" s="38"/>
      <c r="GB16" s="38"/>
      <c r="GC16" s="38"/>
      <c r="GD16" s="34"/>
      <c r="GE16" s="34"/>
      <c r="GF16" s="34"/>
    </row>
    <row r="17" spans="1:189" s="34" customFormat="1" ht="30" x14ac:dyDescent="0.25">
      <c r="A17" s="30" t="s">
        <v>35</v>
      </c>
      <c r="B17" s="31" t="s">
        <v>7</v>
      </c>
      <c r="C17" s="32">
        <f>C18+C19</f>
        <v>142356</v>
      </c>
      <c r="D17" s="32">
        <f t="shared" ref="D17:I17" si="9">D18+D19</f>
        <v>168520</v>
      </c>
      <c r="E17" s="32">
        <f t="shared" si="9"/>
        <v>158978</v>
      </c>
      <c r="F17" s="45">
        <f t="shared" si="9"/>
        <v>167318</v>
      </c>
      <c r="G17" s="32">
        <f t="shared" si="9"/>
        <v>147359.33396476606</v>
      </c>
      <c r="H17" s="32">
        <f t="shared" si="9"/>
        <v>148451.09668612314</v>
      </c>
      <c r="I17" s="32">
        <f t="shared" si="9"/>
        <v>150302.934338953</v>
      </c>
      <c r="J17" s="32">
        <f t="shared" ref="J17:M17" si="10">J18+J19</f>
        <v>159063.06084742979</v>
      </c>
      <c r="K17" s="32">
        <f t="shared" si="10"/>
        <v>154009.39322627414</v>
      </c>
      <c r="L17" s="32">
        <f t="shared" si="10"/>
        <v>103127.71373507098</v>
      </c>
      <c r="M17" s="32">
        <f t="shared" si="10"/>
        <v>118921.27340010216</v>
      </c>
      <c r="N17" s="32">
        <f t="shared" ref="N17:O17" si="11">N18+N19</f>
        <v>133985.32586505121</v>
      </c>
      <c r="O17" s="32">
        <f t="shared" si="11"/>
        <v>130545.84892252542</v>
      </c>
      <c r="P17" s="32">
        <f t="shared" ref="P17" si="12">P18+P19</f>
        <v>131166.0097699594</v>
      </c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/>
      <c r="EQ17" s="33"/>
      <c r="ER17" s="33"/>
      <c r="ES17" s="33"/>
      <c r="ET17" s="33"/>
      <c r="EU17" s="33"/>
      <c r="EV17" s="33"/>
      <c r="EW17" s="33"/>
      <c r="EX17" s="33"/>
      <c r="EY17" s="33"/>
      <c r="EZ17" s="33"/>
      <c r="FA17" s="33"/>
      <c r="FB17" s="33"/>
      <c r="FC17" s="33"/>
      <c r="FD17" s="33"/>
      <c r="FE17" s="33"/>
      <c r="FF17" s="33"/>
      <c r="FG17" s="33"/>
      <c r="FH17" s="33"/>
      <c r="FI17" s="33"/>
      <c r="FJ17" s="33"/>
      <c r="FK17" s="33"/>
      <c r="FL17" s="33"/>
      <c r="FM17" s="33"/>
      <c r="FN17" s="33"/>
      <c r="FO17" s="33"/>
      <c r="FP17" s="33"/>
      <c r="FQ17" s="33"/>
      <c r="FR17" s="33"/>
      <c r="FS17" s="33"/>
      <c r="FT17" s="33"/>
      <c r="FU17" s="33"/>
      <c r="FV17" s="33"/>
      <c r="FW17" s="33"/>
      <c r="FX17" s="33"/>
      <c r="FY17" s="33"/>
      <c r="FZ17" s="33"/>
      <c r="GA17" s="33"/>
      <c r="GB17" s="33"/>
      <c r="GC17" s="33"/>
      <c r="GG17" s="29"/>
    </row>
    <row r="18" spans="1:189" ht="15.75" x14ac:dyDescent="0.25">
      <c r="A18" s="16">
        <v>6.1</v>
      </c>
      <c r="B18" s="17" t="s">
        <v>8</v>
      </c>
      <c r="C18" s="4">
        <v>122777</v>
      </c>
      <c r="D18" s="4">
        <v>148668</v>
      </c>
      <c r="E18" s="4">
        <v>138888</v>
      </c>
      <c r="F18" s="26">
        <v>146263</v>
      </c>
      <c r="G18" s="4">
        <v>129679.69009282062</v>
      </c>
      <c r="H18" s="4">
        <v>130912.01751082658</v>
      </c>
      <c r="I18" s="4">
        <v>131895.01818988466</v>
      </c>
      <c r="J18" s="4">
        <v>140513.90154376745</v>
      </c>
      <c r="K18" s="4">
        <v>135916.13000295981</v>
      </c>
      <c r="L18" s="4">
        <v>96042.386812139637</v>
      </c>
      <c r="M18" s="4">
        <v>108280.44631441624</v>
      </c>
      <c r="N18" s="4">
        <v>115519.62444093006</v>
      </c>
      <c r="O18" s="4">
        <v>110965.77378360223</v>
      </c>
      <c r="P18" s="4">
        <v>109501.86343466143</v>
      </c>
      <c r="Q18" s="7"/>
      <c r="R18" s="8"/>
      <c r="S18" s="8"/>
      <c r="T18" s="7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6"/>
      <c r="GE18" s="6"/>
      <c r="GF18" s="6"/>
    </row>
    <row r="19" spans="1:189" ht="15.75" x14ac:dyDescent="0.25">
      <c r="A19" s="16">
        <v>6.2</v>
      </c>
      <c r="B19" s="17" t="s">
        <v>9</v>
      </c>
      <c r="C19" s="4">
        <v>19579</v>
      </c>
      <c r="D19" s="4">
        <v>19852</v>
      </c>
      <c r="E19" s="4">
        <v>20090</v>
      </c>
      <c r="F19" s="26">
        <v>21055</v>
      </c>
      <c r="G19" s="4">
        <v>17679.643871945445</v>
      </c>
      <c r="H19" s="4">
        <v>17539.079175296552</v>
      </c>
      <c r="I19" s="4">
        <v>18407.916149068322</v>
      </c>
      <c r="J19" s="4">
        <v>18549.159303662342</v>
      </c>
      <c r="K19" s="4">
        <v>18093.263223314341</v>
      </c>
      <c r="L19" s="4">
        <v>7085.3269229313446</v>
      </c>
      <c r="M19" s="4">
        <v>10640.82708568592</v>
      </c>
      <c r="N19" s="4">
        <v>18465.701424121155</v>
      </c>
      <c r="O19" s="4">
        <v>19580.075138923192</v>
      </c>
      <c r="P19" s="4">
        <v>21664.146335297974</v>
      </c>
      <c r="Q19" s="7"/>
      <c r="R19" s="8"/>
      <c r="S19" s="8"/>
      <c r="T19" s="7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6"/>
      <c r="GE19" s="6"/>
      <c r="GF19" s="6"/>
    </row>
    <row r="20" spans="1:189" s="34" customFormat="1" ht="30" x14ac:dyDescent="0.25">
      <c r="A20" s="39" t="s">
        <v>36</v>
      </c>
      <c r="B20" s="40" t="s">
        <v>10</v>
      </c>
      <c r="C20" s="32">
        <f>SUM(C21:C27)</f>
        <v>58764</v>
      </c>
      <c r="D20" s="32">
        <f t="shared" ref="D20:M20" si="13">SUM(D21:D27)</f>
        <v>61319</v>
      </c>
      <c r="E20" s="32">
        <f t="shared" si="13"/>
        <v>61469</v>
      </c>
      <c r="F20" s="45">
        <f t="shared" si="13"/>
        <v>64357.513043478262</v>
      </c>
      <c r="G20" s="32">
        <f t="shared" si="13"/>
        <v>68086.421291911334</v>
      </c>
      <c r="H20" s="32">
        <f t="shared" si="13"/>
        <v>72620.182074938813</v>
      </c>
      <c r="I20" s="32">
        <f t="shared" si="13"/>
        <v>70350.321295474714</v>
      </c>
      <c r="J20" s="32">
        <f t="shared" si="13"/>
        <v>64469.076531922663</v>
      </c>
      <c r="K20" s="32">
        <f t="shared" si="13"/>
        <v>67627.63921367444</v>
      </c>
      <c r="L20" s="32">
        <f t="shared" si="13"/>
        <v>45662.975920811106</v>
      </c>
      <c r="M20" s="32">
        <f t="shared" si="13"/>
        <v>60426.827537393954</v>
      </c>
      <c r="N20" s="32">
        <f t="shared" ref="N20:P20" si="14">SUM(N21:N27)</f>
        <v>70303.716683172679</v>
      </c>
      <c r="O20" s="32">
        <f t="shared" si="14"/>
        <v>72060.102043866573</v>
      </c>
      <c r="P20" s="32">
        <f t="shared" si="14"/>
        <v>79589.127654468088</v>
      </c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3"/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3"/>
      <c r="DJ20" s="33"/>
      <c r="DK20" s="33"/>
      <c r="DL20" s="33"/>
      <c r="DM20" s="33"/>
      <c r="DN20" s="33"/>
      <c r="DO20" s="33"/>
      <c r="DP20" s="33"/>
      <c r="DQ20" s="33"/>
      <c r="DR20" s="33"/>
      <c r="DS20" s="33"/>
      <c r="DT20" s="33"/>
      <c r="DU20" s="33"/>
      <c r="DV20" s="33"/>
      <c r="DW20" s="33"/>
      <c r="DX20" s="33"/>
      <c r="DY20" s="33"/>
      <c r="DZ20" s="33"/>
      <c r="EA20" s="33"/>
      <c r="EB20" s="33"/>
      <c r="EC20" s="33"/>
      <c r="ED20" s="33"/>
      <c r="EE20" s="33"/>
      <c r="EF20" s="33"/>
      <c r="EG20" s="33"/>
      <c r="EH20" s="33"/>
      <c r="EI20" s="33"/>
      <c r="EJ20" s="33"/>
      <c r="EK20" s="33"/>
      <c r="EL20" s="33"/>
      <c r="EM20" s="33"/>
      <c r="EN20" s="33"/>
      <c r="EO20" s="33"/>
      <c r="EP20" s="33"/>
      <c r="EQ20" s="33"/>
      <c r="ER20" s="33"/>
      <c r="ES20" s="33"/>
      <c r="ET20" s="33"/>
      <c r="EU20" s="33"/>
      <c r="EV20" s="33"/>
      <c r="EW20" s="33"/>
      <c r="EX20" s="33"/>
      <c r="EY20" s="33"/>
      <c r="EZ20" s="33"/>
      <c r="FA20" s="33"/>
      <c r="FB20" s="33"/>
      <c r="FC20" s="33"/>
      <c r="FD20" s="33"/>
      <c r="FE20" s="33"/>
      <c r="FF20" s="33"/>
      <c r="FG20" s="33"/>
      <c r="FH20" s="33"/>
      <c r="FI20" s="33"/>
      <c r="FJ20" s="33"/>
      <c r="FK20" s="33"/>
      <c r="FL20" s="33"/>
      <c r="FM20" s="33"/>
      <c r="FN20" s="33"/>
      <c r="FO20" s="33"/>
      <c r="FP20" s="33"/>
      <c r="FQ20" s="33"/>
      <c r="FR20" s="33"/>
      <c r="FS20" s="33"/>
      <c r="FT20" s="33"/>
      <c r="FU20" s="33"/>
      <c r="FV20" s="33"/>
      <c r="FW20" s="33"/>
      <c r="FX20" s="33"/>
      <c r="FY20" s="33"/>
      <c r="FZ20" s="33"/>
      <c r="GA20" s="33"/>
      <c r="GB20" s="33"/>
      <c r="GC20" s="33"/>
      <c r="GG20" s="29"/>
    </row>
    <row r="21" spans="1:189" ht="15.75" x14ac:dyDescent="0.25">
      <c r="A21" s="16">
        <v>7.1</v>
      </c>
      <c r="B21" s="17" t="s">
        <v>11</v>
      </c>
      <c r="C21" s="4">
        <v>163</v>
      </c>
      <c r="D21" s="4">
        <v>162</v>
      </c>
      <c r="E21" s="4">
        <v>170</v>
      </c>
      <c r="F21" s="26">
        <v>177</v>
      </c>
      <c r="G21" s="4">
        <v>205</v>
      </c>
      <c r="H21" s="4">
        <v>223</v>
      </c>
      <c r="I21" s="4">
        <v>252</v>
      </c>
      <c r="J21" s="4">
        <v>233</v>
      </c>
      <c r="K21" s="4">
        <v>195.44681464529481</v>
      </c>
      <c r="L21" s="4">
        <v>38.976025689798796</v>
      </c>
      <c r="M21" s="4">
        <v>122.12960227744102</v>
      </c>
      <c r="N21" s="4">
        <v>118.06344059674177</v>
      </c>
      <c r="O21" s="4">
        <v>123.63645430255748</v>
      </c>
      <c r="P21" s="4">
        <v>164.8539206392602</v>
      </c>
      <c r="Q21" s="7"/>
      <c r="R21" s="8"/>
      <c r="S21" s="8"/>
      <c r="T21" s="7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6"/>
      <c r="GE21" s="6"/>
      <c r="GF21" s="6"/>
    </row>
    <row r="22" spans="1:189" ht="15.75" x14ac:dyDescent="0.25">
      <c r="A22" s="16">
        <v>7.2</v>
      </c>
      <c r="B22" s="17" t="s">
        <v>12</v>
      </c>
      <c r="C22" s="4">
        <v>37096</v>
      </c>
      <c r="D22" s="4">
        <v>39112</v>
      </c>
      <c r="E22" s="4">
        <v>39726</v>
      </c>
      <c r="F22" s="26">
        <v>39602</v>
      </c>
      <c r="G22" s="4">
        <v>40439.267474900553</v>
      </c>
      <c r="H22" s="4">
        <v>42871.803144417245</v>
      </c>
      <c r="I22" s="4">
        <v>43474.536645962733</v>
      </c>
      <c r="J22" s="4">
        <v>42339.102069305307</v>
      </c>
      <c r="K22" s="4">
        <v>40706.843281885376</v>
      </c>
      <c r="L22" s="4">
        <v>24852.291494256708</v>
      </c>
      <c r="M22" s="4">
        <v>37438.214503450727</v>
      </c>
      <c r="N22" s="4">
        <v>38263.449699065954</v>
      </c>
      <c r="O22" s="4">
        <v>37804.714156523485</v>
      </c>
      <c r="P22" s="4">
        <v>38197.551042660387</v>
      </c>
      <c r="Q22" s="7"/>
      <c r="R22" s="8"/>
      <c r="S22" s="8"/>
      <c r="T22" s="7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6"/>
      <c r="GE22" s="6"/>
      <c r="GF22" s="6"/>
    </row>
    <row r="23" spans="1:189" ht="15.75" x14ac:dyDescent="0.25">
      <c r="A23" s="16">
        <v>7.3</v>
      </c>
      <c r="B23" s="17" t="s">
        <v>13</v>
      </c>
      <c r="C23" s="4">
        <v>3572.9999999999995</v>
      </c>
      <c r="D23" s="4">
        <v>3306</v>
      </c>
      <c r="E23" s="4">
        <v>1500</v>
      </c>
      <c r="F23" s="26">
        <v>1405</v>
      </c>
      <c r="G23" s="4">
        <v>1196.9094525478308</v>
      </c>
      <c r="H23" s="4">
        <v>3274.1978911692713</v>
      </c>
      <c r="I23" s="4">
        <v>2974.1338065661048</v>
      </c>
      <c r="J23" s="4">
        <v>3549.3000492691735</v>
      </c>
      <c r="K23" s="4">
        <v>4173.0282547304587</v>
      </c>
      <c r="L23" s="4">
        <v>2918.227155258227</v>
      </c>
      <c r="M23" s="4">
        <v>3060.3813834333</v>
      </c>
      <c r="N23" s="4">
        <v>5586.0892097613478</v>
      </c>
      <c r="O23" s="4">
        <v>6372.370790782521</v>
      </c>
      <c r="P23" s="4">
        <v>8603.0205258820297</v>
      </c>
      <c r="Q23" s="7"/>
      <c r="R23" s="8"/>
      <c r="S23" s="8"/>
      <c r="T23" s="7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6"/>
      <c r="GE23" s="6"/>
      <c r="GF23" s="6"/>
    </row>
    <row r="24" spans="1:189" ht="15.75" x14ac:dyDescent="0.25">
      <c r="A24" s="16">
        <v>7.4</v>
      </c>
      <c r="B24" s="17" t="s">
        <v>14</v>
      </c>
      <c r="C24" s="4">
        <v>0</v>
      </c>
      <c r="D24" s="4">
        <v>0</v>
      </c>
      <c r="E24" s="4">
        <v>0</v>
      </c>
      <c r="F24" s="26"/>
      <c r="G24" s="4">
        <v>0</v>
      </c>
      <c r="H24" s="4">
        <v>0</v>
      </c>
      <c r="I24" s="4">
        <v>169.71623779946762</v>
      </c>
      <c r="J24" s="4">
        <v>144.7436360650353</v>
      </c>
      <c r="K24" s="4">
        <v>166.64703314924392</v>
      </c>
      <c r="L24" s="4">
        <v>-0.11145228016663111</v>
      </c>
      <c r="M24" s="4">
        <v>-0.2264728286397939</v>
      </c>
      <c r="N24" s="4">
        <v>57.867133855309703</v>
      </c>
      <c r="O24" s="4">
        <v>119.99576376564849</v>
      </c>
      <c r="P24" s="4">
        <v>208.6172186327579</v>
      </c>
      <c r="Q24" s="7"/>
      <c r="R24" s="8"/>
      <c r="S24" s="8"/>
      <c r="T24" s="7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6"/>
      <c r="GE24" s="6"/>
      <c r="GF24" s="6"/>
    </row>
    <row r="25" spans="1:189" ht="15.75" x14ac:dyDescent="0.25">
      <c r="A25" s="16">
        <v>7.5</v>
      </c>
      <c r="B25" s="17" t="s">
        <v>15</v>
      </c>
      <c r="C25" s="4">
        <v>620</v>
      </c>
      <c r="D25" s="4">
        <v>656</v>
      </c>
      <c r="E25" s="4">
        <v>722</v>
      </c>
      <c r="F25" s="26">
        <v>387</v>
      </c>
      <c r="G25" s="4">
        <v>420.50861905663953</v>
      </c>
      <c r="H25" s="4">
        <v>1834.9087742421389</v>
      </c>
      <c r="I25" s="4">
        <v>1726.5712511091392</v>
      </c>
      <c r="J25" s="4">
        <v>500.48431597963543</v>
      </c>
      <c r="K25" s="4">
        <v>1671.3861703299362</v>
      </c>
      <c r="L25" s="4">
        <v>654.13361889443036</v>
      </c>
      <c r="M25" s="4">
        <v>547.47594219168616</v>
      </c>
      <c r="N25" s="4">
        <v>1108.3642779543036</v>
      </c>
      <c r="O25" s="4">
        <v>1271.7746369958695</v>
      </c>
      <c r="P25" s="4">
        <v>1530.9022373485136</v>
      </c>
      <c r="Q25" s="7"/>
      <c r="R25" s="8"/>
      <c r="S25" s="8"/>
      <c r="T25" s="7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6"/>
      <c r="GE25" s="6"/>
      <c r="GF25" s="6"/>
    </row>
    <row r="26" spans="1:189" ht="15.75" x14ac:dyDescent="0.25">
      <c r="A26" s="16">
        <v>7.6</v>
      </c>
      <c r="B26" s="17" t="s">
        <v>16</v>
      </c>
      <c r="C26" s="4">
        <v>44</v>
      </c>
      <c r="D26" s="4">
        <v>36</v>
      </c>
      <c r="E26" s="4">
        <v>22</v>
      </c>
      <c r="F26" s="26">
        <v>20.513043478260869</v>
      </c>
      <c r="G26" s="4">
        <v>22.735745406326956</v>
      </c>
      <c r="H26" s="4">
        <v>128.64018075691959</v>
      </c>
      <c r="I26" s="4">
        <v>11.974711623779946</v>
      </c>
      <c r="J26" s="4">
        <v>39.963048592071438</v>
      </c>
      <c r="K26" s="4">
        <v>38.400974942022565</v>
      </c>
      <c r="L26" s="4">
        <v>7.8758635932501235</v>
      </c>
      <c r="M26" s="4">
        <v>11.283568957987939</v>
      </c>
      <c r="N26" s="4">
        <v>26.728783009587818</v>
      </c>
      <c r="O26" s="4">
        <v>16.862651347864421</v>
      </c>
      <c r="P26" s="4">
        <v>11.190698182052772</v>
      </c>
      <c r="Q26" s="7"/>
      <c r="R26" s="8"/>
      <c r="S26" s="8"/>
      <c r="T26" s="7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6"/>
      <c r="GE26" s="6"/>
      <c r="GF26" s="6"/>
    </row>
    <row r="27" spans="1:189" ht="30" x14ac:dyDescent="0.25">
      <c r="A27" s="16">
        <v>7.7</v>
      </c>
      <c r="B27" s="17" t="s">
        <v>17</v>
      </c>
      <c r="C27" s="4">
        <v>17268</v>
      </c>
      <c r="D27" s="4">
        <v>18047</v>
      </c>
      <c r="E27" s="4">
        <v>19329</v>
      </c>
      <c r="F27" s="26">
        <v>22766</v>
      </c>
      <c r="G27" s="4">
        <v>25802</v>
      </c>
      <c r="H27" s="4">
        <v>24287.63208435323</v>
      </c>
      <c r="I27" s="4">
        <v>21741.388642413487</v>
      </c>
      <c r="J27" s="4">
        <v>17662.483412711448</v>
      </c>
      <c r="K27" s="4">
        <v>20675.886683992103</v>
      </c>
      <c r="L27" s="4">
        <v>17191.583215398859</v>
      </c>
      <c r="M27" s="4">
        <v>19247.569009911451</v>
      </c>
      <c r="N27" s="4">
        <v>25143.154138929436</v>
      </c>
      <c r="O27" s="4">
        <v>26350.747590148625</v>
      </c>
      <c r="P27" s="4">
        <v>30872.992011123097</v>
      </c>
      <c r="Q27" s="7"/>
      <c r="R27" s="8"/>
      <c r="S27" s="8"/>
      <c r="T27" s="7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6"/>
      <c r="GE27" s="6"/>
      <c r="GF27" s="6"/>
    </row>
    <row r="28" spans="1:189" ht="15.75" x14ac:dyDescent="0.25">
      <c r="A28" s="18" t="s">
        <v>37</v>
      </c>
      <c r="B28" s="17" t="s">
        <v>18</v>
      </c>
      <c r="C28" s="4">
        <v>58223</v>
      </c>
      <c r="D28" s="4">
        <v>61594.000000000007</v>
      </c>
      <c r="E28" s="4">
        <v>62014</v>
      </c>
      <c r="F28" s="26">
        <v>64872</v>
      </c>
      <c r="G28" s="4">
        <v>76012</v>
      </c>
      <c r="H28" s="4">
        <v>79880</v>
      </c>
      <c r="I28" s="4">
        <v>85457</v>
      </c>
      <c r="J28" s="4">
        <v>76647</v>
      </c>
      <c r="K28" s="4">
        <v>82975.446149586714</v>
      </c>
      <c r="L28" s="4">
        <v>90361.963027452861</v>
      </c>
      <c r="M28" s="4">
        <v>79027.378239372483</v>
      </c>
      <c r="N28" s="4">
        <v>91504.264754973017</v>
      </c>
      <c r="O28" s="4">
        <v>95870.435788929681</v>
      </c>
      <c r="P28" s="4">
        <v>100736.34388001944</v>
      </c>
      <c r="Q28" s="7"/>
      <c r="R28" s="8"/>
      <c r="S28" s="8"/>
      <c r="T28" s="7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6"/>
      <c r="GE28" s="6"/>
      <c r="GF28" s="6"/>
    </row>
    <row r="29" spans="1:189" ht="30" x14ac:dyDescent="0.25">
      <c r="A29" s="18" t="s">
        <v>38</v>
      </c>
      <c r="B29" s="17" t="s">
        <v>19</v>
      </c>
      <c r="C29" s="4">
        <v>118582</v>
      </c>
      <c r="D29" s="4">
        <v>121773</v>
      </c>
      <c r="E29" s="4">
        <v>133665</v>
      </c>
      <c r="F29" s="26">
        <v>142451</v>
      </c>
      <c r="G29" s="4">
        <v>148008.99261223717</v>
      </c>
      <c r="H29" s="4">
        <v>164805.20391639991</v>
      </c>
      <c r="I29" s="4">
        <v>177345.12422360247</v>
      </c>
      <c r="J29" s="4">
        <v>180651.02069305305</v>
      </c>
      <c r="K29" s="4">
        <v>184779.33064419829</v>
      </c>
      <c r="L29" s="4">
        <v>174663.74797597062</v>
      </c>
      <c r="M29" s="4">
        <v>192327.28588748255</v>
      </c>
      <c r="N29" s="4">
        <v>205940.06273164332</v>
      </c>
      <c r="O29" s="4">
        <v>214996.18373750051</v>
      </c>
      <c r="P29" s="4">
        <v>232605.30491508066</v>
      </c>
      <c r="Q29" s="7"/>
      <c r="R29" s="8"/>
      <c r="S29" s="8"/>
      <c r="T29" s="7"/>
      <c r="U29" s="9"/>
      <c r="V29" s="9"/>
      <c r="W29" s="9"/>
      <c r="X29" s="9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6"/>
      <c r="GE29" s="6"/>
      <c r="GF29" s="6"/>
    </row>
    <row r="30" spans="1:189" ht="15.75" x14ac:dyDescent="0.25">
      <c r="A30" s="18" t="s">
        <v>39</v>
      </c>
      <c r="B30" s="17" t="s">
        <v>54</v>
      </c>
      <c r="C30" s="4">
        <v>62484</v>
      </c>
      <c r="D30" s="4">
        <v>59482.000000000007</v>
      </c>
      <c r="E30" s="4">
        <v>57698</v>
      </c>
      <c r="F30" s="26">
        <v>57212</v>
      </c>
      <c r="G30" s="4">
        <v>57340</v>
      </c>
      <c r="H30" s="4">
        <v>59260</v>
      </c>
      <c r="I30" s="4">
        <v>59418</v>
      </c>
      <c r="J30" s="4">
        <v>50045</v>
      </c>
      <c r="K30" s="4">
        <v>61910.248766062447</v>
      </c>
      <c r="L30" s="4">
        <v>63385.17737911622</v>
      </c>
      <c r="M30" s="4">
        <v>64936.049092427915</v>
      </c>
      <c r="N30" s="4">
        <v>61212.862872911355</v>
      </c>
      <c r="O30" s="4">
        <v>63461.218194655165</v>
      </c>
      <c r="P30" s="4">
        <v>63955.031578497161</v>
      </c>
      <c r="Q30" s="7"/>
      <c r="R30" s="8"/>
      <c r="S30" s="8"/>
      <c r="T30" s="7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6"/>
      <c r="GE30" s="6"/>
      <c r="GF30" s="6"/>
    </row>
    <row r="31" spans="1:189" ht="15.75" x14ac:dyDescent="0.25">
      <c r="A31" s="18" t="s">
        <v>40</v>
      </c>
      <c r="B31" s="17" t="s">
        <v>20</v>
      </c>
      <c r="C31" s="4">
        <v>171808</v>
      </c>
      <c r="D31" s="4">
        <v>184570</v>
      </c>
      <c r="E31" s="4">
        <v>185636</v>
      </c>
      <c r="F31" s="26">
        <v>205762</v>
      </c>
      <c r="G31" s="4">
        <v>213011.3053608638</v>
      </c>
      <c r="H31" s="4">
        <v>241221.16663528525</v>
      </c>
      <c r="I31" s="4">
        <v>264714</v>
      </c>
      <c r="J31" s="4">
        <v>277799.57842010184</v>
      </c>
      <c r="K31" s="4">
        <v>300655.55825471954</v>
      </c>
      <c r="L31" s="4">
        <v>255630.38027947175</v>
      </c>
      <c r="M31" s="4">
        <v>292923.48693770939</v>
      </c>
      <c r="N31" s="4">
        <v>322256.86456709018</v>
      </c>
      <c r="O31" s="4">
        <v>357782.66805397184</v>
      </c>
      <c r="P31" s="4">
        <v>405549.45944128756</v>
      </c>
      <c r="Q31" s="7"/>
      <c r="R31" s="8"/>
      <c r="S31" s="8"/>
      <c r="T31" s="7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6"/>
      <c r="GE31" s="6"/>
      <c r="GF31" s="6"/>
    </row>
    <row r="32" spans="1:189" s="29" customFormat="1" ht="15.75" x14ac:dyDescent="0.25">
      <c r="A32" s="35"/>
      <c r="B32" s="36" t="s">
        <v>30</v>
      </c>
      <c r="C32" s="37">
        <f>C17+C20+C28+C29+C30+C31</f>
        <v>612217</v>
      </c>
      <c r="D32" s="37">
        <f t="shared" ref="D32:I32" si="15">D17+D20+D28+D29+D30+D31</f>
        <v>657258</v>
      </c>
      <c r="E32" s="37">
        <f t="shared" si="15"/>
        <v>659460</v>
      </c>
      <c r="F32" s="46">
        <f t="shared" si="15"/>
        <v>701972.51304347825</v>
      </c>
      <c r="G32" s="37">
        <f t="shared" si="15"/>
        <v>709818.05322977831</v>
      </c>
      <c r="H32" s="37">
        <f t="shared" si="15"/>
        <v>766237.64931274706</v>
      </c>
      <c r="I32" s="37">
        <f t="shared" si="15"/>
        <v>807587.37985803024</v>
      </c>
      <c r="J32" s="37">
        <f t="shared" ref="J32:K32" si="16">J17+J20+J28+J29+J30+J31</f>
        <v>808674.73649250739</v>
      </c>
      <c r="K32" s="37">
        <f t="shared" si="16"/>
        <v>851957.61625451548</v>
      </c>
      <c r="L32" s="37">
        <f t="shared" ref="L32:M32" si="17">L17+L20+L28+L29+L30+L31</f>
        <v>732831.95831789356</v>
      </c>
      <c r="M32" s="37">
        <f t="shared" si="17"/>
        <v>808562.30109448847</v>
      </c>
      <c r="N32" s="37">
        <f t="shared" ref="N32:O32" si="18">N17+N20+N28+N29+N30+N31</f>
        <v>885203.09747484175</v>
      </c>
      <c r="O32" s="37">
        <f t="shared" si="18"/>
        <v>934716.45674144919</v>
      </c>
      <c r="P32" s="37">
        <f t="shared" ref="P32" si="19">P17+P20+P28+P29+P30+P31</f>
        <v>1013601.2772393123</v>
      </c>
      <c r="Q32" s="7"/>
      <c r="R32" s="8"/>
      <c r="S32" s="8"/>
      <c r="T32" s="7"/>
      <c r="U32" s="8"/>
      <c r="V32" s="8"/>
      <c r="W32" s="8"/>
      <c r="X32" s="8"/>
      <c r="Y32" s="8"/>
      <c r="Z32" s="8"/>
      <c r="AA32" s="8"/>
      <c r="AB32" s="8"/>
      <c r="AC32" s="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38"/>
      <c r="BM32" s="38"/>
      <c r="BN32" s="38"/>
      <c r="BO32" s="38"/>
      <c r="BP32" s="38"/>
      <c r="BQ32" s="38"/>
      <c r="BR32" s="38"/>
      <c r="BS32" s="38"/>
      <c r="BT32" s="38"/>
      <c r="BU32" s="38"/>
      <c r="BV32" s="38"/>
      <c r="BW32" s="38"/>
      <c r="BX32" s="38"/>
      <c r="BY32" s="38"/>
      <c r="BZ32" s="38"/>
      <c r="CA32" s="38"/>
      <c r="CB32" s="38"/>
      <c r="CC32" s="38"/>
      <c r="CD32" s="38"/>
      <c r="CE32" s="38"/>
      <c r="CF32" s="38"/>
      <c r="CG32" s="38"/>
      <c r="CH32" s="38"/>
      <c r="CI32" s="38"/>
      <c r="CJ32" s="38"/>
      <c r="CK32" s="38"/>
      <c r="CL32" s="38"/>
      <c r="CM32" s="38"/>
      <c r="CN32" s="38"/>
      <c r="CO32" s="38"/>
      <c r="CP32" s="38"/>
      <c r="CQ32" s="38"/>
      <c r="CR32" s="38"/>
      <c r="CS32" s="38"/>
      <c r="CT32" s="38"/>
      <c r="CU32" s="38"/>
      <c r="CV32" s="38"/>
      <c r="CW32" s="38"/>
      <c r="CX32" s="38"/>
      <c r="CY32" s="38"/>
      <c r="CZ32" s="38"/>
      <c r="DA32" s="38"/>
      <c r="DB32" s="38"/>
      <c r="DC32" s="38"/>
      <c r="DD32" s="38"/>
      <c r="DE32" s="38"/>
      <c r="DF32" s="33"/>
      <c r="DG32" s="33"/>
      <c r="DH32" s="33"/>
      <c r="DI32" s="33"/>
      <c r="DJ32" s="33"/>
      <c r="DK32" s="33"/>
      <c r="DL32" s="33"/>
      <c r="DM32" s="33"/>
      <c r="DN32" s="33"/>
      <c r="DO32" s="33"/>
      <c r="DP32" s="33"/>
      <c r="DQ32" s="33"/>
      <c r="DR32" s="33"/>
      <c r="DS32" s="33"/>
      <c r="DT32" s="33"/>
      <c r="DU32" s="33"/>
      <c r="DV32" s="33"/>
      <c r="DW32" s="33"/>
      <c r="DX32" s="33"/>
      <c r="DY32" s="38"/>
      <c r="DZ32" s="38"/>
      <c r="EA32" s="38"/>
      <c r="EB32" s="38"/>
      <c r="EC32" s="38"/>
      <c r="ED32" s="38"/>
      <c r="EE32" s="38"/>
      <c r="EF32" s="38"/>
      <c r="EG32" s="38"/>
      <c r="EH32" s="38"/>
      <c r="EI32" s="38"/>
      <c r="EJ32" s="38"/>
      <c r="EK32" s="38"/>
      <c r="EL32" s="38"/>
      <c r="EM32" s="38"/>
      <c r="EN32" s="38"/>
      <c r="EO32" s="38"/>
      <c r="EP32" s="38"/>
      <c r="EQ32" s="38"/>
      <c r="ER32" s="38"/>
      <c r="ES32" s="38"/>
      <c r="ET32" s="38"/>
      <c r="EU32" s="38"/>
      <c r="EV32" s="38"/>
      <c r="EW32" s="38"/>
      <c r="EX32" s="38"/>
      <c r="EY32" s="38"/>
      <c r="EZ32" s="38"/>
      <c r="FA32" s="38"/>
      <c r="FB32" s="38"/>
      <c r="FC32" s="38"/>
      <c r="FD32" s="38"/>
      <c r="FE32" s="38"/>
      <c r="FF32" s="38"/>
      <c r="FG32" s="38"/>
      <c r="FH32" s="38"/>
      <c r="FI32" s="38"/>
      <c r="FJ32" s="38"/>
      <c r="FK32" s="38"/>
      <c r="FL32" s="38"/>
      <c r="FM32" s="38"/>
      <c r="FN32" s="38"/>
      <c r="FO32" s="38"/>
      <c r="FP32" s="38"/>
      <c r="FQ32" s="38"/>
      <c r="FR32" s="38"/>
      <c r="FS32" s="38"/>
      <c r="FT32" s="38"/>
      <c r="FU32" s="38"/>
      <c r="FV32" s="38"/>
      <c r="FW32" s="38"/>
      <c r="FX32" s="38"/>
      <c r="FY32" s="38"/>
      <c r="FZ32" s="38"/>
      <c r="GA32" s="38"/>
      <c r="GB32" s="38"/>
      <c r="GC32" s="38"/>
      <c r="GD32" s="34"/>
      <c r="GE32" s="34"/>
      <c r="GF32" s="34"/>
    </row>
    <row r="33" spans="1:189" s="34" customFormat="1" ht="15.75" x14ac:dyDescent="0.25">
      <c r="A33" s="30" t="s">
        <v>27</v>
      </c>
      <c r="B33" s="41" t="s">
        <v>51</v>
      </c>
      <c r="C33" s="32">
        <f t="shared" ref="C33:I33" si="20">C6+C11+C13+C14+C15+C17+C20+C28+C29+C30+C31</f>
        <v>1315356</v>
      </c>
      <c r="D33" s="32">
        <f t="shared" si="20"/>
        <v>1328337</v>
      </c>
      <c r="E33" s="32">
        <f t="shared" si="20"/>
        <v>1491340</v>
      </c>
      <c r="F33" s="45">
        <f t="shared" si="20"/>
        <v>1366441.247139588</v>
      </c>
      <c r="G33" s="32">
        <f t="shared" si="20"/>
        <v>1456091.4974426972</v>
      </c>
      <c r="H33" s="32">
        <f t="shared" si="20"/>
        <v>1563124.446526078</v>
      </c>
      <c r="I33" s="32">
        <f t="shared" si="20"/>
        <v>1714869.679990795</v>
      </c>
      <c r="J33" s="32">
        <f t="shared" ref="J33:K33" si="21">J6+J11+J13+J14+J15+J17+J20+J28+J29+J30+J31</f>
        <v>2143959.1314231316</v>
      </c>
      <c r="K33" s="32">
        <f t="shared" si="21"/>
        <v>2076141.8506902426</v>
      </c>
      <c r="L33" s="32">
        <f t="shared" ref="L33:M33" si="22">L6+L11+L13+L14+L15+L17+L20+L28+L29+L30+L31</f>
        <v>1890244.5201107776</v>
      </c>
      <c r="M33" s="32">
        <f t="shared" si="22"/>
        <v>1840510.8313201547</v>
      </c>
      <c r="N33" s="32">
        <f t="shared" ref="N33:O33" si="23">N6+N11+N13+N14+N15+N17+N20+N28+N29+N30+N31</f>
        <v>1948837.0600745189</v>
      </c>
      <c r="O33" s="32">
        <f t="shared" si="23"/>
        <v>2100483.6339153671</v>
      </c>
      <c r="P33" s="32">
        <f t="shared" ref="P33" si="24">P6+P11+P13+P14+P15+P17+P20+P28+P29+P30+P31</f>
        <v>2302503.5666475124</v>
      </c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3"/>
      <c r="CF33" s="33"/>
      <c r="CG33" s="33"/>
      <c r="CH33" s="33"/>
      <c r="CI33" s="33"/>
      <c r="CJ33" s="33"/>
      <c r="CK33" s="33"/>
      <c r="CL33" s="33"/>
      <c r="CM33" s="33"/>
      <c r="CN33" s="33"/>
      <c r="CO33" s="33"/>
      <c r="CP33" s="33"/>
      <c r="CQ33" s="33"/>
      <c r="CR33" s="33"/>
      <c r="CS33" s="33"/>
      <c r="CT33" s="33"/>
      <c r="CU33" s="33"/>
      <c r="CV33" s="33"/>
      <c r="CW33" s="33"/>
      <c r="CX33" s="33"/>
      <c r="CY33" s="33"/>
      <c r="CZ33" s="33"/>
      <c r="DA33" s="33"/>
      <c r="DB33" s="33"/>
      <c r="DC33" s="33"/>
      <c r="DD33" s="33"/>
      <c r="DE33" s="33"/>
      <c r="DF33" s="33"/>
      <c r="DG33" s="33"/>
      <c r="DH33" s="33"/>
      <c r="DI33" s="33"/>
      <c r="DJ33" s="33"/>
      <c r="DK33" s="33"/>
      <c r="DL33" s="33"/>
      <c r="DM33" s="33"/>
      <c r="DN33" s="33"/>
      <c r="DO33" s="33"/>
      <c r="DP33" s="33"/>
      <c r="DQ33" s="33"/>
      <c r="DR33" s="33"/>
      <c r="DS33" s="33"/>
      <c r="DT33" s="33"/>
      <c r="DU33" s="33"/>
      <c r="DV33" s="33"/>
      <c r="DW33" s="33"/>
      <c r="DX33" s="33"/>
      <c r="DY33" s="33"/>
      <c r="DZ33" s="33"/>
      <c r="EA33" s="33"/>
      <c r="EB33" s="33"/>
      <c r="EC33" s="33"/>
      <c r="ED33" s="33"/>
      <c r="EE33" s="33"/>
      <c r="EF33" s="33"/>
      <c r="EG33" s="33"/>
      <c r="EH33" s="33"/>
      <c r="EI33" s="33"/>
      <c r="EJ33" s="33"/>
      <c r="EK33" s="33"/>
      <c r="EL33" s="33"/>
      <c r="EM33" s="33"/>
      <c r="EN33" s="33"/>
      <c r="EO33" s="33"/>
      <c r="EP33" s="33"/>
      <c r="EQ33" s="33"/>
      <c r="ER33" s="33"/>
      <c r="ES33" s="33"/>
      <c r="ET33" s="33"/>
      <c r="EU33" s="33"/>
      <c r="EV33" s="33"/>
      <c r="EW33" s="33"/>
      <c r="EX33" s="33"/>
      <c r="EY33" s="33"/>
      <c r="EZ33" s="33"/>
      <c r="FA33" s="33"/>
      <c r="FB33" s="33"/>
      <c r="FC33" s="33"/>
      <c r="FD33" s="33"/>
      <c r="FE33" s="33"/>
      <c r="FF33" s="33"/>
      <c r="FG33" s="33"/>
      <c r="FH33" s="33"/>
      <c r="FI33" s="33"/>
      <c r="FJ33" s="33"/>
      <c r="FK33" s="33"/>
      <c r="FL33" s="33"/>
      <c r="FM33" s="33"/>
      <c r="FN33" s="33"/>
      <c r="FO33" s="33"/>
      <c r="FP33" s="33"/>
      <c r="FQ33" s="33"/>
      <c r="FR33" s="33"/>
      <c r="FS33" s="33"/>
      <c r="FT33" s="33"/>
      <c r="FU33" s="33"/>
      <c r="FV33" s="33"/>
      <c r="FW33" s="33"/>
      <c r="FX33" s="33"/>
      <c r="FY33" s="33"/>
      <c r="FZ33" s="33"/>
      <c r="GA33" s="33"/>
      <c r="GB33" s="33"/>
      <c r="GC33" s="33"/>
      <c r="GG33" s="29"/>
    </row>
    <row r="34" spans="1:189" s="29" customFormat="1" ht="15.75" x14ac:dyDescent="0.25">
      <c r="A34" s="42" t="s">
        <v>43</v>
      </c>
      <c r="B34" s="43" t="s">
        <v>25</v>
      </c>
      <c r="C34" s="44">
        <f>GSVA_const!C34</f>
        <v>249800</v>
      </c>
      <c r="D34" s="44">
        <f>GSVA_const!D34</f>
        <v>275200</v>
      </c>
      <c r="E34" s="44">
        <f>GSVA_const!E34</f>
        <v>278733</v>
      </c>
      <c r="F34" s="44">
        <f>GSVA_const!F34</f>
        <v>273767</v>
      </c>
      <c r="G34" s="44">
        <f>GSVA_const!G34</f>
        <v>261770</v>
      </c>
      <c r="H34" s="44">
        <f>GSVA_const!H34</f>
        <v>278599</v>
      </c>
      <c r="I34" s="44">
        <f>GSVA_const!I34</f>
        <v>302521</v>
      </c>
      <c r="J34" s="44">
        <f>GSVA_const!J34</f>
        <v>241925</v>
      </c>
      <c r="K34" s="44">
        <f>GSVA_const!K34</f>
        <v>304722</v>
      </c>
      <c r="L34" s="44">
        <f>GSVA_const!L34</f>
        <v>252379</v>
      </c>
      <c r="M34" s="44">
        <f>GSVA_const!M34</f>
        <v>342565</v>
      </c>
      <c r="N34" s="44">
        <f>GSVA_const!N34</f>
        <v>284062</v>
      </c>
      <c r="O34" s="44">
        <f>GSVA_const!O34</f>
        <v>310798</v>
      </c>
      <c r="P34" s="44">
        <f>GSVA_const!P34</f>
        <v>348856</v>
      </c>
      <c r="Q34" s="7"/>
      <c r="R34" s="8"/>
      <c r="S34" s="8"/>
      <c r="T34" s="7"/>
      <c r="U34" s="8"/>
      <c r="V34" s="8"/>
      <c r="W34" s="8"/>
      <c r="X34" s="8"/>
      <c r="Y34" s="8"/>
      <c r="Z34" s="8"/>
      <c r="AA34" s="8"/>
      <c r="AB34" s="8"/>
      <c r="AC34" s="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  <c r="BN34" s="38"/>
      <c r="BO34" s="38"/>
      <c r="BP34" s="38"/>
      <c r="BQ34" s="38"/>
      <c r="BR34" s="38"/>
      <c r="BS34" s="38"/>
      <c r="BT34" s="38"/>
      <c r="BU34" s="38"/>
      <c r="BV34" s="38"/>
      <c r="BW34" s="38"/>
      <c r="BX34" s="38"/>
      <c r="BY34" s="38"/>
      <c r="BZ34" s="38"/>
      <c r="CA34" s="38"/>
      <c r="CB34" s="38"/>
      <c r="CC34" s="38"/>
      <c r="CD34" s="38"/>
      <c r="CE34" s="38"/>
      <c r="CF34" s="38"/>
      <c r="CG34" s="38"/>
      <c r="CH34" s="38"/>
      <c r="CI34" s="38"/>
      <c r="CJ34" s="38"/>
      <c r="CK34" s="38"/>
      <c r="CL34" s="38"/>
      <c r="CM34" s="38"/>
      <c r="CN34" s="38"/>
      <c r="CO34" s="38"/>
      <c r="CP34" s="38"/>
      <c r="CQ34" s="38"/>
      <c r="CR34" s="38"/>
      <c r="CS34" s="38"/>
      <c r="CT34" s="38"/>
      <c r="CU34" s="38"/>
      <c r="CV34" s="38"/>
      <c r="CW34" s="38"/>
      <c r="CX34" s="38"/>
      <c r="CY34" s="38"/>
      <c r="CZ34" s="38"/>
      <c r="DA34" s="38"/>
      <c r="DB34" s="38"/>
      <c r="DC34" s="38"/>
      <c r="DD34" s="38"/>
      <c r="DE34" s="38"/>
      <c r="DF34" s="33"/>
      <c r="DG34" s="33"/>
      <c r="DH34" s="33"/>
      <c r="DI34" s="33"/>
      <c r="DJ34" s="33"/>
      <c r="DK34" s="33"/>
      <c r="DL34" s="33"/>
      <c r="DM34" s="33"/>
      <c r="DN34" s="33"/>
      <c r="DO34" s="33"/>
      <c r="DP34" s="33"/>
      <c r="DQ34" s="33"/>
      <c r="DR34" s="33"/>
      <c r="DS34" s="33"/>
      <c r="DT34" s="33"/>
      <c r="DU34" s="33"/>
      <c r="DV34" s="33"/>
      <c r="DW34" s="33"/>
      <c r="DX34" s="33"/>
      <c r="DY34" s="38"/>
      <c r="DZ34" s="38"/>
      <c r="EA34" s="38"/>
      <c r="EB34" s="38"/>
      <c r="EC34" s="38"/>
      <c r="ED34" s="38"/>
      <c r="EE34" s="38"/>
      <c r="EF34" s="38"/>
      <c r="EG34" s="38"/>
      <c r="EH34" s="38"/>
      <c r="EI34" s="38"/>
      <c r="EJ34" s="38"/>
      <c r="EK34" s="38"/>
      <c r="EL34" s="38"/>
      <c r="EM34" s="38"/>
      <c r="EN34" s="38"/>
      <c r="EO34" s="38"/>
      <c r="EP34" s="38"/>
      <c r="EQ34" s="38"/>
      <c r="ER34" s="38"/>
      <c r="ES34" s="38"/>
      <c r="ET34" s="38"/>
      <c r="EU34" s="38"/>
      <c r="EV34" s="38"/>
      <c r="EW34" s="38"/>
      <c r="EX34" s="38"/>
      <c r="EY34" s="38"/>
      <c r="EZ34" s="38"/>
      <c r="FA34" s="38"/>
      <c r="FB34" s="38"/>
      <c r="FC34" s="38"/>
      <c r="FD34" s="38"/>
      <c r="FE34" s="38"/>
      <c r="FF34" s="38"/>
      <c r="FG34" s="38"/>
      <c r="FH34" s="38"/>
      <c r="FI34" s="38"/>
      <c r="FJ34" s="38"/>
      <c r="FK34" s="38"/>
      <c r="FL34" s="38"/>
      <c r="FM34" s="38"/>
      <c r="FN34" s="38"/>
      <c r="FO34" s="38"/>
      <c r="FP34" s="38"/>
      <c r="FQ34" s="38"/>
      <c r="FR34" s="38"/>
      <c r="FS34" s="38"/>
      <c r="FT34" s="38"/>
      <c r="FU34" s="38"/>
      <c r="FV34" s="38"/>
      <c r="FW34" s="38"/>
      <c r="FX34" s="38"/>
      <c r="FY34" s="38"/>
      <c r="FZ34" s="38"/>
      <c r="GA34" s="38"/>
      <c r="GB34" s="38"/>
    </row>
    <row r="35" spans="1:189" s="29" customFormat="1" ht="15.75" x14ac:dyDescent="0.25">
      <c r="A35" s="42" t="s">
        <v>44</v>
      </c>
      <c r="B35" s="43" t="s">
        <v>24</v>
      </c>
      <c r="C35" s="44">
        <f>GSVA_const!C35</f>
        <v>49200</v>
      </c>
      <c r="D35" s="44">
        <f>GSVA_const!D35</f>
        <v>52800</v>
      </c>
      <c r="E35" s="44">
        <f>GSVA_const!E35</f>
        <v>46222</v>
      </c>
      <c r="F35" s="44">
        <f>GSVA_const!F35</f>
        <v>34740</v>
      </c>
      <c r="G35" s="44">
        <f>GSVA_const!G35</f>
        <v>15395</v>
      </c>
      <c r="H35" s="44">
        <f>GSVA_const!H35</f>
        <v>13343</v>
      </c>
      <c r="I35" s="44">
        <f>GSVA_const!I35</f>
        <v>14975</v>
      </c>
      <c r="J35" s="44">
        <f>GSVA_const!J35</f>
        <v>16583</v>
      </c>
      <c r="K35" s="44">
        <f>GSVA_const!K35</f>
        <v>19867</v>
      </c>
      <c r="L35" s="44">
        <f>GSVA_const!L35</f>
        <v>20019</v>
      </c>
      <c r="M35" s="44">
        <f>GSVA_const!M35</f>
        <v>21626</v>
      </c>
      <c r="N35" s="44">
        <f>GSVA_const!N35</f>
        <v>23785</v>
      </c>
      <c r="O35" s="44">
        <f>GSVA_const!O35</f>
        <v>19629</v>
      </c>
      <c r="P35" s="44">
        <f>GSVA_const!P35</f>
        <v>23564</v>
      </c>
      <c r="Q35" s="7"/>
      <c r="R35" s="8"/>
      <c r="S35" s="8"/>
      <c r="T35" s="7"/>
      <c r="U35" s="8"/>
      <c r="V35" s="8"/>
      <c r="W35" s="8"/>
      <c r="X35" s="8"/>
      <c r="Y35" s="8"/>
      <c r="Z35" s="8"/>
      <c r="AA35" s="8"/>
      <c r="AB35" s="8"/>
      <c r="AC35" s="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  <c r="BO35" s="38"/>
      <c r="BP35" s="38"/>
      <c r="BQ35" s="38"/>
      <c r="BR35" s="38"/>
      <c r="BS35" s="38"/>
      <c r="BT35" s="38"/>
      <c r="BU35" s="38"/>
      <c r="BV35" s="38"/>
      <c r="BW35" s="38"/>
      <c r="BX35" s="38"/>
      <c r="BY35" s="38"/>
      <c r="BZ35" s="38"/>
      <c r="CA35" s="38"/>
      <c r="CB35" s="38"/>
      <c r="CC35" s="38"/>
      <c r="CD35" s="38"/>
      <c r="CE35" s="38"/>
      <c r="CF35" s="38"/>
      <c r="CG35" s="38"/>
      <c r="CH35" s="38"/>
      <c r="CI35" s="38"/>
      <c r="CJ35" s="38"/>
      <c r="CK35" s="38"/>
      <c r="CL35" s="38"/>
      <c r="CM35" s="38"/>
      <c r="CN35" s="38"/>
      <c r="CO35" s="38"/>
      <c r="CP35" s="38"/>
      <c r="CQ35" s="38"/>
      <c r="CR35" s="38"/>
      <c r="CS35" s="38"/>
      <c r="CT35" s="38"/>
      <c r="CU35" s="38"/>
      <c r="CV35" s="38"/>
      <c r="CW35" s="38"/>
      <c r="CX35" s="38"/>
      <c r="CY35" s="38"/>
      <c r="CZ35" s="38"/>
      <c r="DA35" s="38"/>
      <c r="DB35" s="38"/>
      <c r="DC35" s="38"/>
      <c r="DD35" s="38"/>
      <c r="DE35" s="38"/>
      <c r="DF35" s="33"/>
      <c r="DG35" s="33"/>
      <c r="DH35" s="33"/>
      <c r="DI35" s="33"/>
      <c r="DJ35" s="33"/>
      <c r="DK35" s="33"/>
      <c r="DL35" s="33"/>
      <c r="DM35" s="33"/>
      <c r="DN35" s="33"/>
      <c r="DO35" s="33"/>
      <c r="DP35" s="33"/>
      <c r="DQ35" s="33"/>
      <c r="DR35" s="33"/>
      <c r="DS35" s="33"/>
      <c r="DT35" s="33"/>
      <c r="DU35" s="33"/>
      <c r="DV35" s="33"/>
      <c r="DW35" s="33"/>
      <c r="DX35" s="33"/>
      <c r="DY35" s="38"/>
      <c r="DZ35" s="38"/>
      <c r="EA35" s="38"/>
      <c r="EB35" s="38"/>
      <c r="EC35" s="38"/>
      <c r="ED35" s="38"/>
      <c r="EE35" s="38"/>
      <c r="EF35" s="38"/>
      <c r="EG35" s="38"/>
      <c r="EH35" s="38"/>
      <c r="EI35" s="38"/>
      <c r="EJ35" s="38"/>
      <c r="EK35" s="38"/>
      <c r="EL35" s="38"/>
      <c r="EM35" s="38"/>
      <c r="EN35" s="38"/>
      <c r="EO35" s="38"/>
      <c r="EP35" s="38"/>
      <c r="EQ35" s="38"/>
      <c r="ER35" s="38"/>
      <c r="ES35" s="38"/>
      <c r="ET35" s="38"/>
      <c r="EU35" s="38"/>
      <c r="EV35" s="38"/>
      <c r="EW35" s="38"/>
      <c r="EX35" s="38"/>
      <c r="EY35" s="38"/>
      <c r="EZ35" s="38"/>
      <c r="FA35" s="38"/>
      <c r="FB35" s="38"/>
      <c r="FC35" s="38"/>
      <c r="FD35" s="38"/>
      <c r="FE35" s="38"/>
      <c r="FF35" s="38"/>
      <c r="FG35" s="38"/>
      <c r="FH35" s="38"/>
      <c r="FI35" s="38"/>
      <c r="FJ35" s="38"/>
      <c r="FK35" s="38"/>
      <c r="FL35" s="38"/>
      <c r="FM35" s="38"/>
      <c r="FN35" s="38"/>
      <c r="FO35" s="38"/>
      <c r="FP35" s="38"/>
      <c r="FQ35" s="38"/>
      <c r="FR35" s="38"/>
      <c r="FS35" s="38"/>
      <c r="FT35" s="38"/>
      <c r="FU35" s="38"/>
      <c r="FV35" s="38"/>
      <c r="FW35" s="38"/>
      <c r="FX35" s="38"/>
      <c r="FY35" s="38"/>
      <c r="FZ35" s="38"/>
      <c r="GA35" s="38"/>
      <c r="GB35" s="38"/>
    </row>
    <row r="36" spans="1:189" s="29" customFormat="1" ht="15.75" x14ac:dyDescent="0.25">
      <c r="A36" s="42" t="s">
        <v>45</v>
      </c>
      <c r="B36" s="43" t="s">
        <v>63</v>
      </c>
      <c r="C36" s="37">
        <f>C33+C34-C35</f>
        <v>1515956</v>
      </c>
      <c r="D36" s="37">
        <f t="shared" ref="D36:M36" si="25">D33+D34-D35</f>
        <v>1550737</v>
      </c>
      <c r="E36" s="37">
        <f t="shared" si="25"/>
        <v>1723851</v>
      </c>
      <c r="F36" s="37">
        <f t="shared" si="25"/>
        <v>1605468.247139588</v>
      </c>
      <c r="G36" s="37">
        <f t="shared" si="25"/>
        <v>1702466.4974426972</v>
      </c>
      <c r="H36" s="37">
        <f t="shared" si="25"/>
        <v>1828380.446526078</v>
      </c>
      <c r="I36" s="37">
        <f t="shared" si="25"/>
        <v>2002415.679990795</v>
      </c>
      <c r="J36" s="37">
        <f t="shared" si="25"/>
        <v>2369301.1314231316</v>
      </c>
      <c r="K36" s="37">
        <f t="shared" si="25"/>
        <v>2360996.8506902428</v>
      </c>
      <c r="L36" s="37">
        <f t="shared" si="25"/>
        <v>2122604.5201107776</v>
      </c>
      <c r="M36" s="37">
        <f t="shared" si="25"/>
        <v>2161449.8313201545</v>
      </c>
      <c r="N36" s="37">
        <f t="shared" ref="N36:O36" si="26">N33+N34-N35</f>
        <v>2209114.0600745189</v>
      </c>
      <c r="O36" s="37">
        <f t="shared" si="26"/>
        <v>2391652.6339153671</v>
      </c>
      <c r="P36" s="37">
        <f t="shared" ref="P36" si="27">P33+P34-P35</f>
        <v>2627795.5666475124</v>
      </c>
      <c r="Q36" s="7"/>
      <c r="R36" s="8"/>
      <c r="S36" s="8"/>
      <c r="T36" s="7"/>
      <c r="U36" s="8"/>
      <c r="V36" s="8"/>
      <c r="W36" s="8"/>
      <c r="X36" s="8"/>
      <c r="Y36" s="8"/>
      <c r="Z36" s="8"/>
      <c r="AA36" s="8"/>
      <c r="AB36" s="8"/>
      <c r="AC36" s="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  <c r="BO36" s="38"/>
      <c r="BP36" s="38"/>
      <c r="BQ36" s="38"/>
      <c r="BR36" s="38"/>
      <c r="BS36" s="38"/>
      <c r="BT36" s="38"/>
      <c r="BU36" s="38"/>
      <c r="BV36" s="38"/>
      <c r="BW36" s="38"/>
      <c r="BX36" s="38"/>
      <c r="BY36" s="38"/>
      <c r="BZ36" s="38"/>
      <c r="CA36" s="38"/>
      <c r="CB36" s="38"/>
      <c r="CC36" s="38"/>
      <c r="CD36" s="38"/>
      <c r="CE36" s="38"/>
      <c r="CF36" s="38"/>
      <c r="CG36" s="38"/>
      <c r="CH36" s="38"/>
      <c r="CI36" s="38"/>
      <c r="CJ36" s="38"/>
      <c r="CK36" s="38"/>
      <c r="CL36" s="38"/>
      <c r="CM36" s="38"/>
      <c r="CN36" s="38"/>
      <c r="CO36" s="38"/>
      <c r="CP36" s="38"/>
      <c r="CQ36" s="38"/>
      <c r="CR36" s="38"/>
      <c r="CS36" s="38"/>
      <c r="CT36" s="38"/>
      <c r="CU36" s="38"/>
      <c r="CV36" s="38"/>
      <c r="CW36" s="38"/>
      <c r="CX36" s="38"/>
      <c r="CY36" s="38"/>
      <c r="CZ36" s="38"/>
      <c r="DA36" s="38"/>
      <c r="DB36" s="38"/>
      <c r="DC36" s="38"/>
      <c r="DD36" s="38"/>
      <c r="DE36" s="38"/>
      <c r="DF36" s="33"/>
      <c r="DG36" s="33"/>
      <c r="DH36" s="33"/>
      <c r="DI36" s="33"/>
      <c r="DJ36" s="33"/>
      <c r="DK36" s="33"/>
      <c r="DL36" s="33"/>
      <c r="DM36" s="33"/>
      <c r="DN36" s="33"/>
      <c r="DO36" s="33"/>
      <c r="DP36" s="33"/>
      <c r="DQ36" s="33"/>
      <c r="DR36" s="33"/>
      <c r="DS36" s="33"/>
      <c r="DT36" s="33"/>
      <c r="DU36" s="33"/>
      <c r="DV36" s="33"/>
      <c r="DW36" s="33"/>
      <c r="DX36" s="33"/>
      <c r="DY36" s="38"/>
      <c r="DZ36" s="38"/>
      <c r="EA36" s="38"/>
      <c r="EB36" s="38"/>
      <c r="EC36" s="38"/>
      <c r="ED36" s="38"/>
      <c r="EE36" s="38"/>
      <c r="EF36" s="38"/>
      <c r="EG36" s="38"/>
      <c r="EH36" s="38"/>
      <c r="EI36" s="38"/>
      <c r="EJ36" s="38"/>
      <c r="EK36" s="38"/>
      <c r="EL36" s="38"/>
      <c r="EM36" s="38"/>
      <c r="EN36" s="38"/>
      <c r="EO36" s="38"/>
      <c r="EP36" s="38"/>
      <c r="EQ36" s="38"/>
      <c r="ER36" s="38"/>
      <c r="ES36" s="38"/>
      <c r="ET36" s="38"/>
      <c r="EU36" s="38"/>
      <c r="EV36" s="38"/>
      <c r="EW36" s="38"/>
      <c r="EX36" s="38"/>
      <c r="EY36" s="38"/>
      <c r="EZ36" s="38"/>
      <c r="FA36" s="38"/>
      <c r="FB36" s="38"/>
      <c r="FC36" s="38"/>
      <c r="FD36" s="38"/>
      <c r="FE36" s="38"/>
      <c r="FF36" s="38"/>
      <c r="FG36" s="38"/>
      <c r="FH36" s="38"/>
      <c r="FI36" s="38"/>
      <c r="FJ36" s="38"/>
      <c r="FK36" s="38"/>
      <c r="FL36" s="38"/>
      <c r="FM36" s="38"/>
      <c r="FN36" s="38"/>
      <c r="FO36" s="38"/>
      <c r="FP36" s="38"/>
      <c r="FQ36" s="38"/>
      <c r="FR36" s="38"/>
      <c r="FS36" s="38"/>
      <c r="FT36" s="38"/>
      <c r="FU36" s="38"/>
      <c r="FV36" s="38"/>
      <c r="FW36" s="38"/>
      <c r="FX36" s="38"/>
      <c r="FY36" s="38"/>
      <c r="FZ36" s="38"/>
      <c r="GA36" s="38"/>
      <c r="GB36" s="38"/>
    </row>
    <row r="37" spans="1:189" s="29" customFormat="1" ht="15.75" x14ac:dyDescent="0.25">
      <c r="A37" s="42" t="s">
        <v>46</v>
      </c>
      <c r="B37" s="43" t="s">
        <v>42</v>
      </c>
      <c r="C37" s="44">
        <f>GSVA_cur!C37</f>
        <v>12670</v>
      </c>
      <c r="D37" s="44">
        <f>GSVA_cur!D37</f>
        <v>13010</v>
      </c>
      <c r="E37" s="44">
        <f>GSVA_cur!E37</f>
        <v>13350</v>
      </c>
      <c r="F37" s="44">
        <f>GSVA_cur!F37</f>
        <v>13710</v>
      </c>
      <c r="G37" s="44">
        <f>GSVA_cur!G37</f>
        <v>14070</v>
      </c>
      <c r="H37" s="44">
        <f>GSVA_cur!H37</f>
        <v>14450</v>
      </c>
      <c r="I37" s="44">
        <f>GSVA_cur!I37</f>
        <v>14840</v>
      </c>
      <c r="J37" s="44">
        <f>GSVA_cur!J37</f>
        <v>15240</v>
      </c>
      <c r="K37" s="44">
        <f>GSVA_cur!K37</f>
        <v>15390</v>
      </c>
      <c r="L37" s="44">
        <f>GSVA_cur!L37</f>
        <v>15570</v>
      </c>
      <c r="M37" s="44">
        <f>GSVA_cur!M37</f>
        <v>15930</v>
      </c>
      <c r="N37" s="44">
        <f>GSVA_cur!N37</f>
        <v>16300</v>
      </c>
      <c r="O37" s="44">
        <f>GSVA_cur!O37</f>
        <v>16670</v>
      </c>
      <c r="P37" s="44">
        <f>GSVA_cur!P37</f>
        <v>17040</v>
      </c>
      <c r="Q37" s="6"/>
      <c r="R37" s="2"/>
      <c r="S37" s="2"/>
      <c r="T37" s="6"/>
      <c r="U37" s="6"/>
      <c r="V37" s="6"/>
      <c r="W37" s="6"/>
      <c r="X37" s="6"/>
      <c r="Y37" s="2"/>
      <c r="Z37" s="2"/>
      <c r="AA37" s="2"/>
      <c r="AB37" s="2"/>
      <c r="AC37" s="2"/>
      <c r="DF37" s="34"/>
      <c r="DG37" s="34"/>
      <c r="DH37" s="34"/>
      <c r="DI37" s="34"/>
      <c r="DJ37" s="34"/>
      <c r="DK37" s="34"/>
      <c r="DL37" s="34"/>
      <c r="DM37" s="34"/>
      <c r="DN37" s="34"/>
      <c r="DO37" s="34"/>
      <c r="DP37" s="34"/>
      <c r="DQ37" s="34"/>
      <c r="DR37" s="34"/>
      <c r="DS37" s="34"/>
      <c r="DT37" s="34"/>
      <c r="DU37" s="34"/>
      <c r="DV37" s="34"/>
      <c r="DW37" s="34"/>
      <c r="DX37" s="34"/>
    </row>
    <row r="38" spans="1:189" s="29" customFormat="1" ht="15.75" x14ac:dyDescent="0.25">
      <c r="A38" s="42" t="s">
        <v>47</v>
      </c>
      <c r="B38" s="43" t="s">
        <v>64</v>
      </c>
      <c r="C38" s="37">
        <f>C36/C37*1000</f>
        <v>119649.25019731649</v>
      </c>
      <c r="D38" s="37">
        <f t="shared" ref="D38:L38" si="28">D36/D37*1000</f>
        <v>119195.77248270561</v>
      </c>
      <c r="E38" s="37">
        <f t="shared" si="28"/>
        <v>129127.41573033707</v>
      </c>
      <c r="F38" s="37">
        <f t="shared" si="28"/>
        <v>117101.98739165484</v>
      </c>
      <c r="G38" s="37">
        <f t="shared" si="28"/>
        <v>120999.75106202539</v>
      </c>
      <c r="H38" s="37">
        <f t="shared" si="28"/>
        <v>126531.51879073205</v>
      </c>
      <c r="I38" s="37">
        <f t="shared" si="28"/>
        <v>134933.67115840936</v>
      </c>
      <c r="J38" s="37">
        <f t="shared" si="28"/>
        <v>155465.95350545482</v>
      </c>
      <c r="K38" s="37">
        <f t="shared" si="28"/>
        <v>153411.1014093725</v>
      </c>
      <c r="L38" s="37">
        <f t="shared" si="28"/>
        <v>136326.55877397413</v>
      </c>
      <c r="M38" s="37">
        <f>M36/M37*1000</f>
        <v>135684.23297678307</v>
      </c>
      <c r="N38" s="37">
        <f>N36/N37*1000</f>
        <v>135528.46994322201</v>
      </c>
      <c r="O38" s="37">
        <f>O36/O37*1000</f>
        <v>143470.46394213359</v>
      </c>
      <c r="P38" s="37">
        <f>P36/P37*1000</f>
        <v>154213.35485020612</v>
      </c>
      <c r="Q38" s="6"/>
      <c r="R38" s="2"/>
      <c r="S38" s="2"/>
      <c r="T38" s="7"/>
      <c r="U38" s="7"/>
      <c r="V38" s="7"/>
      <c r="W38" s="7"/>
      <c r="X38" s="7"/>
      <c r="Y38" s="2"/>
      <c r="Z38" s="2"/>
      <c r="AA38" s="2"/>
      <c r="AB38" s="2"/>
      <c r="AC38" s="2"/>
      <c r="BY38" s="38"/>
      <c r="BZ38" s="38"/>
      <c r="CA38" s="38"/>
      <c r="CB38" s="38"/>
      <c r="DF38" s="34"/>
      <c r="DG38" s="34"/>
      <c r="DH38" s="34"/>
      <c r="DI38" s="34"/>
      <c r="DJ38" s="34"/>
      <c r="DK38" s="34"/>
      <c r="DL38" s="34"/>
      <c r="DM38" s="34"/>
      <c r="DN38" s="34"/>
      <c r="DO38" s="34"/>
      <c r="DP38" s="34"/>
      <c r="DQ38" s="34"/>
      <c r="DR38" s="34"/>
      <c r="DS38" s="34"/>
      <c r="DT38" s="34"/>
      <c r="DU38" s="34"/>
      <c r="DV38" s="34"/>
      <c r="DW38" s="34"/>
      <c r="DX38" s="34"/>
    </row>
    <row r="39" spans="1:189" x14ac:dyDescent="0.25">
      <c r="A39" s="2" t="s">
        <v>75</v>
      </c>
      <c r="C39" s="8"/>
      <c r="D39" s="8"/>
      <c r="E39" s="8"/>
      <c r="F39" s="27"/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4" max="1048575" man="1"/>
    <brk id="36" max="1048575" man="1"/>
    <brk id="52" max="1048575" man="1"/>
    <brk id="116" max="95" man="1"/>
    <brk id="152" max="1048575" man="1"/>
    <brk id="176" max="1048575" man="1"/>
    <brk id="184" max="9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GSVA_cur</vt:lpstr>
      <vt:lpstr>GSVA_const</vt:lpstr>
      <vt:lpstr>NSVA_cur</vt:lpstr>
      <vt:lpstr>NSVA_const</vt:lpstr>
      <vt:lpstr>GSVA_const!Print_Titles</vt:lpstr>
      <vt:lpstr>GSVA_cur!Print_Titles</vt:lpstr>
      <vt:lpstr>NSVA_const!Print_Titles</vt:lpstr>
      <vt:lpstr>NSVA_cur!Print_Titles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2025-08-07T11:00:48Z</dcterms:modified>
</cp:coreProperties>
</file>